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garcia\Downloads\"/>
    </mc:Choice>
  </mc:AlternateContent>
  <xr:revisionPtr revIDLastSave="0" documentId="13_ncr:1_{E506DDF4-C83B-41FD-9D5B-185A4FA2A357}" xr6:coauthVersionLast="47" xr6:coauthVersionMax="47" xr10:uidLastSave="{00000000-0000-0000-0000-000000000000}"/>
  <bookViews>
    <workbookView xWindow="-28920" yWindow="-120" windowWidth="29040" windowHeight="15720" tabRatio="500" firstSheet="1" activeTab="2" xr2:uid="{00000000-000D-0000-FFFF-FFFF00000000}"/>
  </bookViews>
  <sheets>
    <sheet name="Barn - Back Rack" sheetId="1" r:id="rId1"/>
    <sheet name="Barn - Front Rack" sheetId="2" r:id="rId2"/>
    <sheet name="Equipment by Location" sheetId="3" r:id="rId3"/>
    <sheet name="SA &amp; Dallas Warehouses" sheetId="4" r:id="rId4"/>
    <sheet name="Rack Map" sheetId="5" r:id="rId5"/>
    <sheet name="Ready Models" sheetId="6" r:id="rId6"/>
    <sheet name="Equipment Index" sheetId="7" state="hidden" r:id="rId7"/>
  </sheets>
  <definedNames>
    <definedName name="_xlnm.Print_Area" localSheetId="0">'Barn - Back Rack'!$J$1:$AG$76</definedName>
    <definedName name="_xlnm.Print_Area" localSheetId="1">'Barn - Front Rack'!$A$1:$Q$76</definedName>
    <definedName name="ReadyModelList">'Ready Models'!$A$8:$A$107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513" i="7" l="1"/>
  <c r="D1512" i="7"/>
  <c r="D1511" i="7"/>
  <c r="D1510" i="7"/>
  <c r="D1509" i="7"/>
  <c r="D1508" i="7"/>
  <c r="D1507" i="7"/>
  <c r="D1506" i="7"/>
  <c r="D1505" i="7"/>
  <c r="D1504" i="7"/>
  <c r="D1503" i="7"/>
  <c r="D1502" i="7"/>
  <c r="D1501" i="7"/>
  <c r="D1500" i="7"/>
  <c r="D1499" i="7"/>
  <c r="D1498" i="7"/>
  <c r="D1497" i="7"/>
  <c r="D1496" i="7"/>
  <c r="D1495" i="7"/>
  <c r="D1494" i="7"/>
  <c r="D1493" i="7"/>
  <c r="D1492" i="7"/>
  <c r="D1491" i="7"/>
  <c r="D1490" i="7"/>
  <c r="D1489" i="7"/>
  <c r="D1488" i="7"/>
  <c r="D1487" i="7"/>
  <c r="D1486" i="7"/>
  <c r="D1485" i="7"/>
  <c r="D1484" i="7"/>
  <c r="D1483" i="7"/>
  <c r="D1482" i="7"/>
  <c r="D1481" i="7"/>
  <c r="D1480" i="7"/>
  <c r="D1479" i="7"/>
  <c r="D1478" i="7"/>
  <c r="D1477" i="7"/>
  <c r="D1476" i="7"/>
  <c r="D1475" i="7"/>
  <c r="D1474" i="7"/>
  <c r="D1473" i="7"/>
  <c r="D1472" i="7"/>
  <c r="D1471" i="7"/>
  <c r="D1470" i="7"/>
  <c r="D1469" i="7"/>
  <c r="D1468" i="7"/>
  <c r="D1467" i="7"/>
  <c r="D1466" i="7"/>
  <c r="D1465" i="7"/>
  <c r="D1464" i="7"/>
  <c r="D1463" i="7"/>
  <c r="D1462" i="7"/>
  <c r="D1461" i="7"/>
  <c r="D1460" i="7"/>
  <c r="D1459" i="7"/>
  <c r="D1458" i="7"/>
  <c r="D1457" i="7"/>
  <c r="D1456" i="7"/>
  <c r="D1455" i="7"/>
  <c r="D1454" i="7"/>
  <c r="D1453" i="7"/>
  <c r="D1452" i="7"/>
  <c r="D1451" i="7"/>
  <c r="D1450" i="7"/>
  <c r="D1449" i="7"/>
  <c r="D1448" i="7"/>
  <c r="D1447" i="7"/>
  <c r="D1446" i="7"/>
  <c r="D1445" i="7"/>
  <c r="D1444" i="7"/>
  <c r="D1443" i="7"/>
  <c r="D1442" i="7"/>
  <c r="D1441" i="7"/>
  <c r="D1440" i="7"/>
  <c r="D1439" i="7"/>
  <c r="D1438" i="7"/>
  <c r="D1437" i="7"/>
  <c r="D1436" i="7"/>
  <c r="D1435" i="7"/>
  <c r="D1434" i="7"/>
  <c r="D1433" i="7"/>
  <c r="D1432" i="7"/>
  <c r="D1431" i="7"/>
  <c r="D1430" i="7"/>
  <c r="D1429" i="7"/>
  <c r="D1428" i="7"/>
  <c r="D1427" i="7"/>
  <c r="D1426" i="7"/>
  <c r="D1425" i="7"/>
  <c r="D1424" i="7"/>
  <c r="H1423" i="7"/>
  <c r="K1423" i="7" s="1"/>
  <c r="G1423" i="7"/>
  <c r="I1423" i="7" s="1"/>
  <c r="J1423" i="7" s="1"/>
  <c r="F1423" i="7"/>
  <c r="D1423" i="7"/>
  <c r="E1423" i="7" s="1"/>
  <c r="D1422" i="7"/>
  <c r="D1421" i="7"/>
  <c r="D1420" i="7"/>
  <c r="D1419" i="7"/>
  <c r="D1418" i="7"/>
  <c r="D1417" i="7"/>
  <c r="D1416" i="7"/>
  <c r="D1415" i="7"/>
  <c r="D1414" i="7"/>
  <c r="D1413" i="7"/>
  <c r="D1412" i="7"/>
  <c r="D1411" i="7"/>
  <c r="D1410" i="7"/>
  <c r="D1409" i="7"/>
  <c r="D1408" i="7"/>
  <c r="D1407" i="7"/>
  <c r="D1406" i="7"/>
  <c r="D1405" i="7"/>
  <c r="D1404" i="7"/>
  <c r="D1403" i="7"/>
  <c r="D1402" i="7"/>
  <c r="D1401" i="7"/>
  <c r="D1400" i="7"/>
  <c r="D1399" i="7"/>
  <c r="D1398" i="7"/>
  <c r="D1397" i="7"/>
  <c r="D1396" i="7"/>
  <c r="D1395" i="7"/>
  <c r="D1394" i="7"/>
  <c r="D1393" i="7"/>
  <c r="D1392" i="7"/>
  <c r="D1391" i="7"/>
  <c r="D1390" i="7"/>
  <c r="D1389" i="7"/>
  <c r="D1388" i="7"/>
  <c r="D1387" i="7"/>
  <c r="D1386" i="7"/>
  <c r="D1385" i="7"/>
  <c r="D1384" i="7"/>
  <c r="D1383" i="7"/>
  <c r="D1382" i="7"/>
  <c r="D1381" i="7"/>
  <c r="D1380" i="7"/>
  <c r="D1379" i="7"/>
  <c r="D1378" i="7"/>
  <c r="D1377" i="7"/>
  <c r="D1376" i="7"/>
  <c r="D1375" i="7"/>
  <c r="D1374" i="7"/>
  <c r="D1373" i="7"/>
  <c r="D1372" i="7"/>
  <c r="D1371" i="7"/>
  <c r="D1370" i="7"/>
  <c r="D1369" i="7"/>
  <c r="D1368" i="7"/>
  <c r="D1367" i="7"/>
  <c r="D1366" i="7"/>
  <c r="D1365" i="7"/>
  <c r="D1364" i="7"/>
  <c r="D1363" i="7"/>
  <c r="D1362" i="7"/>
  <c r="D1361" i="7"/>
  <c r="D1360" i="7"/>
  <c r="D1359" i="7"/>
  <c r="D1358" i="7"/>
  <c r="D1357" i="7"/>
  <c r="D1356" i="7"/>
  <c r="D1355" i="7"/>
  <c r="D1354" i="7"/>
  <c r="D1353" i="7"/>
  <c r="D1352" i="7"/>
  <c r="D1351" i="7"/>
  <c r="D1350" i="7"/>
  <c r="D1349" i="7"/>
  <c r="D1348" i="7"/>
  <c r="D1347" i="7"/>
  <c r="D1346" i="7"/>
  <c r="D1345" i="7"/>
  <c r="D1344" i="7"/>
  <c r="D1343" i="7"/>
  <c r="D1342" i="7"/>
  <c r="D1341" i="7"/>
  <c r="D1340" i="7"/>
  <c r="D1339" i="7"/>
  <c r="D1338" i="7"/>
  <c r="D1337" i="7"/>
  <c r="D1336" i="7"/>
  <c r="D1335" i="7"/>
  <c r="D1334" i="7"/>
  <c r="D1333" i="7"/>
  <c r="H1332" i="7"/>
  <c r="K1332" i="7" s="1"/>
  <c r="G1332" i="7"/>
  <c r="I1332" i="7" s="1"/>
  <c r="J1332" i="7" s="1"/>
  <c r="D1332" i="7"/>
  <c r="D1331" i="7"/>
  <c r="D1330" i="7"/>
  <c r="D1329" i="7"/>
  <c r="D1328" i="7"/>
  <c r="D1327" i="7"/>
  <c r="D1326" i="7"/>
  <c r="D1325" i="7"/>
  <c r="D1324" i="7"/>
  <c r="D1323" i="7"/>
  <c r="D1322" i="7"/>
  <c r="D1321" i="7"/>
  <c r="D1320" i="7"/>
  <c r="D1319" i="7"/>
  <c r="D1318" i="7"/>
  <c r="D1317" i="7"/>
  <c r="D1316" i="7"/>
  <c r="D1315" i="7"/>
  <c r="D1314" i="7"/>
  <c r="D1313" i="7"/>
  <c r="D1312" i="7"/>
  <c r="D1311" i="7"/>
  <c r="D1310" i="7"/>
  <c r="D1309" i="7"/>
  <c r="D1308" i="7"/>
  <c r="D1307" i="7"/>
  <c r="D1306" i="7"/>
  <c r="D1305" i="7"/>
  <c r="D1304" i="7"/>
  <c r="D1303" i="7"/>
  <c r="D1302" i="7"/>
  <c r="D1301" i="7"/>
  <c r="D1300" i="7"/>
  <c r="D1299" i="7"/>
  <c r="D1298" i="7"/>
  <c r="D1297" i="7"/>
  <c r="D1296" i="7"/>
  <c r="D1295" i="7"/>
  <c r="D1294" i="7"/>
  <c r="D1293" i="7"/>
  <c r="D1292" i="7"/>
  <c r="D1291" i="7"/>
  <c r="D1290" i="7"/>
  <c r="D1289" i="7"/>
  <c r="D1288" i="7"/>
  <c r="D1287" i="7"/>
  <c r="D1286" i="7"/>
  <c r="D1285" i="7"/>
  <c r="D1284" i="7"/>
  <c r="D1283" i="7"/>
  <c r="D1282" i="7"/>
  <c r="D1281" i="7"/>
  <c r="D1280" i="7"/>
  <c r="D1279" i="7"/>
  <c r="D1278" i="7"/>
  <c r="D1277" i="7"/>
  <c r="D1276" i="7"/>
  <c r="D1275" i="7"/>
  <c r="D1274" i="7"/>
  <c r="D1273" i="7"/>
  <c r="D1272" i="7"/>
  <c r="D1271" i="7"/>
  <c r="D1270" i="7"/>
  <c r="D1269" i="7"/>
  <c r="D1268" i="7"/>
  <c r="D1267" i="7"/>
  <c r="D1266" i="7"/>
  <c r="D1265" i="7"/>
  <c r="D1264" i="7"/>
  <c r="D1263" i="7"/>
  <c r="D1262" i="7"/>
  <c r="D1261" i="7"/>
  <c r="D1260"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6" i="7"/>
  <c r="D1225"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H1157" i="7"/>
  <c r="K1157" i="7" s="1"/>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G1026" i="7"/>
  <c r="I1026" i="7" s="1"/>
  <c r="J1026" i="7" s="1"/>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H969" i="7"/>
  <c r="K969" i="7" s="1"/>
  <c r="G969" i="7"/>
  <c r="F969" i="7"/>
  <c r="E969"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H878" i="7"/>
  <c r="K878" i="7" s="1"/>
  <c r="G878" i="7"/>
  <c r="I878" i="7" s="1"/>
  <c r="J878" i="7" s="1"/>
  <c r="F878" i="7"/>
  <c r="D878" i="7"/>
  <c r="E878" i="7" s="1"/>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H787" i="7"/>
  <c r="K787" i="7" s="1"/>
  <c r="G787" i="7"/>
  <c r="I787" i="7" s="1"/>
  <c r="J787" i="7" s="1"/>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E742"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G424" i="7"/>
  <c r="I424" i="7" s="1"/>
  <c r="J424" i="7" s="1"/>
  <c r="D424" i="7"/>
  <c r="D423" i="7"/>
  <c r="D422" i="7"/>
  <c r="D421" i="7"/>
  <c r="D420" i="7"/>
  <c r="D419" i="7"/>
  <c r="H418" i="7"/>
  <c r="K418" i="7" s="1"/>
  <c r="G418" i="7"/>
  <c r="I418" i="7" s="1"/>
  <c r="J418" i="7" s="1"/>
  <c r="F418" i="7"/>
  <c r="E418"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H327" i="7"/>
  <c r="K327" i="7" s="1"/>
  <c r="G327" i="7"/>
  <c r="I327" i="7" s="1"/>
  <c r="J327" i="7" s="1"/>
  <c r="F327" i="7"/>
  <c r="D327" i="7"/>
  <c r="E327" i="7" s="1"/>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F258" i="7"/>
  <c r="D258" i="7"/>
  <c r="D257" i="7"/>
  <c r="D256" i="7"/>
  <c r="D255" i="7"/>
  <c r="D254" i="7"/>
  <c r="D253" i="7"/>
  <c r="D252" i="7"/>
  <c r="D251" i="7"/>
  <c r="D250" i="7"/>
  <c r="D249" i="7"/>
  <c r="D248" i="7"/>
  <c r="D247" i="7"/>
  <c r="D246" i="7"/>
  <c r="D245" i="7"/>
  <c r="D244" i="7"/>
  <c r="D243" i="7"/>
  <c r="D242" i="7"/>
  <c r="D241" i="7"/>
  <c r="D240" i="7"/>
  <c r="D239" i="7"/>
  <c r="D238" i="7"/>
  <c r="D237" i="7"/>
  <c r="F236" i="7"/>
  <c r="D236" i="7"/>
  <c r="D235" i="7"/>
  <c r="D234" i="7"/>
  <c r="H233" i="7"/>
  <c r="K233" i="7" s="1"/>
  <c r="G233" i="7"/>
  <c r="I233" i="7" s="1"/>
  <c r="J233" i="7" s="1"/>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O51" i="4"/>
  <c r="N51" i="4"/>
  <c r="K51" i="4"/>
  <c r="J51" i="4"/>
  <c r="G51" i="4"/>
  <c r="F51" i="4"/>
  <c r="C51" i="4"/>
  <c r="B51" i="4"/>
  <c r="M5" i="4"/>
  <c r="I5" i="4"/>
  <c r="E5" i="4"/>
  <c r="A5" i="4"/>
  <c r="S51" i="3"/>
  <c r="R51" i="3"/>
  <c r="O51" i="3"/>
  <c r="N51" i="3"/>
  <c r="K51" i="3"/>
  <c r="J51" i="3"/>
  <c r="G51" i="3"/>
  <c r="F51" i="3"/>
  <c r="C51" i="3"/>
  <c r="B51" i="3"/>
  <c r="Q5" i="3"/>
  <c r="M5" i="3"/>
  <c r="I5" i="3"/>
  <c r="E5" i="3"/>
  <c r="A5" i="3"/>
  <c r="AF76" i="1"/>
  <c r="Q9" i="5" s="1"/>
  <c r="AD76" i="1"/>
  <c r="P9" i="5" s="1"/>
  <c r="AB76" i="1"/>
  <c r="O9" i="5" s="1"/>
  <c r="Z76" i="1"/>
  <c r="N9" i="5" s="1"/>
  <c r="X76" i="1"/>
  <c r="M9" i="5" s="1"/>
  <c r="V76" i="1"/>
  <c r="L9" i="5" s="1"/>
  <c r="T76" i="1"/>
  <c r="K9" i="5" s="1"/>
  <c r="R76" i="1"/>
  <c r="J9" i="5" s="1"/>
  <c r="P76" i="1"/>
  <c r="I9" i="5" s="1"/>
  <c r="N76" i="1"/>
  <c r="H9" i="5" s="1"/>
  <c r="M76" i="1"/>
  <c r="L76" i="1"/>
  <c r="G9" i="5" s="1"/>
  <c r="K76" i="1"/>
  <c r="J76" i="1"/>
  <c r="F9" i="5" s="1"/>
  <c r="H76" i="1"/>
  <c r="E9" i="5" s="1"/>
  <c r="F76" i="1"/>
  <c r="D9" i="5" s="1"/>
  <c r="D76" i="1"/>
  <c r="C9" i="5" s="1"/>
  <c r="B76" i="1"/>
  <c r="AF59" i="1"/>
  <c r="Q8" i="5" s="1"/>
  <c r="AD59" i="1"/>
  <c r="P8" i="5" s="1"/>
  <c r="AB59" i="1"/>
  <c r="O8" i="5" s="1"/>
  <c r="Z59" i="1"/>
  <c r="N8" i="5" s="1"/>
  <c r="X59" i="1"/>
  <c r="M8" i="5" s="1"/>
  <c r="V59" i="1"/>
  <c r="L8" i="5" s="1"/>
  <c r="T59" i="1"/>
  <c r="K8" i="5" s="1"/>
  <c r="R59" i="1"/>
  <c r="J8" i="5" s="1"/>
  <c r="P59" i="1"/>
  <c r="I8" i="5" s="1"/>
  <c r="N59" i="1"/>
  <c r="H8" i="5" s="1"/>
  <c r="M59" i="1"/>
  <c r="L59" i="1"/>
  <c r="G8" i="5" s="1"/>
  <c r="K59" i="1"/>
  <c r="J59" i="1"/>
  <c r="F8" i="5" s="1"/>
  <c r="H59" i="1"/>
  <c r="E8" i="5" s="1"/>
  <c r="F59" i="1"/>
  <c r="D8" i="5" s="1"/>
  <c r="D59" i="1"/>
  <c r="C8" i="5" s="1"/>
  <c r="B59" i="1"/>
  <c r="AF42" i="1"/>
  <c r="Q7" i="5" s="1"/>
  <c r="AD42" i="1"/>
  <c r="P7" i="5" s="1"/>
  <c r="AB42" i="1"/>
  <c r="O7" i="5" s="1"/>
  <c r="Z42" i="1"/>
  <c r="N7" i="5" s="1"/>
  <c r="X42" i="1"/>
  <c r="M7" i="5" s="1"/>
  <c r="V42" i="1"/>
  <c r="L7" i="5" s="1"/>
  <c r="T42" i="1"/>
  <c r="K7" i="5" s="1"/>
  <c r="R42" i="1"/>
  <c r="J7" i="5" s="1"/>
  <c r="P42" i="1"/>
  <c r="I7" i="5" s="1"/>
  <c r="N42" i="1"/>
  <c r="H7" i="5" s="1"/>
  <c r="M42" i="1"/>
  <c r="L42" i="1"/>
  <c r="G7" i="5" s="1"/>
  <c r="K42" i="1"/>
  <c r="J42" i="1"/>
  <c r="F7" i="5" s="1"/>
  <c r="H42" i="1"/>
  <c r="E7" i="5" s="1"/>
  <c r="F42" i="1"/>
  <c r="D7" i="5" s="1"/>
  <c r="D42" i="1"/>
  <c r="C7" i="5" s="1"/>
  <c r="B42" i="1"/>
  <c r="AF25" i="1"/>
  <c r="Q6" i="5" s="1"/>
  <c r="Q10" i="5" s="1"/>
  <c r="AD25" i="1"/>
  <c r="P6" i="5" s="1"/>
  <c r="P10" i="5" s="1"/>
  <c r="AB25" i="1"/>
  <c r="O6" i="5" s="1"/>
  <c r="O10" i="5" s="1"/>
  <c r="Z25" i="1"/>
  <c r="N6" i="5" s="1"/>
  <c r="N10" i="5" s="1"/>
  <c r="X25" i="1"/>
  <c r="M6" i="5" s="1"/>
  <c r="M10" i="5" s="1"/>
  <c r="V25" i="1"/>
  <c r="L6" i="5" s="1"/>
  <c r="L10" i="5" s="1"/>
  <c r="T25" i="1"/>
  <c r="K6" i="5" s="1"/>
  <c r="K10" i="5" s="1"/>
  <c r="R25" i="1"/>
  <c r="J6" i="5" s="1"/>
  <c r="J10" i="5" s="1"/>
  <c r="P25" i="1"/>
  <c r="I6" i="5" s="1"/>
  <c r="I10" i="5" s="1"/>
  <c r="N25" i="1"/>
  <c r="H6" i="5" s="1"/>
  <c r="H10" i="5" s="1"/>
  <c r="M25" i="1"/>
  <c r="L25" i="1"/>
  <c r="G6" i="5" s="1"/>
  <c r="G10" i="5" s="1"/>
  <c r="K25" i="1"/>
  <c r="J25" i="1"/>
  <c r="F6" i="5" s="1"/>
  <c r="F10" i="5" s="1"/>
  <c r="H25" i="1"/>
  <c r="E6" i="5" s="1"/>
  <c r="E10" i="5" s="1"/>
  <c r="F25" i="1"/>
  <c r="D6" i="5" s="1"/>
  <c r="D10" i="5" s="1"/>
  <c r="D25" i="1"/>
  <c r="C6" i="5" s="1"/>
  <c r="C10" i="5" s="1"/>
  <c r="B25" i="1"/>
  <c r="M5" i="1"/>
  <c r="K5" i="1"/>
  <c r="I5" i="1"/>
  <c r="A5" i="1"/>
  <c r="P76" i="2"/>
  <c r="I18" i="5" s="1"/>
  <c r="N76" i="2"/>
  <c r="H18" i="5" s="1"/>
  <c r="L76" i="2"/>
  <c r="G18" i="5" s="1"/>
  <c r="J76" i="2"/>
  <c r="F18" i="5" s="1"/>
  <c r="H76" i="2"/>
  <c r="E18" i="5" s="1"/>
  <c r="F76" i="2"/>
  <c r="D18" i="5" s="1"/>
  <c r="D76" i="2"/>
  <c r="C18" i="5" s="1"/>
  <c r="B76" i="2"/>
  <c r="P59" i="2"/>
  <c r="I17" i="5" s="1"/>
  <c r="N59" i="2"/>
  <c r="H17" i="5" s="1"/>
  <c r="L59" i="2"/>
  <c r="G17" i="5" s="1"/>
  <c r="J59" i="2"/>
  <c r="F17" i="5" s="1"/>
  <c r="H59" i="2"/>
  <c r="E17" i="5" s="1"/>
  <c r="F59" i="2"/>
  <c r="D17" i="5" s="1"/>
  <c r="D59" i="2"/>
  <c r="C17" i="5" s="1"/>
  <c r="B59" i="2"/>
  <c r="P42" i="2"/>
  <c r="I16" i="5" s="1"/>
  <c r="N42" i="2"/>
  <c r="H16" i="5" s="1"/>
  <c r="L42" i="2"/>
  <c r="G16" i="5" s="1"/>
  <c r="J42" i="2"/>
  <c r="F16" i="5" s="1"/>
  <c r="H42" i="2"/>
  <c r="E16" i="5" s="1"/>
  <c r="F42" i="2"/>
  <c r="D16" i="5" s="1"/>
  <c r="D42" i="2"/>
  <c r="C16" i="5" s="1"/>
  <c r="B42" i="2"/>
  <c r="P25" i="2"/>
  <c r="I15" i="5" s="1"/>
  <c r="I19" i="5" s="1"/>
  <c r="N25" i="2"/>
  <c r="H15" i="5" s="1"/>
  <c r="H19" i="5" s="1"/>
  <c r="L25" i="2"/>
  <c r="G15" i="5" s="1"/>
  <c r="G19" i="5" s="1"/>
  <c r="J25" i="2"/>
  <c r="F15" i="5" s="1"/>
  <c r="H25" i="2"/>
  <c r="E15" i="5" s="1"/>
  <c r="E19" i="5" s="1"/>
  <c r="F25" i="2"/>
  <c r="D15" i="5" s="1"/>
  <c r="D19" i="5" s="1"/>
  <c r="D25" i="2"/>
  <c r="C15" i="5" s="1"/>
  <c r="C19" i="5" s="1"/>
  <c r="B25" i="2"/>
  <c r="A5" i="2"/>
  <c r="F19" i="5" l="1"/>
  <c r="E5" i="2"/>
  <c r="G5" i="2"/>
  <c r="H1513" i="7"/>
  <c r="K1513" i="7" s="1"/>
  <c r="G1513" i="7"/>
  <c r="I1513" i="7" s="1"/>
  <c r="J1513" i="7" s="1"/>
  <c r="F1513" i="7"/>
  <c r="E1513" i="7"/>
  <c r="H1512" i="7"/>
  <c r="K1512" i="7" s="1"/>
  <c r="G1512" i="7"/>
  <c r="I1512" i="7" s="1"/>
  <c r="J1512" i="7" s="1"/>
  <c r="F1512" i="7"/>
  <c r="E1512" i="7"/>
  <c r="H1511" i="7"/>
  <c r="K1511" i="7" s="1"/>
  <c r="G1511" i="7"/>
  <c r="I1511" i="7" s="1"/>
  <c r="J1511" i="7" s="1"/>
  <c r="F1511" i="7"/>
  <c r="E1511" i="7"/>
  <c r="H1510" i="7"/>
  <c r="K1510" i="7" s="1"/>
  <c r="G1510" i="7"/>
  <c r="I1510" i="7" s="1"/>
  <c r="J1510" i="7" s="1"/>
  <c r="F1510" i="7"/>
  <c r="E1510" i="7"/>
  <c r="H1509" i="7"/>
  <c r="K1509" i="7" s="1"/>
  <c r="G1509" i="7"/>
  <c r="I1509" i="7" s="1"/>
  <c r="J1509" i="7" s="1"/>
  <c r="F1509" i="7"/>
  <c r="E1509" i="7"/>
  <c r="H1508" i="7"/>
  <c r="K1508" i="7" s="1"/>
  <c r="G1508" i="7"/>
  <c r="I1508" i="7" s="1"/>
  <c r="J1508" i="7" s="1"/>
  <c r="F1508" i="7"/>
  <c r="E1508" i="7"/>
  <c r="H1507" i="7"/>
  <c r="K1507" i="7" s="1"/>
  <c r="G1507" i="7"/>
  <c r="I1507" i="7" s="1"/>
  <c r="J1507" i="7" s="1"/>
  <c r="F1507" i="7"/>
  <c r="E1507" i="7"/>
  <c r="H1506" i="7"/>
  <c r="K1506" i="7" s="1"/>
  <c r="G1506" i="7"/>
  <c r="I1506" i="7" s="1"/>
  <c r="J1506" i="7" s="1"/>
  <c r="F1506" i="7"/>
  <c r="E1506" i="7"/>
  <c r="H1505" i="7"/>
  <c r="K1505" i="7" s="1"/>
  <c r="G1505" i="7"/>
  <c r="I1505" i="7" s="1"/>
  <c r="J1505" i="7" s="1"/>
  <c r="F1505" i="7"/>
  <c r="E1505" i="7"/>
  <c r="H1504" i="7"/>
  <c r="K1504" i="7" s="1"/>
  <c r="G1504" i="7"/>
  <c r="I1504" i="7" s="1"/>
  <c r="J1504" i="7" s="1"/>
  <c r="F1504" i="7"/>
  <c r="E1504" i="7"/>
  <c r="H1503" i="7"/>
  <c r="K1503" i="7" s="1"/>
  <c r="G1503" i="7"/>
  <c r="I1503" i="7" s="1"/>
  <c r="J1503" i="7" s="1"/>
  <c r="F1503" i="7"/>
  <c r="E1503" i="7"/>
  <c r="H1502" i="7"/>
  <c r="K1502" i="7" s="1"/>
  <c r="G1502" i="7"/>
  <c r="I1502" i="7" s="1"/>
  <c r="J1502" i="7" s="1"/>
  <c r="F1502" i="7"/>
  <c r="E1502" i="7"/>
  <c r="H1501" i="7"/>
  <c r="K1501" i="7" s="1"/>
  <c r="G1501" i="7"/>
  <c r="I1501" i="7" s="1"/>
  <c r="J1501" i="7" s="1"/>
  <c r="F1501" i="7"/>
  <c r="E1501" i="7"/>
  <c r="H1500" i="7"/>
  <c r="K1500" i="7" s="1"/>
  <c r="G1500" i="7"/>
  <c r="I1500" i="7" s="1"/>
  <c r="J1500" i="7" s="1"/>
  <c r="F1500" i="7"/>
  <c r="E1500" i="7"/>
  <c r="H1499" i="7"/>
  <c r="K1499" i="7" s="1"/>
  <c r="G1499" i="7"/>
  <c r="I1499" i="7" s="1"/>
  <c r="J1499" i="7" s="1"/>
  <c r="F1499" i="7"/>
  <c r="E1499" i="7"/>
  <c r="H1498" i="7"/>
  <c r="K1498" i="7" s="1"/>
  <c r="G1498" i="7"/>
  <c r="I1498" i="7" s="1"/>
  <c r="J1498" i="7" s="1"/>
  <c r="F1498" i="7"/>
  <c r="E1498" i="7"/>
  <c r="H1497" i="7"/>
  <c r="K1497" i="7" s="1"/>
  <c r="G1497" i="7"/>
  <c r="I1497" i="7" s="1"/>
  <c r="J1497" i="7" s="1"/>
  <c r="F1497" i="7"/>
  <c r="E1497" i="7"/>
  <c r="H1496" i="7"/>
  <c r="K1496" i="7" s="1"/>
  <c r="G1496" i="7"/>
  <c r="I1496" i="7" s="1"/>
  <c r="J1496" i="7" s="1"/>
  <c r="F1496" i="7"/>
  <c r="E1496" i="7"/>
  <c r="H1495" i="7"/>
  <c r="K1495" i="7" s="1"/>
  <c r="G1495" i="7"/>
  <c r="I1495" i="7" s="1"/>
  <c r="J1495" i="7" s="1"/>
  <c r="F1495" i="7"/>
  <c r="E1495" i="7"/>
  <c r="H1494" i="7"/>
  <c r="K1494" i="7" s="1"/>
  <c r="G1494" i="7"/>
  <c r="I1494" i="7" s="1"/>
  <c r="J1494" i="7" s="1"/>
  <c r="F1494" i="7"/>
  <c r="E1494" i="7"/>
  <c r="H1493" i="7"/>
  <c r="K1493" i="7" s="1"/>
  <c r="G1493" i="7"/>
  <c r="I1493" i="7" s="1"/>
  <c r="J1493" i="7" s="1"/>
  <c r="F1493" i="7"/>
  <c r="E1493" i="7"/>
  <c r="H1492" i="7"/>
  <c r="K1492" i="7" s="1"/>
  <c r="G1492" i="7"/>
  <c r="I1492" i="7" s="1"/>
  <c r="J1492" i="7" s="1"/>
  <c r="F1492" i="7"/>
  <c r="E1492" i="7"/>
  <c r="H1491" i="7"/>
  <c r="K1491" i="7" s="1"/>
  <c r="G1491" i="7"/>
  <c r="I1491" i="7" s="1"/>
  <c r="J1491" i="7" s="1"/>
  <c r="F1491" i="7"/>
  <c r="E1491" i="7"/>
  <c r="H1490" i="7"/>
  <c r="K1490" i="7" s="1"/>
  <c r="G1490" i="7"/>
  <c r="I1490" i="7" s="1"/>
  <c r="J1490" i="7" s="1"/>
  <c r="F1490" i="7"/>
  <c r="E1490" i="7"/>
  <c r="H1489" i="7"/>
  <c r="K1489" i="7" s="1"/>
  <c r="G1489" i="7"/>
  <c r="I1489" i="7" s="1"/>
  <c r="J1489" i="7" s="1"/>
  <c r="F1489" i="7"/>
  <c r="E1489" i="7"/>
  <c r="H1488" i="7"/>
  <c r="K1488" i="7" s="1"/>
  <c r="G1488" i="7"/>
  <c r="I1488" i="7" s="1"/>
  <c r="J1488" i="7" s="1"/>
  <c r="F1488" i="7"/>
  <c r="E1488" i="7"/>
  <c r="H1487" i="7"/>
  <c r="K1487" i="7" s="1"/>
  <c r="G1487" i="7"/>
  <c r="I1487" i="7" s="1"/>
  <c r="J1487" i="7" s="1"/>
  <c r="F1487" i="7"/>
  <c r="E1487" i="7"/>
  <c r="H1486" i="7"/>
  <c r="K1486" i="7" s="1"/>
  <c r="G1486" i="7"/>
  <c r="I1486" i="7" s="1"/>
  <c r="J1486" i="7" s="1"/>
  <c r="F1486" i="7"/>
  <c r="E1486" i="7"/>
  <c r="H1485" i="7"/>
  <c r="K1485" i="7" s="1"/>
  <c r="G1485" i="7"/>
  <c r="I1485" i="7" s="1"/>
  <c r="J1485" i="7" s="1"/>
  <c r="F1485" i="7"/>
  <c r="E1485" i="7"/>
  <c r="H1484" i="7"/>
  <c r="K1484" i="7" s="1"/>
  <c r="G1484" i="7"/>
  <c r="I1484" i="7" s="1"/>
  <c r="J1484" i="7" s="1"/>
  <c r="F1484" i="7"/>
  <c r="E1484" i="7"/>
  <c r="H1483" i="7"/>
  <c r="K1483" i="7" s="1"/>
  <c r="G1483" i="7"/>
  <c r="I1483" i="7" s="1"/>
  <c r="J1483" i="7" s="1"/>
  <c r="F1483" i="7"/>
  <c r="E1483" i="7"/>
  <c r="H1482" i="7"/>
  <c r="K1482" i="7" s="1"/>
  <c r="G1482" i="7"/>
  <c r="I1482" i="7" s="1"/>
  <c r="J1482" i="7" s="1"/>
  <c r="F1482" i="7"/>
  <c r="E1482" i="7"/>
  <c r="H1481" i="7"/>
  <c r="K1481" i="7" s="1"/>
  <c r="G1481" i="7"/>
  <c r="I1481" i="7" s="1"/>
  <c r="J1481" i="7" s="1"/>
  <c r="F1481" i="7"/>
  <c r="E1481" i="7"/>
  <c r="H1480" i="7"/>
  <c r="K1480" i="7" s="1"/>
  <c r="G1480" i="7"/>
  <c r="I1480" i="7" s="1"/>
  <c r="J1480" i="7" s="1"/>
  <c r="F1480" i="7"/>
  <c r="E1480" i="7"/>
  <c r="H1479" i="7"/>
  <c r="K1479" i="7" s="1"/>
  <c r="G1479" i="7"/>
  <c r="I1479" i="7" s="1"/>
  <c r="J1479" i="7" s="1"/>
  <c r="F1479" i="7"/>
  <c r="E1479" i="7"/>
  <c r="H1478" i="7"/>
  <c r="K1478" i="7" s="1"/>
  <c r="G1478" i="7"/>
  <c r="I1478" i="7" s="1"/>
  <c r="J1478" i="7" s="1"/>
  <c r="F1478" i="7"/>
  <c r="E1478" i="7"/>
  <c r="H1477" i="7"/>
  <c r="K1477" i="7" s="1"/>
  <c r="G1477" i="7"/>
  <c r="I1477" i="7" s="1"/>
  <c r="J1477" i="7" s="1"/>
  <c r="F1477" i="7"/>
  <c r="E1477" i="7"/>
  <c r="H1476" i="7"/>
  <c r="K1476" i="7" s="1"/>
  <c r="G1476" i="7"/>
  <c r="I1476" i="7" s="1"/>
  <c r="J1476" i="7" s="1"/>
  <c r="F1476" i="7"/>
  <c r="E1476" i="7"/>
  <c r="H1475" i="7"/>
  <c r="K1475" i="7" s="1"/>
  <c r="G1475" i="7"/>
  <c r="I1475" i="7" s="1"/>
  <c r="J1475" i="7" s="1"/>
  <c r="F1475" i="7"/>
  <c r="E1475" i="7"/>
  <c r="H1474" i="7"/>
  <c r="K1474" i="7" s="1"/>
  <c r="G1474" i="7"/>
  <c r="I1474" i="7" s="1"/>
  <c r="J1474" i="7" s="1"/>
  <c r="F1474" i="7"/>
  <c r="E1474" i="7"/>
  <c r="H1473" i="7"/>
  <c r="K1473" i="7" s="1"/>
  <c r="G1473" i="7"/>
  <c r="I1473" i="7" s="1"/>
  <c r="J1473" i="7" s="1"/>
  <c r="F1473" i="7"/>
  <c r="E1473" i="7"/>
  <c r="H1472" i="7"/>
  <c r="K1472" i="7" s="1"/>
  <c r="G1472" i="7"/>
  <c r="I1472" i="7" s="1"/>
  <c r="J1472" i="7" s="1"/>
  <c r="F1472" i="7"/>
  <c r="E1472" i="7"/>
  <c r="H1471" i="7"/>
  <c r="K1471" i="7" s="1"/>
  <c r="G1471" i="7"/>
  <c r="I1471" i="7" s="1"/>
  <c r="J1471" i="7" s="1"/>
  <c r="F1471" i="7"/>
  <c r="E1471" i="7"/>
  <c r="H1470" i="7"/>
  <c r="K1470" i="7" s="1"/>
  <c r="G1470" i="7"/>
  <c r="I1470" i="7" s="1"/>
  <c r="J1470" i="7" s="1"/>
  <c r="F1470" i="7"/>
  <c r="E1470" i="7"/>
  <c r="H1469" i="7"/>
  <c r="K1469" i="7" s="1"/>
  <c r="G1469" i="7"/>
  <c r="I1469" i="7" s="1"/>
  <c r="J1469" i="7" s="1"/>
  <c r="F1469" i="7"/>
  <c r="E1469" i="7"/>
  <c r="H1468" i="7"/>
  <c r="K1468" i="7" s="1"/>
  <c r="G1468" i="7"/>
  <c r="I1468" i="7" s="1"/>
  <c r="J1468" i="7" s="1"/>
  <c r="F1468" i="7"/>
  <c r="E1468" i="7"/>
  <c r="H1467" i="7"/>
  <c r="K1467" i="7" s="1"/>
  <c r="G1467" i="7"/>
  <c r="I1467" i="7" s="1"/>
  <c r="J1467" i="7" s="1"/>
  <c r="F1467" i="7"/>
  <c r="E1467" i="7"/>
  <c r="H1466" i="7"/>
  <c r="K1466" i="7" s="1"/>
  <c r="G1466" i="7"/>
  <c r="I1466" i="7" s="1"/>
  <c r="J1466" i="7" s="1"/>
  <c r="F1466" i="7"/>
  <c r="E1466" i="7"/>
  <c r="H1465" i="7"/>
  <c r="K1465" i="7" s="1"/>
  <c r="G1465" i="7"/>
  <c r="I1465" i="7" s="1"/>
  <c r="J1465" i="7" s="1"/>
  <c r="F1465" i="7"/>
  <c r="E1465" i="7"/>
  <c r="H1464" i="7"/>
  <c r="K1464" i="7" s="1"/>
  <c r="G1464" i="7"/>
  <c r="I1464" i="7" s="1"/>
  <c r="J1464" i="7" s="1"/>
  <c r="F1464" i="7"/>
  <c r="E1464" i="7"/>
  <c r="H1463" i="7"/>
  <c r="K1463" i="7" s="1"/>
  <c r="G1463" i="7"/>
  <c r="I1463" i="7" s="1"/>
  <c r="J1463" i="7" s="1"/>
  <c r="F1463" i="7"/>
  <c r="E1463" i="7"/>
  <c r="H1462" i="7"/>
  <c r="K1462" i="7" s="1"/>
  <c r="G1462" i="7"/>
  <c r="I1462" i="7" s="1"/>
  <c r="J1462" i="7" s="1"/>
  <c r="F1462" i="7"/>
  <c r="E1462" i="7"/>
  <c r="H1461" i="7"/>
  <c r="K1461" i="7" s="1"/>
  <c r="G1461" i="7"/>
  <c r="I1461" i="7" s="1"/>
  <c r="J1461" i="7" s="1"/>
  <c r="F1461" i="7"/>
  <c r="E1461" i="7"/>
  <c r="H1460" i="7"/>
  <c r="K1460" i="7" s="1"/>
  <c r="G1460" i="7"/>
  <c r="I1460" i="7" s="1"/>
  <c r="J1460" i="7" s="1"/>
  <c r="F1460" i="7"/>
  <c r="E1460" i="7"/>
  <c r="H1459" i="7"/>
  <c r="K1459" i="7" s="1"/>
  <c r="G1459" i="7"/>
  <c r="I1459" i="7" s="1"/>
  <c r="J1459" i="7" s="1"/>
  <c r="F1459" i="7"/>
  <c r="E1459" i="7"/>
  <c r="H1458" i="7"/>
  <c r="K1458" i="7" s="1"/>
  <c r="G1458" i="7"/>
  <c r="I1458" i="7" s="1"/>
  <c r="J1458" i="7" s="1"/>
  <c r="F1458" i="7"/>
  <c r="E1458" i="7"/>
  <c r="H1457" i="7"/>
  <c r="K1457" i="7" s="1"/>
  <c r="G1457" i="7"/>
  <c r="I1457" i="7" s="1"/>
  <c r="J1457" i="7" s="1"/>
  <c r="F1457" i="7"/>
  <c r="E1457" i="7"/>
  <c r="H1456" i="7"/>
  <c r="K1456" i="7" s="1"/>
  <c r="G1456" i="7"/>
  <c r="I1456" i="7" s="1"/>
  <c r="J1456" i="7" s="1"/>
  <c r="F1456" i="7"/>
  <c r="E1456" i="7"/>
  <c r="H1455" i="7"/>
  <c r="K1455" i="7" s="1"/>
  <c r="G1455" i="7"/>
  <c r="I1455" i="7" s="1"/>
  <c r="J1455" i="7" s="1"/>
  <c r="F1455" i="7"/>
  <c r="E1455" i="7"/>
  <c r="H1454" i="7"/>
  <c r="K1454" i="7" s="1"/>
  <c r="G1454" i="7"/>
  <c r="I1454" i="7" s="1"/>
  <c r="J1454" i="7" s="1"/>
  <c r="F1454" i="7"/>
  <c r="E1454" i="7"/>
  <c r="H1453" i="7"/>
  <c r="K1453" i="7" s="1"/>
  <c r="G1453" i="7"/>
  <c r="I1453" i="7" s="1"/>
  <c r="J1453" i="7" s="1"/>
  <c r="F1453" i="7"/>
  <c r="E1453" i="7"/>
  <c r="H1452" i="7"/>
  <c r="K1452" i="7" s="1"/>
  <c r="G1452" i="7"/>
  <c r="I1452" i="7" s="1"/>
  <c r="J1452" i="7" s="1"/>
  <c r="F1452" i="7"/>
  <c r="E1452" i="7"/>
  <c r="H1451" i="7"/>
  <c r="K1451" i="7" s="1"/>
  <c r="G1451" i="7"/>
  <c r="I1451" i="7" s="1"/>
  <c r="J1451" i="7" s="1"/>
  <c r="F1451" i="7"/>
  <c r="E1451" i="7"/>
  <c r="H1450" i="7"/>
  <c r="K1450" i="7" s="1"/>
  <c r="G1450" i="7"/>
  <c r="I1450" i="7" s="1"/>
  <c r="J1450" i="7" s="1"/>
  <c r="F1450" i="7"/>
  <c r="E1450" i="7"/>
  <c r="H1449" i="7"/>
  <c r="K1449" i="7" s="1"/>
  <c r="G1449" i="7"/>
  <c r="I1449" i="7" s="1"/>
  <c r="J1449" i="7" s="1"/>
  <c r="F1449" i="7"/>
  <c r="E1449" i="7"/>
  <c r="H1448" i="7"/>
  <c r="K1448" i="7" s="1"/>
  <c r="G1448" i="7"/>
  <c r="I1448" i="7" s="1"/>
  <c r="J1448" i="7" s="1"/>
  <c r="F1448" i="7"/>
  <c r="E1448" i="7"/>
  <c r="H1447" i="7"/>
  <c r="K1447" i="7" s="1"/>
  <c r="G1447" i="7"/>
  <c r="I1447" i="7" s="1"/>
  <c r="J1447" i="7" s="1"/>
  <c r="F1447" i="7"/>
  <c r="E1447" i="7"/>
  <c r="H1446" i="7"/>
  <c r="K1446" i="7" s="1"/>
  <c r="G1446" i="7"/>
  <c r="I1446" i="7" s="1"/>
  <c r="J1446" i="7" s="1"/>
  <c r="F1446" i="7"/>
  <c r="E1446" i="7"/>
  <c r="H1445" i="7"/>
  <c r="K1445" i="7" s="1"/>
  <c r="G1445" i="7"/>
  <c r="I1445" i="7" s="1"/>
  <c r="J1445" i="7" s="1"/>
  <c r="F1445" i="7"/>
  <c r="E1445" i="7"/>
  <c r="H1444" i="7"/>
  <c r="K1444" i="7" s="1"/>
  <c r="G1444" i="7"/>
  <c r="I1444" i="7" s="1"/>
  <c r="J1444" i="7" s="1"/>
  <c r="F1444" i="7"/>
  <c r="E1444" i="7"/>
  <c r="H1443" i="7"/>
  <c r="K1443" i="7" s="1"/>
  <c r="G1443" i="7"/>
  <c r="I1443" i="7" s="1"/>
  <c r="J1443" i="7" s="1"/>
  <c r="F1443" i="7"/>
  <c r="E1443" i="7"/>
  <c r="H1442" i="7"/>
  <c r="K1442" i="7" s="1"/>
  <c r="G1442" i="7"/>
  <c r="I1442" i="7" s="1"/>
  <c r="J1442" i="7" s="1"/>
  <c r="F1442" i="7"/>
  <c r="E1442" i="7"/>
  <c r="H1441" i="7"/>
  <c r="K1441" i="7" s="1"/>
  <c r="G1441" i="7"/>
  <c r="I1441" i="7" s="1"/>
  <c r="J1441" i="7" s="1"/>
  <c r="F1441" i="7"/>
  <c r="E1441" i="7"/>
  <c r="H1440" i="7"/>
  <c r="K1440" i="7" s="1"/>
  <c r="G1440" i="7"/>
  <c r="I1440" i="7" s="1"/>
  <c r="J1440" i="7" s="1"/>
  <c r="F1440" i="7"/>
  <c r="E1440" i="7"/>
  <c r="H1439" i="7"/>
  <c r="K1439" i="7" s="1"/>
  <c r="G1439" i="7"/>
  <c r="I1439" i="7" s="1"/>
  <c r="J1439" i="7" s="1"/>
  <c r="F1439" i="7"/>
  <c r="E1439" i="7"/>
  <c r="H1438" i="7"/>
  <c r="K1438" i="7" s="1"/>
  <c r="G1438" i="7"/>
  <c r="I1438" i="7" s="1"/>
  <c r="J1438" i="7" s="1"/>
  <c r="F1438" i="7"/>
  <c r="E1438" i="7"/>
  <c r="H1437" i="7"/>
  <c r="K1437" i="7" s="1"/>
  <c r="G1437" i="7"/>
  <c r="I1437" i="7" s="1"/>
  <c r="J1437" i="7" s="1"/>
  <c r="F1437" i="7"/>
  <c r="E1437" i="7"/>
  <c r="H1436" i="7"/>
  <c r="K1436" i="7" s="1"/>
  <c r="G1436" i="7"/>
  <c r="I1436" i="7" s="1"/>
  <c r="J1436" i="7" s="1"/>
  <c r="F1436" i="7"/>
  <c r="E1436" i="7"/>
  <c r="H1435" i="7"/>
  <c r="K1435" i="7" s="1"/>
  <c r="G1435" i="7"/>
  <c r="I1435" i="7" s="1"/>
  <c r="J1435" i="7" s="1"/>
  <c r="F1435" i="7"/>
  <c r="E1435" i="7"/>
  <c r="H1434" i="7"/>
  <c r="K1434" i="7" s="1"/>
  <c r="G1434" i="7"/>
  <c r="I1434" i="7" s="1"/>
  <c r="J1434" i="7" s="1"/>
  <c r="F1434" i="7"/>
  <c r="E1434" i="7"/>
  <c r="H1433" i="7"/>
  <c r="K1433" i="7" s="1"/>
  <c r="G1433" i="7"/>
  <c r="I1433" i="7" s="1"/>
  <c r="J1433" i="7" s="1"/>
  <c r="F1433" i="7"/>
  <c r="E1433" i="7"/>
  <c r="H1432" i="7"/>
  <c r="K1432" i="7" s="1"/>
  <c r="G1432" i="7"/>
  <c r="I1432" i="7" s="1"/>
  <c r="J1432" i="7" s="1"/>
  <c r="F1432" i="7"/>
  <c r="E1432" i="7"/>
  <c r="H1431" i="7"/>
  <c r="K1431" i="7" s="1"/>
  <c r="G1431" i="7"/>
  <c r="I1431" i="7" s="1"/>
  <c r="J1431" i="7" s="1"/>
  <c r="F1431" i="7"/>
  <c r="E1431" i="7"/>
  <c r="H1430" i="7"/>
  <c r="K1430" i="7" s="1"/>
  <c r="G1430" i="7"/>
  <c r="I1430" i="7" s="1"/>
  <c r="J1430" i="7" s="1"/>
  <c r="F1430" i="7"/>
  <c r="E1430" i="7"/>
  <c r="H1429" i="7"/>
  <c r="K1429" i="7" s="1"/>
  <c r="G1429" i="7"/>
  <c r="I1429" i="7" s="1"/>
  <c r="J1429" i="7" s="1"/>
  <c r="F1429" i="7"/>
  <c r="E1429" i="7"/>
  <c r="H1428" i="7"/>
  <c r="K1428" i="7" s="1"/>
  <c r="G1428" i="7"/>
  <c r="I1428" i="7" s="1"/>
  <c r="J1428" i="7" s="1"/>
  <c r="F1428" i="7"/>
  <c r="E1428" i="7"/>
  <c r="H1427" i="7"/>
  <c r="K1427" i="7" s="1"/>
  <c r="G1427" i="7"/>
  <c r="I1427" i="7" s="1"/>
  <c r="J1427" i="7" s="1"/>
  <c r="F1427" i="7"/>
  <c r="E1427" i="7"/>
  <c r="H1426" i="7"/>
  <c r="K1426" i="7" s="1"/>
  <c r="G1426" i="7"/>
  <c r="I1426" i="7" s="1"/>
  <c r="J1426" i="7" s="1"/>
  <c r="F1426" i="7"/>
  <c r="E1426" i="7"/>
  <c r="H1425" i="7"/>
  <c r="K1425" i="7" s="1"/>
  <c r="G1425" i="7"/>
  <c r="I1425" i="7" s="1"/>
  <c r="J1425" i="7" s="1"/>
  <c r="F1425" i="7"/>
  <c r="E1425" i="7"/>
  <c r="H1424" i="7"/>
  <c r="K1424" i="7" s="1"/>
  <c r="G1424" i="7"/>
  <c r="I1424" i="7" s="1"/>
  <c r="J1424" i="7" s="1"/>
  <c r="F1424" i="7"/>
  <c r="E1424" i="7"/>
  <c r="G1422" i="7"/>
  <c r="I1422" i="7" s="1"/>
  <c r="J1422" i="7" s="1"/>
  <c r="F1422" i="7"/>
  <c r="E1422" i="7"/>
  <c r="H1422" i="7"/>
  <c r="K1422" i="7" s="1"/>
  <c r="H1421" i="7"/>
  <c r="K1421" i="7" s="1"/>
  <c r="G1421" i="7"/>
  <c r="I1421" i="7" s="1"/>
  <c r="J1421" i="7" s="1"/>
  <c r="F1421" i="7"/>
  <c r="E1421" i="7"/>
  <c r="H1420" i="7"/>
  <c r="K1420" i="7" s="1"/>
  <c r="G1420" i="7"/>
  <c r="I1420" i="7" s="1"/>
  <c r="J1420" i="7" s="1"/>
  <c r="F1420" i="7"/>
  <c r="E1420" i="7"/>
  <c r="H1419" i="7"/>
  <c r="K1419" i="7" s="1"/>
  <c r="G1419" i="7"/>
  <c r="I1419" i="7" s="1"/>
  <c r="J1419" i="7" s="1"/>
  <c r="F1419" i="7"/>
  <c r="E1419" i="7"/>
  <c r="H1418" i="7"/>
  <c r="K1418" i="7" s="1"/>
  <c r="G1418" i="7"/>
  <c r="I1418" i="7" s="1"/>
  <c r="J1418" i="7" s="1"/>
  <c r="F1418" i="7"/>
  <c r="E1418" i="7"/>
  <c r="H1417" i="7"/>
  <c r="K1417" i="7" s="1"/>
  <c r="G1417" i="7"/>
  <c r="I1417" i="7" s="1"/>
  <c r="J1417" i="7" s="1"/>
  <c r="F1417" i="7"/>
  <c r="E1417" i="7"/>
  <c r="H1416" i="7"/>
  <c r="K1416" i="7" s="1"/>
  <c r="G1416" i="7"/>
  <c r="I1416" i="7" s="1"/>
  <c r="J1416" i="7" s="1"/>
  <c r="F1416" i="7"/>
  <c r="E1416" i="7"/>
  <c r="G1415" i="7"/>
  <c r="I1415" i="7" s="1"/>
  <c r="J1415" i="7" s="1"/>
  <c r="F1415" i="7"/>
  <c r="E1415" i="7"/>
  <c r="H1415" i="7"/>
  <c r="K1415" i="7" s="1"/>
  <c r="G1414" i="7"/>
  <c r="I1414" i="7" s="1"/>
  <c r="J1414" i="7" s="1"/>
  <c r="F1414" i="7"/>
  <c r="E1414" i="7"/>
  <c r="H1414" i="7"/>
  <c r="K1414" i="7" s="1"/>
  <c r="G1413" i="7"/>
  <c r="I1413" i="7" s="1"/>
  <c r="J1413" i="7" s="1"/>
  <c r="F1413" i="7"/>
  <c r="E1413" i="7"/>
  <c r="H1413" i="7"/>
  <c r="K1413" i="7" s="1"/>
  <c r="E1412" i="7"/>
  <c r="H1412" i="7"/>
  <c r="K1412" i="7" s="1"/>
  <c r="G1412" i="7"/>
  <c r="I1412" i="7" s="1"/>
  <c r="J1412" i="7" s="1"/>
  <c r="F1412" i="7"/>
  <c r="H1411" i="7"/>
  <c r="K1411" i="7" s="1"/>
  <c r="G1411" i="7"/>
  <c r="I1411" i="7" s="1"/>
  <c r="J1411" i="7" s="1"/>
  <c r="F1411" i="7"/>
  <c r="E1411" i="7"/>
  <c r="H1410" i="7"/>
  <c r="K1410" i="7" s="1"/>
  <c r="G1410" i="7"/>
  <c r="I1410" i="7" s="1"/>
  <c r="J1410" i="7" s="1"/>
  <c r="F1410" i="7"/>
  <c r="E1410" i="7"/>
  <c r="G1409" i="7"/>
  <c r="I1409" i="7" s="1"/>
  <c r="J1409" i="7" s="1"/>
  <c r="H1409" i="7"/>
  <c r="K1409" i="7" s="1"/>
  <c r="F1409" i="7"/>
  <c r="E1409" i="7"/>
  <c r="H1408" i="7"/>
  <c r="K1408" i="7" s="1"/>
  <c r="G1408" i="7"/>
  <c r="I1408" i="7" s="1"/>
  <c r="J1408" i="7" s="1"/>
  <c r="F1408" i="7"/>
  <c r="E1408" i="7"/>
  <c r="H1407" i="7"/>
  <c r="K1407" i="7" s="1"/>
  <c r="G1407" i="7"/>
  <c r="I1407" i="7" s="1"/>
  <c r="J1407" i="7" s="1"/>
  <c r="F1407" i="7"/>
  <c r="E1407" i="7"/>
  <c r="G1406" i="7"/>
  <c r="I1406" i="7" s="1"/>
  <c r="J1406" i="7" s="1"/>
  <c r="F1406" i="7"/>
  <c r="E1406" i="7"/>
  <c r="H1406" i="7"/>
  <c r="K1406" i="7" s="1"/>
  <c r="H1405" i="7"/>
  <c r="K1405" i="7" s="1"/>
  <c r="G1405" i="7"/>
  <c r="I1405" i="7" s="1"/>
  <c r="J1405" i="7" s="1"/>
  <c r="F1405" i="7"/>
  <c r="E1405" i="7"/>
  <c r="G1404" i="7"/>
  <c r="I1404" i="7" s="1"/>
  <c r="J1404" i="7" s="1"/>
  <c r="F1404" i="7"/>
  <c r="E1404" i="7"/>
  <c r="H1404" i="7"/>
  <c r="K1404" i="7" s="1"/>
  <c r="H1403" i="7"/>
  <c r="K1403" i="7" s="1"/>
  <c r="G1403" i="7"/>
  <c r="I1403" i="7" s="1"/>
  <c r="J1403" i="7" s="1"/>
  <c r="F1403" i="7"/>
  <c r="E1403" i="7"/>
  <c r="G1402" i="7"/>
  <c r="I1402" i="7" s="1"/>
  <c r="J1402" i="7" s="1"/>
  <c r="H1402" i="7"/>
  <c r="K1402" i="7" s="1"/>
  <c r="F1402" i="7"/>
  <c r="E1402" i="7"/>
  <c r="H1401" i="7"/>
  <c r="K1401" i="7" s="1"/>
  <c r="G1401" i="7"/>
  <c r="I1401" i="7" s="1"/>
  <c r="J1401" i="7" s="1"/>
  <c r="F1401" i="7"/>
  <c r="E1401" i="7"/>
  <c r="H1400" i="7"/>
  <c r="K1400" i="7" s="1"/>
  <c r="G1400" i="7"/>
  <c r="I1400" i="7" s="1"/>
  <c r="J1400" i="7" s="1"/>
  <c r="F1400" i="7"/>
  <c r="E1400" i="7"/>
  <c r="E1399" i="7"/>
  <c r="G1399" i="7"/>
  <c r="I1399" i="7" s="1"/>
  <c r="J1399" i="7" s="1"/>
  <c r="F1399" i="7"/>
  <c r="H1399" i="7"/>
  <c r="K1399" i="7" s="1"/>
  <c r="E1398" i="7"/>
  <c r="F1398" i="7"/>
  <c r="G1398" i="7"/>
  <c r="I1398" i="7" s="1"/>
  <c r="J1398" i="7" s="1"/>
  <c r="H1398" i="7"/>
  <c r="K1398" i="7" s="1"/>
  <c r="H1397" i="7"/>
  <c r="K1397" i="7" s="1"/>
  <c r="G1397" i="7"/>
  <c r="I1397" i="7" s="1"/>
  <c r="J1397" i="7" s="1"/>
  <c r="F1397" i="7"/>
  <c r="E1397" i="7"/>
  <c r="H1396" i="7"/>
  <c r="K1396" i="7" s="1"/>
  <c r="G1396" i="7"/>
  <c r="I1396" i="7" s="1"/>
  <c r="J1396" i="7" s="1"/>
  <c r="F1396" i="7"/>
  <c r="E1396" i="7"/>
  <c r="F1395" i="7"/>
  <c r="H1395" i="7"/>
  <c r="K1395" i="7" s="1"/>
  <c r="G1395" i="7"/>
  <c r="I1395" i="7" s="1"/>
  <c r="J1395" i="7" s="1"/>
  <c r="E1395" i="7"/>
  <c r="H1394" i="7"/>
  <c r="K1394" i="7" s="1"/>
  <c r="G1394" i="7"/>
  <c r="I1394" i="7" s="1"/>
  <c r="J1394" i="7" s="1"/>
  <c r="F1394" i="7"/>
  <c r="E1394" i="7"/>
  <c r="E1393" i="7"/>
  <c r="G1393" i="7"/>
  <c r="I1393" i="7" s="1"/>
  <c r="J1393" i="7" s="1"/>
  <c r="F1393" i="7"/>
  <c r="H1393" i="7"/>
  <c r="K1393" i="7" s="1"/>
  <c r="E1392" i="7"/>
  <c r="F1392" i="7"/>
  <c r="G1392" i="7"/>
  <c r="I1392" i="7" s="1"/>
  <c r="J1392" i="7" s="1"/>
  <c r="H1392" i="7"/>
  <c r="K1392" i="7" s="1"/>
  <c r="G1391" i="7"/>
  <c r="I1391" i="7" s="1"/>
  <c r="J1391" i="7" s="1"/>
  <c r="F1391" i="7"/>
  <c r="E1391" i="7"/>
  <c r="H1391" i="7"/>
  <c r="K1391" i="7" s="1"/>
  <c r="F1390" i="7"/>
  <c r="H1390" i="7"/>
  <c r="K1390" i="7" s="1"/>
  <c r="G1390" i="7"/>
  <c r="I1390" i="7" s="1"/>
  <c r="J1390" i="7" s="1"/>
  <c r="E1390" i="7"/>
  <c r="H1389" i="7"/>
  <c r="K1389" i="7" s="1"/>
  <c r="G1389" i="7"/>
  <c r="I1389" i="7" s="1"/>
  <c r="J1389" i="7" s="1"/>
  <c r="F1389" i="7"/>
  <c r="E1389" i="7"/>
  <c r="E1388" i="7"/>
  <c r="H1388" i="7"/>
  <c r="K1388" i="7" s="1"/>
  <c r="G1388" i="7"/>
  <c r="I1388" i="7" s="1"/>
  <c r="J1388" i="7" s="1"/>
  <c r="F1388" i="7"/>
  <c r="F1387" i="7"/>
  <c r="H1387" i="7"/>
  <c r="K1387" i="7" s="1"/>
  <c r="G1387" i="7"/>
  <c r="I1387" i="7" s="1"/>
  <c r="J1387" i="7" s="1"/>
  <c r="E1387" i="7"/>
  <c r="H1386" i="7"/>
  <c r="K1386" i="7" s="1"/>
  <c r="G1386" i="7"/>
  <c r="I1386" i="7" s="1"/>
  <c r="J1386" i="7" s="1"/>
  <c r="F1386" i="7"/>
  <c r="E1386" i="7"/>
  <c r="G1385" i="7"/>
  <c r="I1385" i="7" s="1"/>
  <c r="J1385" i="7" s="1"/>
  <c r="F1385" i="7"/>
  <c r="E1385" i="7"/>
  <c r="H1385" i="7"/>
  <c r="K1385" i="7" s="1"/>
  <c r="H1384" i="7"/>
  <c r="K1384" i="7" s="1"/>
  <c r="G1384" i="7"/>
  <c r="I1384" i="7" s="1"/>
  <c r="J1384" i="7" s="1"/>
  <c r="F1384" i="7"/>
  <c r="E1384" i="7"/>
  <c r="G1383" i="7"/>
  <c r="I1383" i="7" s="1"/>
  <c r="J1383" i="7" s="1"/>
  <c r="F1383" i="7"/>
  <c r="E1383" i="7"/>
  <c r="H1383" i="7"/>
  <c r="K1383" i="7" s="1"/>
  <c r="E1382" i="7"/>
  <c r="H1382" i="7"/>
  <c r="K1382" i="7" s="1"/>
  <c r="G1382" i="7"/>
  <c r="I1382" i="7" s="1"/>
  <c r="J1382" i="7" s="1"/>
  <c r="F1382" i="7"/>
  <c r="H1381" i="7"/>
  <c r="K1381" i="7" s="1"/>
  <c r="G1381" i="7"/>
  <c r="I1381" i="7" s="1"/>
  <c r="J1381" i="7" s="1"/>
  <c r="F1381" i="7"/>
  <c r="E1381" i="7"/>
  <c r="H1380" i="7"/>
  <c r="K1380" i="7" s="1"/>
  <c r="G1380" i="7"/>
  <c r="I1380" i="7" s="1"/>
  <c r="J1380" i="7" s="1"/>
  <c r="F1380" i="7"/>
  <c r="E1380" i="7"/>
  <c r="E1379" i="7"/>
  <c r="H1379" i="7"/>
  <c r="K1379" i="7" s="1"/>
  <c r="G1379" i="7"/>
  <c r="I1379" i="7" s="1"/>
  <c r="J1379" i="7" s="1"/>
  <c r="F1379" i="7"/>
  <c r="E1378" i="7"/>
  <c r="F1378" i="7"/>
  <c r="G1378" i="7"/>
  <c r="I1378" i="7" s="1"/>
  <c r="J1378" i="7" s="1"/>
  <c r="H1378" i="7"/>
  <c r="K1378" i="7" s="1"/>
  <c r="G1377" i="7"/>
  <c r="I1377" i="7" s="1"/>
  <c r="J1377" i="7" s="1"/>
  <c r="H1377" i="7"/>
  <c r="K1377" i="7" s="1"/>
  <c r="F1377" i="7"/>
  <c r="E1377" i="7"/>
  <c r="H1376" i="7"/>
  <c r="K1376" i="7" s="1"/>
  <c r="G1376" i="7"/>
  <c r="I1376" i="7" s="1"/>
  <c r="J1376" i="7" s="1"/>
  <c r="F1376" i="7"/>
  <c r="E1376" i="7"/>
  <c r="E1375" i="7"/>
  <c r="H1375" i="7"/>
  <c r="K1375" i="7" s="1"/>
  <c r="G1375" i="7"/>
  <c r="I1375" i="7" s="1"/>
  <c r="J1375" i="7" s="1"/>
  <c r="F1375" i="7"/>
  <c r="H1374" i="7"/>
  <c r="K1374" i="7" s="1"/>
  <c r="G1374" i="7"/>
  <c r="I1374" i="7" s="1"/>
  <c r="J1374" i="7" s="1"/>
  <c r="F1374" i="7"/>
  <c r="E1374" i="7"/>
  <c r="E1373" i="7"/>
  <c r="F1373" i="7"/>
  <c r="G1373" i="7"/>
  <c r="I1373" i="7" s="1"/>
  <c r="J1373" i="7" s="1"/>
  <c r="H1373" i="7"/>
  <c r="K1373" i="7" s="1"/>
  <c r="E1372" i="7"/>
  <c r="G1372" i="7"/>
  <c r="I1372" i="7" s="1"/>
  <c r="J1372" i="7" s="1"/>
  <c r="H1372" i="7"/>
  <c r="K1372" i="7" s="1"/>
  <c r="F1372" i="7"/>
  <c r="G1371" i="7"/>
  <c r="I1371" i="7" s="1"/>
  <c r="J1371" i="7" s="1"/>
  <c r="F1371" i="7"/>
  <c r="E1371" i="7"/>
  <c r="H1371" i="7"/>
  <c r="K1371" i="7" s="1"/>
  <c r="G1370" i="7"/>
  <c r="I1370" i="7" s="1"/>
  <c r="J1370" i="7" s="1"/>
  <c r="F1370" i="7"/>
  <c r="E1370" i="7"/>
  <c r="H1370" i="7"/>
  <c r="K1370" i="7" s="1"/>
  <c r="H1369" i="7"/>
  <c r="K1369" i="7" s="1"/>
  <c r="E1369" i="7"/>
  <c r="G1369" i="7"/>
  <c r="I1369" i="7" s="1"/>
  <c r="J1369" i="7" s="1"/>
  <c r="F1369" i="7"/>
  <c r="G1368" i="7"/>
  <c r="I1368" i="7" s="1"/>
  <c r="J1368" i="7" s="1"/>
  <c r="F1368" i="7"/>
  <c r="E1368" i="7"/>
  <c r="H1368" i="7"/>
  <c r="K1368" i="7" s="1"/>
  <c r="E1367" i="7"/>
  <c r="H1367" i="7"/>
  <c r="K1367" i="7" s="1"/>
  <c r="G1367" i="7"/>
  <c r="I1367" i="7" s="1"/>
  <c r="J1367" i="7" s="1"/>
  <c r="F1367" i="7"/>
  <c r="H1366" i="7"/>
  <c r="K1366" i="7" s="1"/>
  <c r="G1366" i="7"/>
  <c r="I1366" i="7" s="1"/>
  <c r="J1366" i="7" s="1"/>
  <c r="F1366" i="7"/>
  <c r="E1366" i="7"/>
  <c r="H1365" i="7"/>
  <c r="K1365" i="7" s="1"/>
  <c r="G1365" i="7"/>
  <c r="I1365" i="7" s="1"/>
  <c r="J1365" i="7" s="1"/>
  <c r="F1365" i="7"/>
  <c r="E1365" i="7"/>
  <c r="H1364" i="7"/>
  <c r="K1364" i="7" s="1"/>
  <c r="G1364" i="7"/>
  <c r="I1364" i="7" s="1"/>
  <c r="J1364" i="7" s="1"/>
  <c r="F1364" i="7"/>
  <c r="E1364" i="7"/>
  <c r="G1363" i="7"/>
  <c r="F1363" i="7"/>
  <c r="E1363" i="7"/>
  <c r="H1363" i="7"/>
  <c r="K1363" i="7" s="1"/>
  <c r="H1362" i="7"/>
  <c r="K1362" i="7" s="1"/>
  <c r="G1362" i="7"/>
  <c r="F1362" i="7"/>
  <c r="E1362" i="7"/>
  <c r="G1361" i="7"/>
  <c r="F1361" i="7"/>
  <c r="E1361" i="7"/>
  <c r="H1361" i="7"/>
  <c r="K1361" i="7" s="1"/>
  <c r="H1360" i="7"/>
  <c r="K1360" i="7" s="1"/>
  <c r="G1360" i="7"/>
  <c r="F1360" i="7"/>
  <c r="E1360" i="7"/>
  <c r="G1359" i="7"/>
  <c r="H1359" i="7"/>
  <c r="K1359" i="7" s="1"/>
  <c r="F1359" i="7"/>
  <c r="E1359" i="7"/>
  <c r="H1358" i="7"/>
  <c r="K1358" i="7" s="1"/>
  <c r="G1358" i="7"/>
  <c r="F1358" i="7"/>
  <c r="E1358" i="7"/>
  <c r="H1357" i="7"/>
  <c r="K1357" i="7" s="1"/>
  <c r="G1357" i="7"/>
  <c r="F1357" i="7"/>
  <c r="E1357" i="7"/>
  <c r="E1356" i="7"/>
  <c r="G1356" i="7"/>
  <c r="F1356" i="7"/>
  <c r="H1356" i="7"/>
  <c r="K1356" i="7" s="1"/>
  <c r="E1355" i="7"/>
  <c r="F1355" i="7"/>
  <c r="G1355" i="7"/>
  <c r="H1355" i="7"/>
  <c r="K1355" i="7" s="1"/>
  <c r="H1354" i="7"/>
  <c r="K1354" i="7" s="1"/>
  <c r="G1354" i="7"/>
  <c r="F1354" i="7"/>
  <c r="E1354" i="7"/>
  <c r="H1353" i="7"/>
  <c r="K1353" i="7" s="1"/>
  <c r="G1353" i="7"/>
  <c r="I1353" i="7" s="1"/>
  <c r="J1353" i="7" s="1"/>
  <c r="F1353" i="7"/>
  <c r="E1353" i="7"/>
  <c r="F1352" i="7"/>
  <c r="H1352" i="7"/>
  <c r="K1352" i="7" s="1"/>
  <c r="G1352" i="7"/>
  <c r="I1352" i="7" s="1"/>
  <c r="J1352" i="7" s="1"/>
  <c r="E1352" i="7"/>
  <c r="H1351" i="7"/>
  <c r="K1351" i="7" s="1"/>
  <c r="G1351" i="7"/>
  <c r="I1351" i="7" s="1"/>
  <c r="J1351" i="7" s="1"/>
  <c r="F1351" i="7"/>
  <c r="E1351" i="7"/>
  <c r="F1350" i="7"/>
  <c r="G1350" i="7"/>
  <c r="I1350" i="7" s="1"/>
  <c r="J1350" i="7" s="1"/>
  <c r="E1350" i="7"/>
  <c r="H1350" i="7"/>
  <c r="K1350" i="7" s="1"/>
  <c r="H1349" i="7"/>
  <c r="K1349" i="7" s="1"/>
  <c r="E1349" i="7"/>
  <c r="F1349" i="7"/>
  <c r="G1349" i="7"/>
  <c r="I1349" i="7" s="1"/>
  <c r="J1349" i="7" s="1"/>
  <c r="G1348" i="7"/>
  <c r="I1348" i="7" s="1"/>
  <c r="J1348" i="7" s="1"/>
  <c r="F1348" i="7"/>
  <c r="E1348" i="7"/>
  <c r="H1348" i="7"/>
  <c r="K1348" i="7" s="1"/>
  <c r="H1347" i="7"/>
  <c r="K1347" i="7" s="1"/>
  <c r="G1347" i="7"/>
  <c r="I1347" i="7" s="1"/>
  <c r="J1347" i="7" s="1"/>
  <c r="F1347" i="7"/>
  <c r="E1347" i="7"/>
  <c r="G1346" i="7"/>
  <c r="I1346" i="7" s="1"/>
  <c r="J1346" i="7" s="1"/>
  <c r="F1346" i="7"/>
  <c r="E1346" i="7"/>
  <c r="H1346" i="7"/>
  <c r="K1346" i="7" s="1"/>
  <c r="E1345" i="7"/>
  <c r="H1345" i="7"/>
  <c r="K1345" i="7" s="1"/>
  <c r="G1345" i="7"/>
  <c r="I1345" i="7" s="1"/>
  <c r="J1345" i="7" s="1"/>
  <c r="F1345" i="7"/>
  <c r="G1344" i="7"/>
  <c r="I1344" i="7" s="1"/>
  <c r="J1344" i="7" s="1"/>
  <c r="F1344" i="7"/>
  <c r="E1344" i="7"/>
  <c r="H1344" i="7"/>
  <c r="K1344" i="7" s="1"/>
  <c r="G1343" i="7"/>
  <c r="I1343" i="7" s="1"/>
  <c r="J1343" i="7" s="1"/>
  <c r="H1343" i="7"/>
  <c r="K1343" i="7" s="1"/>
  <c r="F1343" i="7"/>
  <c r="E1343" i="7"/>
  <c r="H1342" i="7"/>
  <c r="K1342" i="7" s="1"/>
  <c r="G1342" i="7"/>
  <c r="I1342" i="7" s="1"/>
  <c r="J1342" i="7" s="1"/>
  <c r="F1342" i="7"/>
  <c r="E1342" i="7"/>
  <c r="H1341" i="7"/>
  <c r="K1341" i="7" s="1"/>
  <c r="G1341" i="7"/>
  <c r="I1341" i="7" s="1"/>
  <c r="J1341" i="7" s="1"/>
  <c r="F1341" i="7"/>
  <c r="E1341" i="7"/>
  <c r="F1340" i="7"/>
  <c r="H1340" i="7"/>
  <c r="K1340" i="7" s="1"/>
  <c r="G1340" i="7"/>
  <c r="I1340" i="7" s="1"/>
  <c r="J1340" i="7" s="1"/>
  <c r="E1340" i="7"/>
  <c r="G1339" i="7"/>
  <c r="I1339" i="7" s="1"/>
  <c r="J1339" i="7" s="1"/>
  <c r="F1339" i="7"/>
  <c r="E1339" i="7"/>
  <c r="H1339" i="7"/>
  <c r="K1339" i="7" s="1"/>
  <c r="H1338" i="7"/>
  <c r="K1338" i="7" s="1"/>
  <c r="G1338" i="7"/>
  <c r="I1338" i="7" s="1"/>
  <c r="J1338" i="7" s="1"/>
  <c r="F1338" i="7"/>
  <c r="E1338" i="7"/>
  <c r="G1337" i="7"/>
  <c r="I1337" i="7" s="1"/>
  <c r="J1337" i="7" s="1"/>
  <c r="F1337" i="7"/>
  <c r="E1337" i="7"/>
  <c r="H1337" i="7"/>
  <c r="K1337" i="7" s="1"/>
  <c r="H1336" i="7"/>
  <c r="K1336" i="7" s="1"/>
  <c r="G1336" i="7"/>
  <c r="I1336" i="7" s="1"/>
  <c r="J1336" i="7" s="1"/>
  <c r="F1336" i="7"/>
  <c r="E1336" i="7"/>
  <c r="E1335" i="7"/>
  <c r="G1335" i="7"/>
  <c r="I1335" i="7" s="1"/>
  <c r="J1335" i="7" s="1"/>
  <c r="F1335" i="7"/>
  <c r="H1335" i="7"/>
  <c r="K1335" i="7" s="1"/>
  <c r="E1334" i="7"/>
  <c r="H1334" i="7"/>
  <c r="K1334" i="7" s="1"/>
  <c r="G1334" i="7"/>
  <c r="I1334" i="7" s="1"/>
  <c r="J1334" i="7" s="1"/>
  <c r="F1334" i="7"/>
  <c r="G1333" i="7"/>
  <c r="I1333" i="7" s="1"/>
  <c r="J1333" i="7" s="1"/>
  <c r="F1333" i="7"/>
  <c r="E1333" i="7"/>
  <c r="H1333" i="7"/>
  <c r="K1333" i="7" s="1"/>
  <c r="E1332" i="7"/>
  <c r="F1332" i="7"/>
  <c r="E1331" i="7"/>
  <c r="F1331" i="7"/>
  <c r="G1331" i="7"/>
  <c r="I1331" i="7" s="1"/>
  <c r="J1331" i="7" s="1"/>
  <c r="H1331" i="7"/>
  <c r="K1331" i="7" s="1"/>
  <c r="F1330" i="7"/>
  <c r="G1330" i="7"/>
  <c r="I1330" i="7" s="1"/>
  <c r="J1330" i="7" s="1"/>
  <c r="H1330" i="7"/>
  <c r="K1330" i="7" s="1"/>
  <c r="E1330" i="7"/>
  <c r="H1329" i="7"/>
  <c r="K1329" i="7" s="1"/>
  <c r="E1329" i="7"/>
  <c r="F1329" i="7"/>
  <c r="G1329" i="7"/>
  <c r="I1329" i="7" s="1"/>
  <c r="J1329" i="7" s="1"/>
  <c r="E1328" i="7"/>
  <c r="F1328" i="7"/>
  <c r="G1328" i="7"/>
  <c r="I1328" i="7" s="1"/>
  <c r="J1328" i="7" s="1"/>
  <c r="H1328" i="7"/>
  <c r="K1328" i="7" s="1"/>
  <c r="E1327" i="7"/>
  <c r="F1327" i="7"/>
  <c r="G1327" i="7"/>
  <c r="I1327" i="7" s="1"/>
  <c r="J1327" i="7" s="1"/>
  <c r="H1327" i="7"/>
  <c r="K1327" i="7" s="1"/>
  <c r="G1326" i="7"/>
  <c r="I1326" i="7" s="1"/>
  <c r="J1326" i="7" s="1"/>
  <c r="H1326" i="7"/>
  <c r="K1326" i="7" s="1"/>
  <c r="E1326" i="7"/>
  <c r="F1326" i="7"/>
  <c r="E1325" i="7"/>
  <c r="F1325" i="7"/>
  <c r="G1325" i="7"/>
  <c r="I1325" i="7" s="1"/>
  <c r="J1325" i="7" s="1"/>
  <c r="H1325" i="7"/>
  <c r="K1325" i="7" s="1"/>
  <c r="G1324" i="7"/>
  <c r="I1324" i="7" s="1"/>
  <c r="J1324" i="7" s="1"/>
  <c r="H1324" i="7"/>
  <c r="K1324" i="7" s="1"/>
  <c r="E1324" i="7"/>
  <c r="F1324" i="7"/>
  <c r="E1323" i="7"/>
  <c r="G1323" i="7"/>
  <c r="I1323" i="7" s="1"/>
  <c r="J1323" i="7" s="1"/>
  <c r="F1323" i="7"/>
  <c r="H1323" i="7"/>
  <c r="K1323" i="7" s="1"/>
  <c r="H1322" i="7"/>
  <c r="K1322" i="7" s="1"/>
  <c r="G1322" i="7"/>
  <c r="I1322" i="7" s="1"/>
  <c r="J1322" i="7" s="1"/>
  <c r="F1322" i="7"/>
  <c r="E1322" i="7"/>
  <c r="H1321" i="7"/>
  <c r="K1321" i="7" s="1"/>
  <c r="F1321" i="7"/>
  <c r="E1321" i="7"/>
  <c r="G1321" i="7"/>
  <c r="I1321" i="7" s="1"/>
  <c r="J1321" i="7" s="1"/>
  <c r="H1320" i="7"/>
  <c r="K1320" i="7" s="1"/>
  <c r="E1320" i="7"/>
  <c r="F1320" i="7"/>
  <c r="G1320" i="7"/>
  <c r="I1320" i="7" s="1"/>
  <c r="J1320" i="7" s="1"/>
  <c r="G1319" i="7"/>
  <c r="I1319" i="7" s="1"/>
  <c r="J1319" i="7" s="1"/>
  <c r="H1319" i="7"/>
  <c r="K1319" i="7" s="1"/>
  <c r="E1319" i="7"/>
  <c r="F1319" i="7"/>
  <c r="E1318" i="7"/>
  <c r="F1318" i="7"/>
  <c r="G1318" i="7"/>
  <c r="I1318" i="7" s="1"/>
  <c r="J1318" i="7" s="1"/>
  <c r="H1318" i="7"/>
  <c r="K1318" i="7" s="1"/>
  <c r="G1317" i="7"/>
  <c r="I1317" i="7" s="1"/>
  <c r="J1317" i="7" s="1"/>
  <c r="E1317" i="7"/>
  <c r="F1317" i="7"/>
  <c r="H1317" i="7"/>
  <c r="K1317" i="7" s="1"/>
  <c r="G1316" i="7"/>
  <c r="I1316" i="7" s="1"/>
  <c r="J1316" i="7" s="1"/>
  <c r="H1316" i="7"/>
  <c r="K1316" i="7" s="1"/>
  <c r="E1316" i="7"/>
  <c r="F1316" i="7"/>
  <c r="E1315" i="7"/>
  <c r="F1315" i="7"/>
  <c r="H1315" i="7"/>
  <c r="K1315" i="7" s="1"/>
  <c r="G1315" i="7"/>
  <c r="I1315" i="7" s="1"/>
  <c r="J1315" i="7" s="1"/>
  <c r="H1314" i="7"/>
  <c r="K1314" i="7" s="1"/>
  <c r="G1314" i="7"/>
  <c r="E1314" i="7"/>
  <c r="F1314" i="7"/>
  <c r="G1313" i="7"/>
  <c r="I1313" i="7" s="1"/>
  <c r="J1313" i="7" s="1"/>
  <c r="F1313" i="7"/>
  <c r="E1313" i="7"/>
  <c r="H1313" i="7"/>
  <c r="K1313" i="7" s="1"/>
  <c r="G1312" i="7"/>
  <c r="I1312" i="7" s="1"/>
  <c r="J1312" i="7" s="1"/>
  <c r="F1312" i="7"/>
  <c r="E1312" i="7"/>
  <c r="H1312" i="7"/>
  <c r="K1312" i="7" s="1"/>
  <c r="H1311" i="7"/>
  <c r="K1311" i="7" s="1"/>
  <c r="F1311" i="7"/>
  <c r="E1311" i="7"/>
  <c r="G1311" i="7"/>
  <c r="I1311" i="7" s="1"/>
  <c r="J1311" i="7" s="1"/>
  <c r="G1310" i="7"/>
  <c r="I1310" i="7" s="1"/>
  <c r="J1310" i="7" s="1"/>
  <c r="F1310" i="7"/>
  <c r="E1310" i="7"/>
  <c r="H1310" i="7"/>
  <c r="K1310" i="7" s="1"/>
  <c r="H1309" i="7"/>
  <c r="K1309" i="7" s="1"/>
  <c r="G1309" i="7"/>
  <c r="I1309" i="7" s="1"/>
  <c r="J1309" i="7" s="1"/>
  <c r="E1309" i="7"/>
  <c r="F1309" i="7"/>
  <c r="E1308" i="7"/>
  <c r="F1308" i="7"/>
  <c r="G1308" i="7"/>
  <c r="I1308" i="7" s="1"/>
  <c r="J1308" i="7" s="1"/>
  <c r="H1308" i="7"/>
  <c r="K1308" i="7" s="1"/>
  <c r="H1307" i="7"/>
  <c r="K1307" i="7" s="1"/>
  <c r="G1307" i="7"/>
  <c r="I1307" i="7" s="1"/>
  <c r="J1307" i="7" s="1"/>
  <c r="F1307" i="7"/>
  <c r="E1307" i="7"/>
  <c r="H1306" i="7"/>
  <c r="K1306" i="7" s="1"/>
  <c r="G1306" i="7"/>
  <c r="I1306" i="7" s="1"/>
  <c r="J1306" i="7" s="1"/>
  <c r="F1306" i="7"/>
  <c r="E1306" i="7"/>
  <c r="H1305" i="7"/>
  <c r="K1305" i="7" s="1"/>
  <c r="G1305" i="7"/>
  <c r="I1305" i="7" s="1"/>
  <c r="J1305" i="7" s="1"/>
  <c r="F1305" i="7"/>
  <c r="E1305" i="7"/>
  <c r="E1304" i="7"/>
  <c r="H1304" i="7"/>
  <c r="K1304" i="7" s="1"/>
  <c r="G1304" i="7"/>
  <c r="I1304" i="7" s="1"/>
  <c r="J1304" i="7" s="1"/>
  <c r="F1304" i="7"/>
  <c r="E1303" i="7"/>
  <c r="H1303" i="7"/>
  <c r="K1303" i="7" s="1"/>
  <c r="G1303" i="7"/>
  <c r="I1303" i="7" s="1"/>
  <c r="J1303" i="7" s="1"/>
  <c r="F1303" i="7"/>
  <c r="H1302" i="7"/>
  <c r="K1302" i="7" s="1"/>
  <c r="G1302" i="7"/>
  <c r="I1302" i="7" s="1"/>
  <c r="J1302" i="7" s="1"/>
  <c r="F1302" i="7"/>
  <c r="E1302" i="7"/>
  <c r="H1301" i="7"/>
  <c r="K1301" i="7" s="1"/>
  <c r="G1301" i="7"/>
  <c r="I1301" i="7" s="1"/>
  <c r="J1301" i="7" s="1"/>
  <c r="F1301" i="7"/>
  <c r="E1301" i="7"/>
  <c r="H1300" i="7"/>
  <c r="K1300" i="7" s="1"/>
  <c r="G1300" i="7"/>
  <c r="I1300" i="7" s="1"/>
  <c r="J1300" i="7" s="1"/>
  <c r="F1300" i="7"/>
  <c r="E1300" i="7"/>
  <c r="E1299" i="7"/>
  <c r="H1299" i="7"/>
  <c r="K1299" i="7" s="1"/>
  <c r="G1299" i="7"/>
  <c r="I1299" i="7" s="1"/>
  <c r="J1299" i="7" s="1"/>
  <c r="F1299" i="7"/>
  <c r="E1298" i="7"/>
  <c r="F1298" i="7"/>
  <c r="G1298" i="7"/>
  <c r="I1298" i="7" s="1"/>
  <c r="J1298" i="7" s="1"/>
  <c r="H1298" i="7"/>
  <c r="K1298" i="7" s="1"/>
  <c r="H1297" i="7"/>
  <c r="K1297" i="7" s="1"/>
  <c r="G1297" i="7"/>
  <c r="I1297" i="7" s="1"/>
  <c r="J1297" i="7" s="1"/>
  <c r="F1297" i="7"/>
  <c r="E1297" i="7"/>
  <c r="G1296" i="7"/>
  <c r="I1296" i="7" s="1"/>
  <c r="J1296" i="7" s="1"/>
  <c r="H1296" i="7"/>
  <c r="K1296" i="7" s="1"/>
  <c r="F1296" i="7"/>
  <c r="E1296" i="7"/>
  <c r="E1295" i="7"/>
  <c r="F1295" i="7"/>
  <c r="H1295" i="7"/>
  <c r="K1295" i="7" s="1"/>
  <c r="G1295" i="7"/>
  <c r="I1295" i="7" s="1"/>
  <c r="J1295" i="7" s="1"/>
  <c r="H1294" i="7"/>
  <c r="K1294" i="7" s="1"/>
  <c r="G1294" i="7"/>
  <c r="I1294" i="7" s="1"/>
  <c r="J1294" i="7" s="1"/>
  <c r="F1294" i="7"/>
  <c r="E1294" i="7"/>
  <c r="G1293" i="7"/>
  <c r="I1293" i="7" s="1"/>
  <c r="J1293" i="7" s="1"/>
  <c r="H1293" i="7"/>
  <c r="K1293" i="7" s="1"/>
  <c r="E1293" i="7"/>
  <c r="F1293" i="7"/>
  <c r="E1292" i="7"/>
  <c r="F1292" i="7"/>
  <c r="G1292" i="7"/>
  <c r="I1292" i="7" s="1"/>
  <c r="J1292" i="7" s="1"/>
  <c r="H1292" i="7"/>
  <c r="K1292" i="7" s="1"/>
  <c r="G1291" i="7"/>
  <c r="I1291" i="7" s="1"/>
  <c r="J1291" i="7" s="1"/>
  <c r="H1291" i="7"/>
  <c r="K1291" i="7" s="1"/>
  <c r="F1291" i="7"/>
  <c r="E1291" i="7"/>
  <c r="H1290" i="7"/>
  <c r="K1290" i="7" s="1"/>
  <c r="G1290" i="7"/>
  <c r="I1290" i="7" s="1"/>
  <c r="J1290" i="7" s="1"/>
  <c r="F1290" i="7"/>
  <c r="E1290" i="7"/>
  <c r="H1289" i="7"/>
  <c r="K1289" i="7" s="1"/>
  <c r="G1289" i="7"/>
  <c r="I1289" i="7" s="1"/>
  <c r="J1289" i="7" s="1"/>
  <c r="F1289" i="7"/>
  <c r="E1289" i="7"/>
  <c r="H1288" i="7"/>
  <c r="K1288" i="7" s="1"/>
  <c r="G1288" i="7"/>
  <c r="I1288" i="7" s="1"/>
  <c r="J1288" i="7" s="1"/>
  <c r="F1288" i="7"/>
  <c r="E1288" i="7"/>
  <c r="H1287" i="7"/>
  <c r="K1287" i="7" s="1"/>
  <c r="G1287" i="7"/>
  <c r="F1287" i="7"/>
  <c r="E1287" i="7"/>
  <c r="E1286" i="7"/>
  <c r="H1286" i="7"/>
  <c r="K1286" i="7" s="1"/>
  <c r="G1286" i="7"/>
  <c r="F1286" i="7"/>
  <c r="F1285" i="7"/>
  <c r="G1285" i="7"/>
  <c r="E1285" i="7"/>
  <c r="H1285" i="7"/>
  <c r="K1285" i="7" s="1"/>
  <c r="H1284" i="7"/>
  <c r="K1284" i="7" s="1"/>
  <c r="E1284" i="7"/>
  <c r="F1284" i="7"/>
  <c r="G1284" i="7"/>
  <c r="G1283" i="7"/>
  <c r="E1283" i="7"/>
  <c r="F1283" i="7"/>
  <c r="H1283" i="7"/>
  <c r="K1283" i="7" s="1"/>
  <c r="F1282" i="7"/>
  <c r="E1282" i="7"/>
  <c r="G1282" i="7"/>
  <c r="H1282" i="7"/>
  <c r="K1282" i="7" s="1"/>
  <c r="F1281" i="7"/>
  <c r="E1281" i="7"/>
  <c r="H1281" i="7"/>
  <c r="K1281" i="7" s="1"/>
  <c r="G1281" i="7"/>
  <c r="F1280" i="7"/>
  <c r="E1280" i="7"/>
  <c r="G1280" i="7"/>
  <c r="H1280" i="7"/>
  <c r="K1280" i="7" s="1"/>
  <c r="F1279" i="7"/>
  <c r="G1279" i="7"/>
  <c r="H1279" i="7"/>
  <c r="K1279" i="7" s="1"/>
  <c r="E1279" i="7"/>
  <c r="H1278" i="7"/>
  <c r="K1278" i="7" s="1"/>
  <c r="G1278" i="7"/>
  <c r="F1278" i="7"/>
  <c r="E1278" i="7"/>
  <c r="G1277" i="7"/>
  <c r="F1277" i="7"/>
  <c r="E1277" i="7"/>
  <c r="H1277" i="7"/>
  <c r="K1277" i="7" s="1"/>
  <c r="G1276" i="7"/>
  <c r="E1276" i="7"/>
  <c r="H1276" i="7"/>
  <c r="K1276" i="7" s="1"/>
  <c r="F1276" i="7"/>
  <c r="G1275" i="7"/>
  <c r="F1275" i="7"/>
  <c r="H1275" i="7"/>
  <c r="K1275" i="7" s="1"/>
  <c r="E1275" i="7"/>
  <c r="E1274" i="7"/>
  <c r="F1274" i="7"/>
  <c r="H1274" i="7"/>
  <c r="K1274" i="7" s="1"/>
  <c r="G1274" i="7"/>
  <c r="F1273" i="7"/>
  <c r="E1273" i="7"/>
  <c r="G1273" i="7"/>
  <c r="I1273" i="7" s="1"/>
  <c r="J1273" i="7" s="1"/>
  <c r="H1273" i="7"/>
  <c r="K1273" i="7" s="1"/>
  <c r="H1272" i="7"/>
  <c r="K1272" i="7" s="1"/>
  <c r="G1272" i="7"/>
  <c r="I1272" i="7" s="1"/>
  <c r="J1272" i="7" s="1"/>
  <c r="F1272" i="7"/>
  <c r="E1272" i="7"/>
  <c r="F1271" i="7"/>
  <c r="H1271" i="7"/>
  <c r="K1271" i="7" s="1"/>
  <c r="G1271" i="7"/>
  <c r="I1271" i="7" s="1"/>
  <c r="J1271" i="7" s="1"/>
  <c r="E1271" i="7"/>
  <c r="H1270" i="7"/>
  <c r="K1270" i="7" s="1"/>
  <c r="G1270" i="7"/>
  <c r="I1270" i="7" s="1"/>
  <c r="J1270" i="7" s="1"/>
  <c r="F1270" i="7"/>
  <c r="E1270" i="7"/>
  <c r="F1269" i="7"/>
  <c r="E1269" i="7"/>
  <c r="H1269" i="7"/>
  <c r="K1269" i="7" s="1"/>
  <c r="G1269" i="7"/>
  <c r="I1269" i="7" s="1"/>
  <c r="J1269" i="7" s="1"/>
  <c r="H1268" i="7"/>
  <c r="K1268" i="7" s="1"/>
  <c r="F1268" i="7"/>
  <c r="E1268" i="7"/>
  <c r="G1268" i="7"/>
  <c r="I1268" i="7" s="1"/>
  <c r="J1268" i="7" s="1"/>
  <c r="H1267" i="7"/>
  <c r="K1267" i="7" s="1"/>
  <c r="G1267" i="7"/>
  <c r="I1267" i="7" s="1"/>
  <c r="J1267" i="7" s="1"/>
  <c r="F1267" i="7"/>
  <c r="E1267" i="7"/>
  <c r="E1266" i="7"/>
  <c r="F1266" i="7"/>
  <c r="G1266" i="7"/>
  <c r="I1266" i="7" s="1"/>
  <c r="J1266" i="7" s="1"/>
  <c r="H1266" i="7"/>
  <c r="K1266" i="7" s="1"/>
  <c r="H1265" i="7"/>
  <c r="K1265" i="7" s="1"/>
  <c r="E1265" i="7"/>
  <c r="F1265" i="7"/>
  <c r="G1265" i="7"/>
  <c r="I1265" i="7" s="1"/>
  <c r="J1265" i="7" s="1"/>
  <c r="F1264" i="7"/>
  <c r="H1264" i="7"/>
  <c r="K1264" i="7" s="1"/>
  <c r="G1264" i="7"/>
  <c r="I1264" i="7" s="1"/>
  <c r="J1264" i="7" s="1"/>
  <c r="E1264" i="7"/>
  <c r="H1263" i="7"/>
  <c r="K1263" i="7" s="1"/>
  <c r="G1263" i="7"/>
  <c r="I1263" i="7" s="1"/>
  <c r="J1263" i="7" s="1"/>
  <c r="F1263" i="7"/>
  <c r="E1263" i="7"/>
  <c r="F1262" i="7"/>
  <c r="E1262" i="7"/>
  <c r="H1262" i="7"/>
  <c r="K1262" i="7" s="1"/>
  <c r="G1262" i="7"/>
  <c r="I1262" i="7" s="1"/>
  <c r="J1262" i="7" s="1"/>
  <c r="G1261" i="7"/>
  <c r="I1261" i="7" s="1"/>
  <c r="J1261" i="7" s="1"/>
  <c r="E1261" i="7"/>
  <c r="F1261" i="7"/>
  <c r="H1261" i="7"/>
  <c r="K1261" i="7" s="1"/>
  <c r="H1260" i="7"/>
  <c r="K1260" i="7" s="1"/>
  <c r="G1260" i="7"/>
  <c r="I1260" i="7" s="1"/>
  <c r="J1260" i="7" s="1"/>
  <c r="F1260" i="7"/>
  <c r="E1260" i="7"/>
  <c r="F1259" i="7"/>
  <c r="E1259" i="7"/>
  <c r="H1259" i="7"/>
  <c r="K1259" i="7" s="1"/>
  <c r="G1259" i="7"/>
  <c r="I1259" i="7" s="1"/>
  <c r="J1259" i="7" s="1"/>
  <c r="F1258" i="7"/>
  <c r="E1258" i="7"/>
  <c r="H1258" i="7"/>
  <c r="K1258" i="7" s="1"/>
  <c r="G1258" i="7"/>
  <c r="I1258" i="7" s="1"/>
  <c r="J1258" i="7" s="1"/>
  <c r="H1257" i="7"/>
  <c r="K1257" i="7" s="1"/>
  <c r="G1257" i="7"/>
  <c r="I1257" i="7" s="1"/>
  <c r="J1257" i="7" s="1"/>
  <c r="F1257" i="7"/>
  <c r="E1257" i="7"/>
  <c r="H1256" i="7"/>
  <c r="K1256" i="7" s="1"/>
  <c r="G1256" i="7"/>
  <c r="I1256" i="7" s="1"/>
  <c r="J1256" i="7" s="1"/>
  <c r="F1256" i="7"/>
  <c r="E1256" i="7"/>
  <c r="H1255" i="7"/>
  <c r="K1255" i="7" s="1"/>
  <c r="G1255" i="7"/>
  <c r="I1255" i="7" s="1"/>
  <c r="J1255" i="7" s="1"/>
  <c r="F1255" i="7"/>
  <c r="E1255" i="7"/>
  <c r="H1254" i="7"/>
  <c r="K1254" i="7" s="1"/>
  <c r="G1254" i="7"/>
  <c r="I1254" i="7" s="1"/>
  <c r="J1254" i="7" s="1"/>
  <c r="F1254" i="7"/>
  <c r="E1254" i="7"/>
  <c r="E1253" i="7"/>
  <c r="G1253" i="7"/>
  <c r="I1253" i="7" s="1"/>
  <c r="J1253" i="7" s="1"/>
  <c r="H1253" i="7"/>
  <c r="K1253" i="7" s="1"/>
  <c r="F1253" i="7"/>
  <c r="G1252" i="7"/>
  <c r="I1252" i="7" s="1"/>
  <c r="J1252" i="7" s="1"/>
  <c r="H1252" i="7"/>
  <c r="K1252" i="7" s="1"/>
  <c r="E1252" i="7"/>
  <c r="F1252" i="7"/>
  <c r="H1251" i="7"/>
  <c r="K1251" i="7" s="1"/>
  <c r="G1251" i="7"/>
  <c r="I1251" i="7" s="1"/>
  <c r="J1251" i="7" s="1"/>
  <c r="F1251" i="7"/>
  <c r="E1251" i="7"/>
  <c r="F1250" i="7"/>
  <c r="H1250" i="7"/>
  <c r="K1250" i="7" s="1"/>
  <c r="G1250" i="7"/>
  <c r="I1250" i="7" s="1"/>
  <c r="J1250" i="7" s="1"/>
  <c r="E1250" i="7"/>
  <c r="H1249" i="7"/>
  <c r="K1249" i="7" s="1"/>
  <c r="E1249" i="7"/>
  <c r="G1249" i="7"/>
  <c r="I1249" i="7" s="1"/>
  <c r="J1249" i="7" s="1"/>
  <c r="F1249" i="7"/>
  <c r="G1248" i="7"/>
  <c r="I1248" i="7" s="1"/>
  <c r="J1248" i="7" s="1"/>
  <c r="E1248" i="7"/>
  <c r="H1248" i="7"/>
  <c r="K1248" i="7" s="1"/>
  <c r="F1248" i="7"/>
  <c r="F1247" i="7"/>
  <c r="E1247" i="7"/>
  <c r="H1247" i="7"/>
  <c r="K1247" i="7" s="1"/>
  <c r="G1247" i="7"/>
  <c r="I1247" i="7" s="1"/>
  <c r="J1247" i="7" s="1"/>
  <c r="H1246" i="7"/>
  <c r="K1246" i="7" s="1"/>
  <c r="F1246" i="7"/>
  <c r="G1246" i="7"/>
  <c r="I1246" i="7" s="1"/>
  <c r="J1246" i="7" s="1"/>
  <c r="E1246" i="7"/>
  <c r="H1245" i="7"/>
  <c r="K1245" i="7" s="1"/>
  <c r="F1245" i="7"/>
  <c r="E1245" i="7"/>
  <c r="G1245" i="7"/>
  <c r="F1244" i="7"/>
  <c r="E1244" i="7"/>
  <c r="G1244" i="7"/>
  <c r="H1244" i="7"/>
  <c r="K1244" i="7" s="1"/>
  <c r="F1243" i="7"/>
  <c r="H1243" i="7"/>
  <c r="K1243" i="7" s="1"/>
  <c r="G1243" i="7"/>
  <c r="E1243" i="7"/>
  <c r="H1242" i="7"/>
  <c r="K1242" i="7" s="1"/>
  <c r="F1242" i="7"/>
  <c r="G1242" i="7"/>
  <c r="E1242" i="7"/>
  <c r="E1241" i="7"/>
  <c r="F1241" i="7"/>
  <c r="G1241" i="7"/>
  <c r="H1241" i="7"/>
  <c r="K1241" i="7" s="1"/>
  <c r="H1240" i="7"/>
  <c r="K1240" i="7" s="1"/>
  <c r="G1240" i="7"/>
  <c r="F1240" i="7"/>
  <c r="E1240" i="7"/>
  <c r="E1239" i="7"/>
  <c r="H1239" i="7"/>
  <c r="K1239" i="7" s="1"/>
  <c r="G1239" i="7"/>
  <c r="F1239" i="7"/>
  <c r="E1238" i="7"/>
  <c r="F1238" i="7"/>
  <c r="G1238" i="7"/>
  <c r="H1238" i="7"/>
  <c r="K1238" i="7" s="1"/>
  <c r="F1237" i="7"/>
  <c r="G1237" i="7"/>
  <c r="H1237" i="7"/>
  <c r="K1237" i="7" s="1"/>
  <c r="E1237" i="7"/>
  <c r="E1236" i="7"/>
  <c r="F1236" i="7"/>
  <c r="G1236" i="7"/>
  <c r="H1236" i="7"/>
  <c r="K1236" i="7" s="1"/>
  <c r="G1235" i="7"/>
  <c r="F1235" i="7"/>
  <c r="E1235" i="7"/>
  <c r="H1235" i="7"/>
  <c r="K1235" i="7" s="1"/>
  <c r="E1234" i="7"/>
  <c r="F1234" i="7"/>
  <c r="G1234" i="7"/>
  <c r="H1234" i="7"/>
  <c r="K1234" i="7" s="1"/>
  <c r="E1233" i="7"/>
  <c r="F1233" i="7"/>
  <c r="G1233" i="7"/>
  <c r="I1233" i="7" s="1"/>
  <c r="J1233" i="7" s="1"/>
  <c r="H1233" i="7"/>
  <c r="K1233" i="7" s="1"/>
  <c r="E1232" i="7"/>
  <c r="F1232" i="7"/>
  <c r="G1232" i="7"/>
  <c r="I1232" i="7" s="1"/>
  <c r="J1232" i="7" s="1"/>
  <c r="H1232" i="7"/>
  <c r="K1232" i="7" s="1"/>
  <c r="F1231" i="7"/>
  <c r="G1231" i="7"/>
  <c r="I1231" i="7" s="1"/>
  <c r="J1231" i="7" s="1"/>
  <c r="H1231" i="7"/>
  <c r="K1231" i="7" s="1"/>
  <c r="E1231" i="7"/>
  <c r="F1230" i="7"/>
  <c r="H1230" i="7"/>
  <c r="K1230" i="7" s="1"/>
  <c r="G1230" i="7"/>
  <c r="I1230" i="7" s="1"/>
  <c r="J1230" i="7" s="1"/>
  <c r="E1230" i="7"/>
  <c r="E1229" i="7"/>
  <c r="H1229" i="7"/>
  <c r="K1229" i="7" s="1"/>
  <c r="G1229" i="7"/>
  <c r="I1229" i="7" s="1"/>
  <c r="J1229" i="7" s="1"/>
  <c r="F1229" i="7"/>
  <c r="H1228" i="7"/>
  <c r="K1228" i="7" s="1"/>
  <c r="G1228" i="7"/>
  <c r="I1228" i="7" s="1"/>
  <c r="J1228" i="7" s="1"/>
  <c r="F1228" i="7"/>
  <c r="E1228" i="7"/>
  <c r="E1227" i="7"/>
  <c r="H1227" i="7"/>
  <c r="K1227" i="7" s="1"/>
  <c r="G1227" i="7"/>
  <c r="I1227" i="7" s="1"/>
  <c r="J1227" i="7" s="1"/>
  <c r="F1227" i="7"/>
  <c r="E1226" i="7"/>
  <c r="F1226" i="7"/>
  <c r="G1226" i="7"/>
  <c r="I1226" i="7" s="1"/>
  <c r="J1226" i="7" s="1"/>
  <c r="H1226" i="7"/>
  <c r="K1226" i="7" s="1"/>
  <c r="E1225" i="7"/>
  <c r="F1225" i="7"/>
  <c r="G1225" i="7"/>
  <c r="I1225" i="7" s="1"/>
  <c r="J1225" i="7" s="1"/>
  <c r="H1225" i="7"/>
  <c r="K1225" i="7" s="1"/>
  <c r="H1224" i="7"/>
  <c r="K1224" i="7" s="1"/>
  <c r="E1224" i="7"/>
  <c r="F1224" i="7"/>
  <c r="G1224" i="7"/>
  <c r="I1224" i="7" s="1"/>
  <c r="J1224" i="7" s="1"/>
  <c r="F1223" i="7"/>
  <c r="E1223" i="7"/>
  <c r="G1223" i="7"/>
  <c r="I1223" i="7" s="1"/>
  <c r="J1223" i="7" s="1"/>
  <c r="H1223" i="7"/>
  <c r="K1223" i="7" s="1"/>
  <c r="E1222" i="7"/>
  <c r="H1222" i="7"/>
  <c r="K1222" i="7" s="1"/>
  <c r="F1222" i="7"/>
  <c r="G1222" i="7"/>
  <c r="I1222" i="7" s="1"/>
  <c r="J1222" i="7" s="1"/>
  <c r="H1221" i="7"/>
  <c r="K1221" i="7" s="1"/>
  <c r="E1221" i="7"/>
  <c r="F1221" i="7"/>
  <c r="G1221" i="7"/>
  <c r="I1221" i="7" s="1"/>
  <c r="J1221" i="7" s="1"/>
  <c r="G1220" i="7"/>
  <c r="I1220" i="7" s="1"/>
  <c r="J1220" i="7" s="1"/>
  <c r="F1220" i="7"/>
  <c r="E1220" i="7"/>
  <c r="H1220" i="7"/>
  <c r="K1220" i="7" s="1"/>
  <c r="H1219" i="7"/>
  <c r="K1219" i="7" s="1"/>
  <c r="E1219" i="7"/>
  <c r="F1219" i="7"/>
  <c r="G1219" i="7"/>
  <c r="I1219" i="7" s="1"/>
  <c r="J1219" i="7" s="1"/>
  <c r="H1218" i="7"/>
  <c r="K1218" i="7" s="1"/>
  <c r="G1218" i="7"/>
  <c r="I1218" i="7" s="1"/>
  <c r="J1218" i="7" s="1"/>
  <c r="F1218" i="7"/>
  <c r="E1218" i="7"/>
  <c r="G1217" i="7"/>
  <c r="I1217" i="7" s="1"/>
  <c r="J1217" i="7" s="1"/>
  <c r="H1217" i="7"/>
  <c r="K1217" i="7" s="1"/>
  <c r="F1217" i="7"/>
  <c r="E1217" i="7"/>
  <c r="H1216" i="7"/>
  <c r="K1216" i="7" s="1"/>
  <c r="G1216" i="7"/>
  <c r="I1216" i="7" s="1"/>
  <c r="J1216" i="7" s="1"/>
  <c r="F1216" i="7"/>
  <c r="E1216" i="7"/>
  <c r="H1215" i="7"/>
  <c r="K1215" i="7" s="1"/>
  <c r="G1215" i="7"/>
  <c r="I1215" i="7" s="1"/>
  <c r="J1215" i="7" s="1"/>
  <c r="F1215" i="7"/>
  <c r="E1215" i="7"/>
  <c r="H1214" i="7"/>
  <c r="K1214" i="7" s="1"/>
  <c r="G1214" i="7"/>
  <c r="I1214" i="7" s="1"/>
  <c r="J1214" i="7" s="1"/>
  <c r="F1214" i="7"/>
  <c r="E1214" i="7"/>
  <c r="E1213" i="7"/>
  <c r="H1213" i="7"/>
  <c r="K1213" i="7" s="1"/>
  <c r="G1213" i="7"/>
  <c r="I1213" i="7" s="1"/>
  <c r="J1213" i="7" s="1"/>
  <c r="F1213" i="7"/>
  <c r="E1212" i="7"/>
  <c r="H1212" i="7"/>
  <c r="K1212" i="7" s="1"/>
  <c r="G1212" i="7"/>
  <c r="I1212" i="7" s="1"/>
  <c r="J1212" i="7" s="1"/>
  <c r="F1212" i="7"/>
  <c r="H1211" i="7"/>
  <c r="K1211" i="7" s="1"/>
  <c r="G1211" i="7"/>
  <c r="I1211" i="7" s="1"/>
  <c r="J1211" i="7" s="1"/>
  <c r="F1211" i="7"/>
  <c r="E1211" i="7"/>
  <c r="F1210" i="7"/>
  <c r="H1210" i="7"/>
  <c r="K1210" i="7" s="1"/>
  <c r="G1210" i="7"/>
  <c r="I1210" i="7" s="1"/>
  <c r="J1210" i="7" s="1"/>
  <c r="E1210" i="7"/>
  <c r="H1209" i="7"/>
  <c r="K1209" i="7" s="1"/>
  <c r="G1209" i="7"/>
  <c r="I1209" i="7" s="1"/>
  <c r="J1209" i="7" s="1"/>
  <c r="F1209" i="7"/>
  <c r="E1209" i="7"/>
  <c r="E1208" i="7"/>
  <c r="H1208" i="7"/>
  <c r="K1208" i="7" s="1"/>
  <c r="G1208" i="7"/>
  <c r="I1208" i="7" s="1"/>
  <c r="J1208" i="7" s="1"/>
  <c r="F1208" i="7"/>
  <c r="H1207" i="7"/>
  <c r="K1207" i="7" s="1"/>
  <c r="G1207" i="7"/>
  <c r="I1207" i="7" s="1"/>
  <c r="J1207" i="7" s="1"/>
  <c r="F1207" i="7"/>
  <c r="E1207" i="7"/>
  <c r="H1206" i="7"/>
  <c r="K1206" i="7" s="1"/>
  <c r="G1206" i="7"/>
  <c r="I1206" i="7" s="1"/>
  <c r="J1206" i="7" s="1"/>
  <c r="F1206" i="7"/>
  <c r="E1206" i="7"/>
  <c r="E1205" i="7"/>
  <c r="H1205" i="7"/>
  <c r="K1205" i="7" s="1"/>
  <c r="G1205" i="7"/>
  <c r="F1205" i="7"/>
  <c r="E1204" i="7"/>
  <c r="H1204" i="7"/>
  <c r="K1204" i="7" s="1"/>
  <c r="G1204" i="7"/>
  <c r="F1204" i="7"/>
  <c r="H1203" i="7"/>
  <c r="K1203" i="7" s="1"/>
  <c r="G1203" i="7"/>
  <c r="F1203" i="7"/>
  <c r="E1203" i="7"/>
  <c r="H1202" i="7"/>
  <c r="K1202" i="7" s="1"/>
  <c r="G1202" i="7"/>
  <c r="F1202" i="7"/>
  <c r="E1202" i="7"/>
  <c r="H1201" i="7"/>
  <c r="K1201" i="7" s="1"/>
  <c r="G1201" i="7"/>
  <c r="F1201" i="7"/>
  <c r="E1201" i="7"/>
  <c r="F1200" i="7"/>
  <c r="H1200" i="7"/>
  <c r="K1200" i="7" s="1"/>
  <c r="G1200" i="7"/>
  <c r="E1200" i="7"/>
  <c r="H1199" i="7"/>
  <c r="K1199" i="7" s="1"/>
  <c r="G1199" i="7"/>
  <c r="F1199" i="7"/>
  <c r="E1199" i="7"/>
  <c r="E1198" i="7"/>
  <c r="H1198" i="7"/>
  <c r="K1198" i="7" s="1"/>
  <c r="G1198" i="7"/>
  <c r="F1198" i="7"/>
  <c r="H1197" i="7"/>
  <c r="K1197" i="7" s="1"/>
  <c r="G1197" i="7"/>
  <c r="F1197" i="7"/>
  <c r="E1197" i="7"/>
  <c r="G1196" i="7"/>
  <c r="H1196" i="7"/>
  <c r="K1196" i="7" s="1"/>
  <c r="E1196" i="7"/>
  <c r="F1196" i="7"/>
  <c r="E1195" i="7"/>
  <c r="F1195" i="7"/>
  <c r="G1195" i="7"/>
  <c r="H1195" i="7"/>
  <c r="K1195" i="7" s="1"/>
  <c r="E1194" i="7"/>
  <c r="F1194" i="7"/>
  <c r="G1194" i="7"/>
  <c r="H1194" i="7"/>
  <c r="K1194" i="7" s="1"/>
  <c r="G1193" i="7"/>
  <c r="I1193" i="7" s="1"/>
  <c r="J1193" i="7" s="1"/>
  <c r="F1193" i="7"/>
  <c r="E1193" i="7"/>
  <c r="H1193" i="7"/>
  <c r="K1193" i="7" s="1"/>
  <c r="H1192" i="7"/>
  <c r="K1192" i="7" s="1"/>
  <c r="F1192" i="7"/>
  <c r="G1192" i="7"/>
  <c r="I1192" i="7" s="1"/>
  <c r="J1192" i="7" s="1"/>
  <c r="E1192" i="7"/>
  <c r="H1191" i="7"/>
  <c r="K1191" i="7" s="1"/>
  <c r="E1191" i="7"/>
  <c r="F1191" i="7"/>
  <c r="G1191" i="7"/>
  <c r="I1191" i="7" s="1"/>
  <c r="J1191" i="7" s="1"/>
  <c r="G1190" i="7"/>
  <c r="I1190" i="7" s="1"/>
  <c r="J1190" i="7" s="1"/>
  <c r="F1190" i="7"/>
  <c r="E1190" i="7"/>
  <c r="H1190" i="7"/>
  <c r="K1190" i="7" s="1"/>
  <c r="H1189" i="7"/>
  <c r="K1189" i="7" s="1"/>
  <c r="G1189" i="7"/>
  <c r="I1189" i="7" s="1"/>
  <c r="J1189" i="7" s="1"/>
  <c r="F1189" i="7"/>
  <c r="E1189" i="7"/>
  <c r="F1188" i="7"/>
  <c r="G1188" i="7"/>
  <c r="I1188" i="7" s="1"/>
  <c r="J1188" i="7" s="1"/>
  <c r="H1188" i="7"/>
  <c r="K1188" i="7" s="1"/>
  <c r="E1188" i="7"/>
  <c r="H1187" i="7"/>
  <c r="K1187" i="7" s="1"/>
  <c r="G1187" i="7"/>
  <c r="I1187" i="7" s="1"/>
  <c r="J1187" i="7" s="1"/>
  <c r="E1187" i="7"/>
  <c r="F1187" i="7"/>
  <c r="H1186" i="7"/>
  <c r="K1186" i="7" s="1"/>
  <c r="G1186" i="7"/>
  <c r="I1186" i="7" s="1"/>
  <c r="J1186" i="7" s="1"/>
  <c r="F1186" i="7"/>
  <c r="E1186" i="7"/>
  <c r="G1185" i="7"/>
  <c r="I1185" i="7" s="1"/>
  <c r="J1185" i="7" s="1"/>
  <c r="H1185" i="7"/>
  <c r="K1185" i="7" s="1"/>
  <c r="F1185" i="7"/>
  <c r="E1185" i="7"/>
  <c r="H1184" i="7"/>
  <c r="K1184" i="7" s="1"/>
  <c r="E1184" i="7"/>
  <c r="F1184" i="7"/>
  <c r="G1184" i="7"/>
  <c r="I1184" i="7" s="1"/>
  <c r="J1184" i="7" s="1"/>
  <c r="G1183" i="7"/>
  <c r="I1183" i="7" s="1"/>
  <c r="J1183" i="7" s="1"/>
  <c r="F1183" i="7"/>
  <c r="E1183" i="7"/>
  <c r="H1183" i="7"/>
  <c r="K1183" i="7" s="1"/>
  <c r="H1182" i="7"/>
  <c r="K1182" i="7" s="1"/>
  <c r="G1182" i="7"/>
  <c r="I1182" i="7" s="1"/>
  <c r="J1182" i="7" s="1"/>
  <c r="E1182" i="7"/>
  <c r="F1182" i="7"/>
  <c r="H1181" i="7"/>
  <c r="K1181" i="7" s="1"/>
  <c r="G1181" i="7"/>
  <c r="I1181" i="7" s="1"/>
  <c r="J1181" i="7" s="1"/>
  <c r="F1181" i="7"/>
  <c r="E1181" i="7"/>
  <c r="F1180" i="7"/>
  <c r="E1180" i="7"/>
  <c r="H1180" i="7"/>
  <c r="K1180" i="7" s="1"/>
  <c r="G1180" i="7"/>
  <c r="I1180" i="7" s="1"/>
  <c r="J1180" i="7" s="1"/>
  <c r="H1179" i="7"/>
  <c r="K1179" i="7" s="1"/>
  <c r="E1179" i="7"/>
  <c r="G1179" i="7"/>
  <c r="I1179" i="7" s="1"/>
  <c r="J1179" i="7" s="1"/>
  <c r="F1179" i="7"/>
  <c r="F1178" i="7"/>
  <c r="E1178" i="7"/>
  <c r="H1178" i="7"/>
  <c r="K1178" i="7" s="1"/>
  <c r="G1178" i="7"/>
  <c r="I1178" i="7" s="1"/>
  <c r="J1178" i="7" s="1"/>
  <c r="E1177" i="7"/>
  <c r="H1177" i="7"/>
  <c r="K1177" i="7" s="1"/>
  <c r="G1177" i="7"/>
  <c r="I1177" i="7" s="1"/>
  <c r="J1177" i="7" s="1"/>
  <c r="F1177" i="7"/>
  <c r="H1176" i="7"/>
  <c r="K1176" i="7" s="1"/>
  <c r="G1176" i="7"/>
  <c r="I1176" i="7" s="1"/>
  <c r="J1176" i="7" s="1"/>
  <c r="F1176" i="7"/>
  <c r="E1176" i="7"/>
  <c r="H1175" i="7"/>
  <c r="K1175" i="7" s="1"/>
  <c r="G1175" i="7"/>
  <c r="I1175" i="7" s="1"/>
  <c r="J1175" i="7" s="1"/>
  <c r="E1175" i="7"/>
  <c r="F1175" i="7"/>
  <c r="F1174" i="7"/>
  <c r="E1174" i="7"/>
  <c r="G1174" i="7"/>
  <c r="I1174" i="7" s="1"/>
  <c r="J1174" i="7" s="1"/>
  <c r="H1174" i="7"/>
  <c r="K1174" i="7" s="1"/>
  <c r="E1173" i="7"/>
  <c r="F1173" i="7"/>
  <c r="G1173" i="7"/>
  <c r="I1173" i="7" s="1"/>
  <c r="J1173" i="7" s="1"/>
  <c r="H1173" i="7"/>
  <c r="K1173" i="7" s="1"/>
  <c r="F1172" i="7"/>
  <c r="G1172" i="7"/>
  <c r="I1172" i="7" s="1"/>
  <c r="J1172" i="7" s="1"/>
  <c r="H1172" i="7"/>
  <c r="K1172" i="7" s="1"/>
  <c r="E1172" i="7"/>
  <c r="H1171" i="7"/>
  <c r="K1171" i="7" s="1"/>
  <c r="F1171" i="7"/>
  <c r="E1171" i="7"/>
  <c r="G1171" i="7"/>
  <c r="I1171" i="7" s="1"/>
  <c r="J1171" i="7" s="1"/>
  <c r="E1170" i="7"/>
  <c r="F1170" i="7"/>
  <c r="G1170" i="7"/>
  <c r="I1170" i="7" s="1"/>
  <c r="J1170" i="7" s="1"/>
  <c r="H1170" i="7"/>
  <c r="K1170" i="7" s="1"/>
  <c r="H1169" i="7"/>
  <c r="K1169" i="7" s="1"/>
  <c r="G1169" i="7"/>
  <c r="I1169" i="7" s="1"/>
  <c r="J1169" i="7" s="1"/>
  <c r="F1169" i="7"/>
  <c r="E1169" i="7"/>
  <c r="H1168" i="7"/>
  <c r="K1168" i="7" s="1"/>
  <c r="G1168" i="7"/>
  <c r="I1168" i="7" s="1"/>
  <c r="J1168" i="7" s="1"/>
  <c r="F1168" i="7"/>
  <c r="E1168" i="7"/>
  <c r="H1167" i="7"/>
  <c r="K1167" i="7" s="1"/>
  <c r="F1167" i="7"/>
  <c r="E1167" i="7"/>
  <c r="G1167" i="7"/>
  <c r="I1167" i="7" s="1"/>
  <c r="J1167" i="7" s="1"/>
  <c r="E1166" i="7"/>
  <c r="H1166" i="7"/>
  <c r="K1166" i="7" s="1"/>
  <c r="G1166" i="7"/>
  <c r="I1166" i="7" s="1"/>
  <c r="J1166" i="7" s="1"/>
  <c r="F1166" i="7"/>
  <c r="H1165" i="7"/>
  <c r="K1165" i="7" s="1"/>
  <c r="G1165" i="7"/>
  <c r="I1165" i="7" s="1"/>
  <c r="J1165" i="7" s="1"/>
  <c r="F1165" i="7"/>
  <c r="E1165" i="7"/>
  <c r="H1164" i="7"/>
  <c r="K1164" i="7" s="1"/>
  <c r="E1164" i="7"/>
  <c r="G1164" i="7"/>
  <c r="I1164" i="7" s="1"/>
  <c r="J1164" i="7" s="1"/>
  <c r="F1164" i="7"/>
  <c r="H1163" i="7"/>
  <c r="K1163" i="7" s="1"/>
  <c r="G1163" i="7"/>
  <c r="I1163" i="7" s="1"/>
  <c r="J1163" i="7" s="1"/>
  <c r="F1163" i="7"/>
  <c r="E1163" i="7"/>
  <c r="E1162" i="7"/>
  <c r="F1162" i="7"/>
  <c r="G1162" i="7"/>
  <c r="H1162" i="7"/>
  <c r="K1162" i="7" s="1"/>
  <c r="E1161" i="7"/>
  <c r="F1161" i="7"/>
  <c r="G1161" i="7"/>
  <c r="H1161" i="7"/>
  <c r="K1161" i="7" s="1"/>
  <c r="E1160" i="7"/>
  <c r="F1160" i="7"/>
  <c r="G1160" i="7"/>
  <c r="H1160" i="7"/>
  <c r="K1160" i="7" s="1"/>
  <c r="F1159" i="7"/>
  <c r="G1159" i="7"/>
  <c r="H1159" i="7"/>
  <c r="K1159" i="7" s="1"/>
  <c r="E1159" i="7"/>
  <c r="G1158" i="7"/>
  <c r="E1158" i="7"/>
  <c r="F1158" i="7"/>
  <c r="H1158" i="7"/>
  <c r="K1158" i="7" s="1"/>
  <c r="F1157" i="7"/>
  <c r="G1157" i="7"/>
  <c r="E1157" i="7"/>
  <c r="G1156" i="7"/>
  <c r="H1156" i="7"/>
  <c r="K1156" i="7" s="1"/>
  <c r="E1156" i="7"/>
  <c r="F1156" i="7"/>
  <c r="G1155" i="7"/>
  <c r="H1155" i="7"/>
  <c r="K1155" i="7" s="1"/>
  <c r="F1155" i="7"/>
  <c r="E1155" i="7"/>
  <c r="H1154" i="7"/>
  <c r="K1154" i="7" s="1"/>
  <c r="G1154" i="7"/>
  <c r="F1154" i="7"/>
  <c r="E1154" i="7"/>
  <c r="E1153" i="7"/>
  <c r="G1153" i="7"/>
  <c r="I1153" i="7" s="1"/>
  <c r="J1153" i="7" s="1"/>
  <c r="H1153" i="7"/>
  <c r="K1153" i="7" s="1"/>
  <c r="F1153" i="7"/>
  <c r="H1152" i="7"/>
  <c r="K1152" i="7" s="1"/>
  <c r="G1152" i="7"/>
  <c r="I1152" i="7" s="1"/>
  <c r="J1152" i="7" s="1"/>
  <c r="F1152" i="7"/>
  <c r="E1152" i="7"/>
  <c r="H1151" i="7"/>
  <c r="K1151" i="7" s="1"/>
  <c r="F1151" i="7"/>
  <c r="G1151" i="7"/>
  <c r="I1151" i="7" s="1"/>
  <c r="J1151" i="7" s="1"/>
  <c r="E1151" i="7"/>
  <c r="E1150" i="7"/>
  <c r="F1150" i="7"/>
  <c r="G1150" i="7"/>
  <c r="I1150" i="7" s="1"/>
  <c r="J1150" i="7" s="1"/>
  <c r="H1150" i="7"/>
  <c r="K1150" i="7" s="1"/>
  <c r="F1149" i="7"/>
  <c r="G1149" i="7"/>
  <c r="I1149" i="7" s="1"/>
  <c r="J1149" i="7" s="1"/>
  <c r="E1149" i="7"/>
  <c r="H1149" i="7"/>
  <c r="K1149" i="7" s="1"/>
  <c r="H1148" i="7"/>
  <c r="K1148" i="7" s="1"/>
  <c r="G1148" i="7"/>
  <c r="I1148" i="7" s="1"/>
  <c r="J1148" i="7" s="1"/>
  <c r="F1148" i="7"/>
  <c r="E1148" i="7"/>
  <c r="G1147" i="7"/>
  <c r="I1147" i="7" s="1"/>
  <c r="J1147" i="7" s="1"/>
  <c r="E1147" i="7"/>
  <c r="F1147" i="7"/>
  <c r="H1147" i="7"/>
  <c r="K1147" i="7" s="1"/>
  <c r="E1146" i="7"/>
  <c r="F1146" i="7"/>
  <c r="G1146" i="7"/>
  <c r="I1146" i="7" s="1"/>
  <c r="J1146" i="7" s="1"/>
  <c r="H1146" i="7"/>
  <c r="K1146" i="7" s="1"/>
  <c r="G1145" i="7"/>
  <c r="I1145" i="7" s="1"/>
  <c r="J1145" i="7" s="1"/>
  <c r="H1145" i="7"/>
  <c r="K1145" i="7" s="1"/>
  <c r="E1145" i="7"/>
  <c r="F1145" i="7"/>
  <c r="G1144" i="7"/>
  <c r="I1144" i="7" s="1"/>
  <c r="J1144" i="7" s="1"/>
  <c r="H1144" i="7"/>
  <c r="K1144" i="7" s="1"/>
  <c r="F1144" i="7"/>
  <c r="E1144" i="7"/>
  <c r="E1143" i="7"/>
  <c r="G1143" i="7"/>
  <c r="I1143" i="7" s="1"/>
  <c r="J1143" i="7" s="1"/>
  <c r="H1143" i="7"/>
  <c r="K1143" i="7" s="1"/>
  <c r="F1143" i="7"/>
  <c r="H1142" i="7"/>
  <c r="K1142" i="7" s="1"/>
  <c r="G1142" i="7"/>
  <c r="I1142" i="7" s="1"/>
  <c r="J1142" i="7" s="1"/>
  <c r="F1142" i="7"/>
  <c r="E1142" i="7"/>
  <c r="E1141" i="7"/>
  <c r="G1141" i="7"/>
  <c r="I1141" i="7" s="1"/>
  <c r="J1141" i="7" s="1"/>
  <c r="F1141" i="7"/>
  <c r="H1141" i="7"/>
  <c r="K1141" i="7" s="1"/>
  <c r="H1140" i="7"/>
  <c r="K1140" i="7" s="1"/>
  <c r="G1140" i="7"/>
  <c r="I1140" i="7" s="1"/>
  <c r="J1140" i="7" s="1"/>
  <c r="F1140" i="7"/>
  <c r="E1140" i="7"/>
  <c r="F1139" i="7"/>
  <c r="G1139" i="7"/>
  <c r="I1139" i="7" s="1"/>
  <c r="J1139" i="7" s="1"/>
  <c r="H1139" i="7"/>
  <c r="K1139" i="7" s="1"/>
  <c r="E1139" i="7"/>
  <c r="F1138" i="7"/>
  <c r="G1138" i="7"/>
  <c r="I1138" i="7" s="1"/>
  <c r="J1138" i="7" s="1"/>
  <c r="H1138" i="7"/>
  <c r="K1138" i="7" s="1"/>
  <c r="E1138" i="7"/>
  <c r="E1137" i="7"/>
  <c r="F1137" i="7"/>
  <c r="H1137" i="7"/>
  <c r="K1137" i="7" s="1"/>
  <c r="G1137" i="7"/>
  <c r="I1137" i="7" s="1"/>
  <c r="J1137" i="7" s="1"/>
  <c r="E1136" i="7"/>
  <c r="F1136" i="7"/>
  <c r="G1136" i="7"/>
  <c r="I1136" i="7" s="1"/>
  <c r="J1136" i="7" s="1"/>
  <c r="H1136" i="7"/>
  <c r="K1136" i="7" s="1"/>
  <c r="E1135" i="7"/>
  <c r="F1135" i="7"/>
  <c r="G1135" i="7"/>
  <c r="I1135" i="7" s="1"/>
  <c r="J1135" i="7" s="1"/>
  <c r="H1135" i="7"/>
  <c r="K1135" i="7" s="1"/>
  <c r="F1134" i="7"/>
  <c r="G1134" i="7"/>
  <c r="I1134" i="7" s="1"/>
  <c r="J1134" i="7" s="1"/>
  <c r="H1134" i="7"/>
  <c r="K1134" i="7" s="1"/>
  <c r="E1134" i="7"/>
  <c r="F1133" i="7"/>
  <c r="E1133" i="7"/>
  <c r="G1133" i="7"/>
  <c r="I1133" i="7" s="1"/>
  <c r="J1133" i="7" s="1"/>
  <c r="H1133" i="7"/>
  <c r="K1133" i="7" s="1"/>
  <c r="F1132" i="7"/>
  <c r="G1132" i="7"/>
  <c r="I1132" i="7" s="1"/>
  <c r="J1132" i="7" s="1"/>
  <c r="H1132" i="7"/>
  <c r="K1132" i="7" s="1"/>
  <c r="E1132" i="7"/>
  <c r="H1131" i="7"/>
  <c r="K1131" i="7" s="1"/>
  <c r="G1131" i="7"/>
  <c r="F1131" i="7"/>
  <c r="E1131" i="7"/>
  <c r="F1130" i="7"/>
  <c r="E1130" i="7"/>
  <c r="H1130" i="7"/>
  <c r="K1130" i="7" s="1"/>
  <c r="G1130" i="7"/>
  <c r="E1129" i="7"/>
  <c r="H1129" i="7"/>
  <c r="K1129" i="7" s="1"/>
  <c r="G1129" i="7"/>
  <c r="I1129" i="7" s="1"/>
  <c r="J1129" i="7" s="1"/>
  <c r="F1129" i="7"/>
  <c r="H1128" i="7"/>
  <c r="K1128" i="7" s="1"/>
  <c r="G1128" i="7"/>
  <c r="I1128" i="7" s="1"/>
  <c r="J1128" i="7" s="1"/>
  <c r="F1128" i="7"/>
  <c r="E1128" i="7"/>
  <c r="E1127" i="7"/>
  <c r="F1127" i="7"/>
  <c r="G1127" i="7"/>
  <c r="I1127" i="7" s="1"/>
  <c r="J1127" i="7" s="1"/>
  <c r="H1127" i="7"/>
  <c r="K1127" i="7" s="1"/>
  <c r="F1126" i="7"/>
  <c r="E1126" i="7"/>
  <c r="G1126" i="7"/>
  <c r="I1126" i="7" s="1"/>
  <c r="J1126" i="7" s="1"/>
  <c r="H1126" i="7"/>
  <c r="K1126" i="7" s="1"/>
  <c r="F1125" i="7"/>
  <c r="G1125" i="7"/>
  <c r="I1125" i="7" s="1"/>
  <c r="J1125" i="7" s="1"/>
  <c r="H1125" i="7"/>
  <c r="K1125" i="7" s="1"/>
  <c r="E1125" i="7"/>
  <c r="H1124" i="7"/>
  <c r="K1124" i="7" s="1"/>
  <c r="G1124" i="7"/>
  <c r="I1124" i="7" s="1"/>
  <c r="J1124" i="7" s="1"/>
  <c r="F1124" i="7"/>
  <c r="E1124" i="7"/>
  <c r="H1123" i="7"/>
  <c r="K1123" i="7" s="1"/>
  <c r="G1123" i="7"/>
  <c r="I1123" i="7" s="1"/>
  <c r="J1123" i="7" s="1"/>
  <c r="F1123" i="7"/>
  <c r="E1123" i="7"/>
  <c r="H1122" i="7"/>
  <c r="K1122" i="7" s="1"/>
  <c r="G1122" i="7"/>
  <c r="I1122" i="7" s="1"/>
  <c r="J1122" i="7" s="1"/>
  <c r="F1122" i="7"/>
  <c r="E1122" i="7"/>
  <c r="H1121" i="7"/>
  <c r="K1121" i="7" s="1"/>
  <c r="G1121" i="7"/>
  <c r="I1121" i="7" s="1"/>
  <c r="J1121" i="7" s="1"/>
  <c r="F1121" i="7"/>
  <c r="E1121" i="7"/>
  <c r="G1120" i="7"/>
  <c r="I1120" i="7" s="1"/>
  <c r="J1120" i="7" s="1"/>
  <c r="E1120" i="7"/>
  <c r="F1120" i="7"/>
  <c r="H1120" i="7"/>
  <c r="K1120" i="7" s="1"/>
  <c r="H1119" i="7"/>
  <c r="G1119" i="7"/>
  <c r="F1119" i="7"/>
  <c r="E1119" i="7"/>
  <c r="G1118" i="7"/>
  <c r="F1118" i="7"/>
  <c r="E1118" i="7"/>
  <c r="H1118" i="7"/>
  <c r="H1117" i="7"/>
  <c r="K1117" i="7" s="1"/>
  <c r="F1117" i="7"/>
  <c r="E1117" i="7"/>
  <c r="G1117" i="7"/>
  <c r="I1117" i="7" s="1"/>
  <c r="J1117" i="7" s="1"/>
  <c r="G1116" i="7"/>
  <c r="I1116" i="7" s="1"/>
  <c r="J1116" i="7" s="1"/>
  <c r="F1116" i="7"/>
  <c r="E1116" i="7"/>
  <c r="H1116" i="7"/>
  <c r="K1116" i="7" s="1"/>
  <c r="E1115" i="7"/>
  <c r="F1115" i="7"/>
  <c r="G1115" i="7"/>
  <c r="I1115" i="7" s="1"/>
  <c r="J1115" i="7" s="1"/>
  <c r="H1115" i="7"/>
  <c r="K1115" i="7" s="1"/>
  <c r="H1114" i="7"/>
  <c r="K1114" i="7" s="1"/>
  <c r="G1114" i="7"/>
  <c r="I1114" i="7" s="1"/>
  <c r="J1114" i="7" s="1"/>
  <c r="F1114" i="7"/>
  <c r="E1114" i="7"/>
  <c r="G1113" i="7"/>
  <c r="I1113" i="7" s="1"/>
  <c r="J1113" i="7" s="1"/>
  <c r="H1113" i="7"/>
  <c r="K1113" i="7" s="1"/>
  <c r="E1113" i="7"/>
  <c r="F1113" i="7"/>
  <c r="G1112" i="7"/>
  <c r="I1112" i="7" s="1"/>
  <c r="J1112" i="7" s="1"/>
  <c r="E1112" i="7"/>
  <c r="F1112" i="7"/>
  <c r="H1112" i="7"/>
  <c r="K1112" i="7" s="1"/>
  <c r="F1111" i="7"/>
  <c r="G1111" i="7"/>
  <c r="I1111" i="7" s="1"/>
  <c r="J1111" i="7" s="1"/>
  <c r="H1111" i="7"/>
  <c r="K1111" i="7" s="1"/>
  <c r="E1111" i="7"/>
  <c r="E1110" i="7"/>
  <c r="F1110" i="7"/>
  <c r="G1110" i="7"/>
  <c r="I1110" i="7" s="1"/>
  <c r="J1110" i="7" s="1"/>
  <c r="H1110" i="7"/>
  <c r="K1110" i="7" s="1"/>
  <c r="H1109" i="7"/>
  <c r="K1109" i="7" s="1"/>
  <c r="F1109" i="7"/>
  <c r="G1109" i="7"/>
  <c r="I1109" i="7" s="1"/>
  <c r="J1109" i="7" s="1"/>
  <c r="E1109" i="7"/>
  <c r="E1108" i="7"/>
  <c r="F1108" i="7"/>
  <c r="G1108" i="7"/>
  <c r="H1108" i="7"/>
  <c r="K1108" i="7" s="1"/>
  <c r="G1107" i="7"/>
  <c r="H1107" i="7"/>
  <c r="K1107" i="7" s="1"/>
  <c r="E1107" i="7"/>
  <c r="F1107" i="7"/>
  <c r="H1106" i="7"/>
  <c r="K1106" i="7" s="1"/>
  <c r="G1106" i="7"/>
  <c r="F1106" i="7"/>
  <c r="E1106" i="7"/>
  <c r="H1105" i="7"/>
  <c r="K1105" i="7" s="1"/>
  <c r="F1105" i="7"/>
  <c r="E1105" i="7"/>
  <c r="G1105" i="7"/>
  <c r="I1105" i="7" s="1"/>
  <c r="J1105" i="7" s="1"/>
  <c r="H1104" i="7"/>
  <c r="K1104" i="7" s="1"/>
  <c r="F1104" i="7"/>
  <c r="G1104" i="7"/>
  <c r="I1104" i="7" s="1"/>
  <c r="J1104" i="7" s="1"/>
  <c r="E1104" i="7"/>
  <c r="E1103" i="7"/>
  <c r="H1103" i="7"/>
  <c r="K1103" i="7" s="1"/>
  <c r="G1103" i="7"/>
  <c r="I1103" i="7" s="1"/>
  <c r="J1103" i="7" s="1"/>
  <c r="F1103" i="7"/>
  <c r="H1102" i="7"/>
  <c r="K1102" i="7" s="1"/>
  <c r="G1102" i="7"/>
  <c r="I1102" i="7" s="1"/>
  <c r="J1102" i="7" s="1"/>
  <c r="F1102" i="7"/>
  <c r="E1102" i="7"/>
  <c r="E1101" i="7"/>
  <c r="F1101" i="7"/>
  <c r="H1101" i="7"/>
  <c r="K1101" i="7" s="1"/>
  <c r="G1101" i="7"/>
  <c r="F1100" i="7"/>
  <c r="H1100" i="7"/>
  <c r="K1100" i="7" s="1"/>
  <c r="E1100" i="7"/>
  <c r="G1100" i="7"/>
  <c r="E1099" i="7"/>
  <c r="H1099" i="7"/>
  <c r="K1099" i="7" s="1"/>
  <c r="F1099" i="7"/>
  <c r="G1099" i="7"/>
  <c r="E1098" i="7"/>
  <c r="G1098" i="7"/>
  <c r="H1098" i="7"/>
  <c r="K1098" i="7" s="1"/>
  <c r="F1098" i="7"/>
  <c r="H1097" i="7"/>
  <c r="K1097" i="7" s="1"/>
  <c r="E1097" i="7"/>
  <c r="F1097" i="7"/>
  <c r="G1097" i="7"/>
  <c r="G1096" i="7"/>
  <c r="F1096" i="7"/>
  <c r="H1096" i="7"/>
  <c r="K1096" i="7" s="1"/>
  <c r="E1096" i="7"/>
  <c r="H1095" i="7"/>
  <c r="K1095" i="7" s="1"/>
  <c r="F1095" i="7"/>
  <c r="E1095" i="7"/>
  <c r="G1095" i="7"/>
  <c r="G1094" i="7"/>
  <c r="E1094" i="7"/>
  <c r="H1094" i="7"/>
  <c r="K1094" i="7" s="1"/>
  <c r="F1094" i="7"/>
  <c r="F1093" i="7"/>
  <c r="G1093" i="7"/>
  <c r="I1093" i="7" s="1"/>
  <c r="J1093" i="7" s="1"/>
  <c r="E1093" i="7"/>
  <c r="H1093" i="7"/>
  <c r="K1093" i="7" s="1"/>
  <c r="F1092" i="7"/>
  <c r="H1092" i="7"/>
  <c r="K1092" i="7" s="1"/>
  <c r="E1092" i="7"/>
  <c r="G1092" i="7"/>
  <c r="I1092" i="7" s="1"/>
  <c r="J1092" i="7" s="1"/>
  <c r="F1091" i="7"/>
  <c r="E1091" i="7"/>
  <c r="H1091" i="7"/>
  <c r="K1091" i="7" s="1"/>
  <c r="G1091" i="7"/>
  <c r="I1091" i="7" s="1"/>
  <c r="J1091" i="7" s="1"/>
  <c r="E1090" i="7"/>
  <c r="G1090" i="7"/>
  <c r="I1090" i="7" s="1"/>
  <c r="J1090" i="7" s="1"/>
  <c r="H1090" i="7"/>
  <c r="K1090" i="7" s="1"/>
  <c r="F1090" i="7"/>
  <c r="E1089" i="7"/>
  <c r="G1089" i="7"/>
  <c r="I1089" i="7" s="1"/>
  <c r="J1089" i="7" s="1"/>
  <c r="H1089" i="7"/>
  <c r="K1089" i="7" s="1"/>
  <c r="F1089" i="7"/>
  <c r="E1088" i="7"/>
  <c r="F1088" i="7"/>
  <c r="G1088" i="7"/>
  <c r="I1088" i="7" s="1"/>
  <c r="J1088" i="7" s="1"/>
  <c r="H1088" i="7"/>
  <c r="K1088" i="7" s="1"/>
  <c r="G1087" i="7"/>
  <c r="I1087" i="7" s="1"/>
  <c r="J1087" i="7" s="1"/>
  <c r="E1087" i="7"/>
  <c r="H1087" i="7"/>
  <c r="K1087" i="7" s="1"/>
  <c r="F1087" i="7"/>
  <c r="G1086" i="7"/>
  <c r="I1086" i="7" s="1"/>
  <c r="J1086" i="7" s="1"/>
  <c r="F1086" i="7"/>
  <c r="E1086" i="7"/>
  <c r="H1086" i="7"/>
  <c r="K1086" i="7" s="1"/>
  <c r="F1085" i="7"/>
  <c r="G1085" i="7"/>
  <c r="I1085" i="7" s="1"/>
  <c r="J1085" i="7" s="1"/>
  <c r="H1085" i="7"/>
  <c r="K1085" i="7" s="1"/>
  <c r="E1085" i="7"/>
  <c r="F1084" i="7"/>
  <c r="G1084" i="7"/>
  <c r="I1084" i="7" s="1"/>
  <c r="J1084" i="7" s="1"/>
  <c r="H1084" i="7"/>
  <c r="K1084" i="7" s="1"/>
  <c r="E1084" i="7"/>
  <c r="H1083" i="7"/>
  <c r="K1083" i="7" s="1"/>
  <c r="G1083" i="7"/>
  <c r="I1083" i="7" s="1"/>
  <c r="J1083" i="7" s="1"/>
  <c r="F1083" i="7"/>
  <c r="E1083" i="7"/>
  <c r="H1082" i="7"/>
  <c r="K1082" i="7" s="1"/>
  <c r="G1082" i="7"/>
  <c r="I1082" i="7" s="1"/>
  <c r="J1082" i="7" s="1"/>
  <c r="E1082" i="7"/>
  <c r="F1082" i="7"/>
  <c r="E1081" i="7"/>
  <c r="H1081" i="7"/>
  <c r="K1081" i="7" s="1"/>
  <c r="F1081" i="7"/>
  <c r="G1081" i="7"/>
  <c r="I1081" i="7" s="1"/>
  <c r="J1081" i="7" s="1"/>
  <c r="E1080" i="7"/>
  <c r="H1080" i="7"/>
  <c r="K1080" i="7" s="1"/>
  <c r="F1080" i="7"/>
  <c r="G1080" i="7"/>
  <c r="I1080" i="7" s="1"/>
  <c r="J1080" i="7" s="1"/>
  <c r="E1079" i="7"/>
  <c r="G1079" i="7"/>
  <c r="I1079" i="7" s="1"/>
  <c r="J1079" i="7" s="1"/>
  <c r="H1079" i="7"/>
  <c r="K1079" i="7" s="1"/>
  <c r="F1079" i="7"/>
  <c r="G1078" i="7"/>
  <c r="I1078" i="7" s="1"/>
  <c r="J1078" i="7" s="1"/>
  <c r="E1078" i="7"/>
  <c r="H1078" i="7"/>
  <c r="K1078" i="7" s="1"/>
  <c r="F1078" i="7"/>
  <c r="H1077" i="7"/>
  <c r="K1077" i="7" s="1"/>
  <c r="G1077" i="7"/>
  <c r="I1077" i="7" s="1"/>
  <c r="J1077" i="7" s="1"/>
  <c r="F1077" i="7"/>
  <c r="E1077" i="7"/>
  <c r="G1076" i="7"/>
  <c r="I1076" i="7" s="1"/>
  <c r="J1076" i="7" s="1"/>
  <c r="H1076" i="7"/>
  <c r="K1076" i="7" s="1"/>
  <c r="F1076" i="7"/>
  <c r="E1076" i="7"/>
  <c r="F1075" i="7"/>
  <c r="E1075" i="7"/>
  <c r="G1075" i="7"/>
  <c r="I1075" i="7" s="1"/>
  <c r="J1075" i="7" s="1"/>
  <c r="H1075" i="7"/>
  <c r="K1075" i="7" s="1"/>
  <c r="G1074" i="7"/>
  <c r="I1074" i="7" s="1"/>
  <c r="J1074" i="7" s="1"/>
  <c r="F1074" i="7"/>
  <c r="E1074" i="7"/>
  <c r="H1074" i="7"/>
  <c r="K1074" i="7" s="1"/>
  <c r="E1073" i="7"/>
  <c r="H1073" i="7"/>
  <c r="K1073" i="7" s="1"/>
  <c r="G1073" i="7"/>
  <c r="I1073" i="7" s="1"/>
  <c r="J1073" i="7" s="1"/>
  <c r="F1073" i="7"/>
  <c r="F1072" i="7"/>
  <c r="E1072" i="7"/>
  <c r="G1072" i="7"/>
  <c r="I1072" i="7" s="1"/>
  <c r="J1072" i="7" s="1"/>
  <c r="H1072" i="7"/>
  <c r="K1072" i="7" s="1"/>
  <c r="H1071" i="7"/>
  <c r="K1071" i="7" s="1"/>
  <c r="E1071" i="7"/>
  <c r="F1071" i="7"/>
  <c r="G1071" i="7"/>
  <c r="I1071" i="7" s="1"/>
  <c r="J1071" i="7" s="1"/>
  <c r="E1070" i="7"/>
  <c r="F1070" i="7"/>
  <c r="H1070" i="7"/>
  <c r="K1070" i="7" s="1"/>
  <c r="G1070" i="7"/>
  <c r="I1070" i="7" s="1"/>
  <c r="J1070" i="7" s="1"/>
  <c r="G1069" i="7"/>
  <c r="I1069" i="7" s="1"/>
  <c r="J1069" i="7" s="1"/>
  <c r="E1069" i="7"/>
  <c r="H1069" i="7"/>
  <c r="K1069" i="7" s="1"/>
  <c r="F1069" i="7"/>
  <c r="E1068" i="7"/>
  <c r="H1068" i="7"/>
  <c r="K1068" i="7" s="1"/>
  <c r="F1068" i="7"/>
  <c r="G1068" i="7"/>
  <c r="I1068" i="7" s="1"/>
  <c r="J1068" i="7" s="1"/>
  <c r="H1067" i="7"/>
  <c r="K1067" i="7" s="1"/>
  <c r="E1067" i="7"/>
  <c r="G1067" i="7"/>
  <c r="I1067" i="7" s="1"/>
  <c r="J1067" i="7" s="1"/>
  <c r="F1067" i="7"/>
  <c r="E1066" i="7"/>
  <c r="H1066" i="7"/>
  <c r="K1066" i="7" s="1"/>
  <c r="F1066" i="7"/>
  <c r="G1066" i="7"/>
  <c r="I1066" i="7" s="1"/>
  <c r="J1066" i="7" s="1"/>
  <c r="G1065" i="7"/>
  <c r="E1065" i="7"/>
  <c r="H1065" i="7"/>
  <c r="K1065" i="7" s="1"/>
  <c r="F1065" i="7"/>
  <c r="E1064" i="7"/>
  <c r="F1064" i="7"/>
  <c r="G1064" i="7"/>
  <c r="H1064" i="7"/>
  <c r="K1064" i="7" s="1"/>
  <c r="H1063" i="7"/>
  <c r="K1063" i="7" s="1"/>
  <c r="F1063" i="7"/>
  <c r="E1063" i="7"/>
  <c r="G1063" i="7"/>
  <c r="F1062" i="7"/>
  <c r="H1062" i="7"/>
  <c r="K1062" i="7" s="1"/>
  <c r="G1062" i="7"/>
  <c r="E1062" i="7"/>
  <c r="H1061" i="7"/>
  <c r="K1061" i="7" s="1"/>
  <c r="F1061" i="7"/>
  <c r="E1061" i="7"/>
  <c r="G1061" i="7"/>
  <c r="E1060" i="7"/>
  <c r="G1060" i="7"/>
  <c r="F1060" i="7"/>
  <c r="H1060" i="7"/>
  <c r="K1060" i="7" s="1"/>
  <c r="F1059" i="7"/>
  <c r="G1059" i="7"/>
  <c r="E1059" i="7"/>
  <c r="H1059" i="7"/>
  <c r="K1059" i="7" s="1"/>
  <c r="E1058" i="7"/>
  <c r="H1058" i="7"/>
  <c r="K1058" i="7" s="1"/>
  <c r="G1058" i="7"/>
  <c r="F1058" i="7"/>
  <c r="H1057" i="7"/>
  <c r="K1057" i="7" s="1"/>
  <c r="E1057" i="7"/>
  <c r="F1057" i="7"/>
  <c r="G1057" i="7"/>
  <c r="I1057" i="7" s="1"/>
  <c r="J1057" i="7" s="1"/>
  <c r="G1056" i="7"/>
  <c r="I1056" i="7" s="1"/>
  <c r="J1056" i="7" s="1"/>
  <c r="F1056" i="7"/>
  <c r="E1056" i="7"/>
  <c r="H1056" i="7"/>
  <c r="K1056" i="7" s="1"/>
  <c r="H1055" i="7"/>
  <c r="K1055" i="7" s="1"/>
  <c r="G1055" i="7"/>
  <c r="I1055" i="7" s="1"/>
  <c r="J1055" i="7" s="1"/>
  <c r="E1055" i="7"/>
  <c r="F1055" i="7"/>
  <c r="H1054" i="7"/>
  <c r="K1054" i="7" s="1"/>
  <c r="E1054" i="7"/>
  <c r="F1054" i="7"/>
  <c r="G1054" i="7"/>
  <c r="I1054" i="7" s="1"/>
  <c r="J1054" i="7" s="1"/>
  <c r="E1053" i="7"/>
  <c r="F1053" i="7"/>
  <c r="G1053" i="7"/>
  <c r="I1053" i="7" s="1"/>
  <c r="J1053" i="7" s="1"/>
  <c r="H1053" i="7"/>
  <c r="K1053" i="7" s="1"/>
  <c r="E1052" i="7"/>
  <c r="H1052" i="7"/>
  <c r="K1052" i="7" s="1"/>
  <c r="G1052" i="7"/>
  <c r="I1052" i="7" s="1"/>
  <c r="J1052" i="7" s="1"/>
  <c r="F1052" i="7"/>
  <c r="E1051" i="7"/>
  <c r="F1051" i="7"/>
  <c r="H1051" i="7"/>
  <c r="K1051" i="7" s="1"/>
  <c r="G1051" i="7"/>
  <c r="I1051" i="7" s="1"/>
  <c r="J1051" i="7" s="1"/>
  <c r="H1050" i="7"/>
  <c r="K1050" i="7" s="1"/>
  <c r="E1050" i="7"/>
  <c r="F1050" i="7"/>
  <c r="G1050" i="7"/>
  <c r="I1050" i="7" s="1"/>
  <c r="J1050" i="7" s="1"/>
  <c r="H1049" i="7"/>
  <c r="K1049" i="7" s="1"/>
  <c r="G1049" i="7"/>
  <c r="I1049" i="7" s="1"/>
  <c r="J1049" i="7" s="1"/>
  <c r="F1049" i="7"/>
  <c r="E1049" i="7"/>
  <c r="F1048" i="7"/>
  <c r="H1048" i="7"/>
  <c r="K1048" i="7" s="1"/>
  <c r="G1048" i="7"/>
  <c r="I1048" i="7" s="1"/>
  <c r="J1048" i="7" s="1"/>
  <c r="E1048" i="7"/>
  <c r="H1047" i="7"/>
  <c r="K1047" i="7" s="1"/>
  <c r="G1047" i="7"/>
  <c r="I1047" i="7" s="1"/>
  <c r="J1047" i="7" s="1"/>
  <c r="F1047" i="7"/>
  <c r="E1047" i="7"/>
  <c r="H1046" i="7"/>
  <c r="K1046" i="7" s="1"/>
  <c r="G1046" i="7"/>
  <c r="I1046" i="7" s="1"/>
  <c r="J1046" i="7" s="1"/>
  <c r="E1046" i="7"/>
  <c r="F1046" i="7"/>
  <c r="G1045" i="7"/>
  <c r="I1045" i="7" s="1"/>
  <c r="J1045" i="7" s="1"/>
  <c r="H1045" i="7"/>
  <c r="K1045" i="7" s="1"/>
  <c r="F1045" i="7"/>
  <c r="E1045" i="7"/>
  <c r="H1044" i="7"/>
  <c r="K1044" i="7" s="1"/>
  <c r="G1044" i="7"/>
  <c r="I1044" i="7" s="1"/>
  <c r="J1044" i="7" s="1"/>
  <c r="F1044" i="7"/>
  <c r="E1044" i="7"/>
  <c r="H1043" i="7"/>
  <c r="K1043" i="7" s="1"/>
  <c r="G1043" i="7"/>
  <c r="I1043" i="7" s="1"/>
  <c r="J1043" i="7" s="1"/>
  <c r="F1043" i="7"/>
  <c r="E1043" i="7"/>
  <c r="G1042" i="7"/>
  <c r="I1042" i="7" s="1"/>
  <c r="J1042" i="7" s="1"/>
  <c r="H1042" i="7"/>
  <c r="K1042" i="7" s="1"/>
  <c r="F1042" i="7"/>
  <c r="E1042" i="7"/>
  <c r="E1041" i="7"/>
  <c r="F1041" i="7"/>
  <c r="G1041" i="7"/>
  <c r="I1041" i="7" s="1"/>
  <c r="J1041" i="7" s="1"/>
  <c r="H1041" i="7"/>
  <c r="K1041" i="7" s="1"/>
  <c r="F1040" i="7"/>
  <c r="G1040" i="7"/>
  <c r="I1040" i="7" s="1"/>
  <c r="J1040" i="7" s="1"/>
  <c r="H1040" i="7"/>
  <c r="K1040" i="7" s="1"/>
  <c r="E1040" i="7"/>
  <c r="E1039" i="7"/>
  <c r="F1039" i="7"/>
  <c r="G1039" i="7"/>
  <c r="I1039" i="7" s="1"/>
  <c r="J1039" i="7" s="1"/>
  <c r="H1039" i="7"/>
  <c r="K1039" i="7" s="1"/>
  <c r="E1038" i="7"/>
  <c r="F1038" i="7"/>
  <c r="G1038" i="7"/>
  <c r="I1038" i="7" s="1"/>
  <c r="J1038" i="7" s="1"/>
  <c r="H1038" i="7"/>
  <c r="K1038" i="7" s="1"/>
  <c r="G1037" i="7"/>
  <c r="I1037" i="7" s="1"/>
  <c r="J1037" i="7" s="1"/>
  <c r="F1037" i="7"/>
  <c r="H1037" i="7"/>
  <c r="K1037" i="7" s="1"/>
  <c r="E1037" i="7"/>
  <c r="H1036" i="7"/>
  <c r="K1036" i="7" s="1"/>
  <c r="G1036" i="7"/>
  <c r="F1036" i="7"/>
  <c r="E1036" i="7"/>
  <c r="E1035" i="7"/>
  <c r="G1035" i="7"/>
  <c r="H1035" i="7"/>
  <c r="K1035" i="7" s="1"/>
  <c r="F1035" i="7"/>
  <c r="E1034" i="7"/>
  <c r="H1034" i="7"/>
  <c r="K1034" i="7" s="1"/>
  <c r="G1034" i="7"/>
  <c r="F1034" i="7"/>
  <c r="H1033" i="7"/>
  <c r="K1033" i="7" s="1"/>
  <c r="G1033" i="7"/>
  <c r="I1033" i="7" s="1"/>
  <c r="J1033" i="7" s="1"/>
  <c r="F1033" i="7"/>
  <c r="E1033" i="7"/>
  <c r="H1032" i="7"/>
  <c r="K1032" i="7" s="1"/>
  <c r="G1032" i="7"/>
  <c r="I1032" i="7" s="1"/>
  <c r="J1032" i="7" s="1"/>
  <c r="F1032" i="7"/>
  <c r="E1032" i="7"/>
  <c r="E1031" i="7"/>
  <c r="F1031" i="7"/>
  <c r="G1031" i="7"/>
  <c r="I1031" i="7" s="1"/>
  <c r="J1031" i="7" s="1"/>
  <c r="H1031" i="7"/>
  <c r="K1031" i="7" s="1"/>
  <c r="E1030" i="7"/>
  <c r="F1030" i="7"/>
  <c r="G1030" i="7"/>
  <c r="I1030" i="7" s="1"/>
  <c r="J1030" i="7" s="1"/>
  <c r="H1030" i="7"/>
  <c r="K1030" i="7" s="1"/>
  <c r="E1029" i="7"/>
  <c r="F1029" i="7"/>
  <c r="G1029" i="7"/>
  <c r="I1029" i="7" s="1"/>
  <c r="J1029" i="7" s="1"/>
  <c r="H1029" i="7"/>
  <c r="K1029" i="7" s="1"/>
  <c r="E1028" i="7"/>
  <c r="F1028" i="7"/>
  <c r="G1028" i="7"/>
  <c r="I1028" i="7" s="1"/>
  <c r="J1028" i="7" s="1"/>
  <c r="H1028" i="7"/>
  <c r="K1028" i="7" s="1"/>
  <c r="E1027" i="7"/>
  <c r="H1027" i="7"/>
  <c r="K1027" i="7" s="1"/>
  <c r="F1027" i="7"/>
  <c r="G1027" i="7"/>
  <c r="I1027" i="7" s="1"/>
  <c r="J1027" i="7" s="1"/>
  <c r="F1026" i="7"/>
  <c r="H1026" i="7"/>
  <c r="K1026" i="7" s="1"/>
  <c r="E1026" i="7"/>
  <c r="E1025" i="7"/>
  <c r="F1025" i="7"/>
  <c r="G1025" i="7"/>
  <c r="I1025" i="7" s="1"/>
  <c r="J1025" i="7" s="1"/>
  <c r="H1025" i="7"/>
  <c r="K1025" i="7" s="1"/>
  <c r="H1024" i="7"/>
  <c r="K1024" i="7" s="1"/>
  <c r="E1024" i="7"/>
  <c r="F1024" i="7"/>
  <c r="G1024" i="7"/>
  <c r="I1024" i="7" s="1"/>
  <c r="J1024" i="7" s="1"/>
  <c r="H1023" i="7"/>
  <c r="K1023" i="7" s="1"/>
  <c r="E1023" i="7"/>
  <c r="G1023" i="7"/>
  <c r="I1023" i="7" s="1"/>
  <c r="J1023" i="7" s="1"/>
  <c r="F1023" i="7"/>
  <c r="H1022" i="7"/>
  <c r="K1022" i="7" s="1"/>
  <c r="E1022" i="7"/>
  <c r="F1022" i="7"/>
  <c r="G1022" i="7"/>
  <c r="H1021" i="7"/>
  <c r="K1021" i="7" s="1"/>
  <c r="G1021" i="7"/>
  <c r="I1021" i="7" s="1"/>
  <c r="J1021" i="7" s="1"/>
  <c r="F1021" i="7"/>
  <c r="E1021" i="7"/>
  <c r="H1020" i="7"/>
  <c r="K1020" i="7" s="1"/>
  <c r="F1020" i="7"/>
  <c r="G1020" i="7"/>
  <c r="I1020" i="7" s="1"/>
  <c r="J1020" i="7" s="1"/>
  <c r="E1020" i="7"/>
  <c r="G1019" i="7"/>
  <c r="I1019" i="7" s="1"/>
  <c r="J1019" i="7" s="1"/>
  <c r="F1019" i="7"/>
  <c r="H1019" i="7"/>
  <c r="K1019" i="7" s="1"/>
  <c r="E1019" i="7"/>
  <c r="E1018" i="7"/>
  <c r="H1018" i="7"/>
  <c r="K1018" i="7" s="1"/>
  <c r="F1018" i="7"/>
  <c r="G1018" i="7"/>
  <c r="I1018" i="7" s="1"/>
  <c r="J1018" i="7" s="1"/>
  <c r="H1017" i="7"/>
  <c r="K1017" i="7" s="1"/>
  <c r="G1017" i="7"/>
  <c r="I1017" i="7" s="1"/>
  <c r="J1017" i="7" s="1"/>
  <c r="E1017" i="7"/>
  <c r="F1017" i="7"/>
  <c r="F1016" i="7"/>
  <c r="H1016" i="7"/>
  <c r="K1016" i="7" s="1"/>
  <c r="G1016" i="7"/>
  <c r="I1016" i="7" s="1"/>
  <c r="J1016" i="7" s="1"/>
  <c r="E1016" i="7"/>
  <c r="H1015" i="7"/>
  <c r="K1015" i="7" s="1"/>
  <c r="G1015" i="7"/>
  <c r="I1015" i="7" s="1"/>
  <c r="J1015" i="7" s="1"/>
  <c r="E1015" i="7"/>
  <c r="F1015" i="7"/>
  <c r="F1014" i="7"/>
  <c r="G1014" i="7"/>
  <c r="I1014" i="7" s="1"/>
  <c r="J1014" i="7" s="1"/>
  <c r="E1014" i="7"/>
  <c r="H1014" i="7"/>
  <c r="K1014" i="7" s="1"/>
  <c r="F1013" i="7"/>
  <c r="H1013" i="7"/>
  <c r="K1013" i="7" s="1"/>
  <c r="E1013" i="7"/>
  <c r="G1013" i="7"/>
  <c r="I1013" i="7" s="1"/>
  <c r="J1013" i="7" s="1"/>
  <c r="E1012" i="7"/>
  <c r="F1012" i="7"/>
  <c r="G1012" i="7"/>
  <c r="I1012" i="7" s="1"/>
  <c r="J1012" i="7" s="1"/>
  <c r="H1012" i="7"/>
  <c r="K1012" i="7" s="1"/>
  <c r="F1011" i="7"/>
  <c r="H1011" i="7"/>
  <c r="K1011" i="7" s="1"/>
  <c r="E1011" i="7"/>
  <c r="G1011" i="7"/>
  <c r="F1010" i="7"/>
  <c r="G1010" i="7"/>
  <c r="E1010" i="7"/>
  <c r="H1010" i="7"/>
  <c r="K1010" i="7" s="1"/>
  <c r="H1009" i="7"/>
  <c r="K1009" i="7" s="1"/>
  <c r="F1009" i="7"/>
  <c r="E1009" i="7"/>
  <c r="G1009" i="7"/>
  <c r="I1009" i="7" s="1"/>
  <c r="J1009" i="7" s="1"/>
  <c r="G1008" i="7"/>
  <c r="I1008" i="7" s="1"/>
  <c r="J1008" i="7" s="1"/>
  <c r="H1008" i="7"/>
  <c r="K1008" i="7" s="1"/>
  <c r="E1008" i="7"/>
  <c r="F1008" i="7"/>
  <c r="G1007" i="7"/>
  <c r="I1007" i="7" s="1"/>
  <c r="J1007" i="7" s="1"/>
  <c r="E1007" i="7"/>
  <c r="F1007" i="7"/>
  <c r="H1007" i="7"/>
  <c r="K1007" i="7" s="1"/>
  <c r="H1006" i="7"/>
  <c r="K1006" i="7" s="1"/>
  <c r="F1006" i="7"/>
  <c r="E1006" i="7"/>
  <c r="G1006" i="7"/>
  <c r="I1006" i="7" s="1"/>
  <c r="J1006" i="7" s="1"/>
  <c r="F1005" i="7"/>
  <c r="H1005" i="7"/>
  <c r="K1005" i="7" s="1"/>
  <c r="G1005" i="7"/>
  <c r="I1005" i="7" s="1"/>
  <c r="J1005" i="7" s="1"/>
  <c r="E1005" i="7"/>
  <c r="E1004" i="7"/>
  <c r="G1004" i="7"/>
  <c r="H1004" i="7"/>
  <c r="K1004" i="7" s="1"/>
  <c r="F1004" i="7"/>
  <c r="E1003" i="7"/>
  <c r="G1003" i="7"/>
  <c r="F1003" i="7"/>
  <c r="H1003" i="7"/>
  <c r="K1003" i="7" s="1"/>
  <c r="H1002" i="7"/>
  <c r="K1002" i="7" s="1"/>
  <c r="E1002" i="7"/>
  <c r="F1002" i="7"/>
  <c r="G1002" i="7"/>
  <c r="H1001" i="7"/>
  <c r="K1001" i="7" s="1"/>
  <c r="G1001" i="7"/>
  <c r="E1001" i="7"/>
  <c r="F1001" i="7"/>
  <c r="G1000" i="7"/>
  <c r="F1000" i="7"/>
  <c r="H1000" i="7"/>
  <c r="K1000" i="7" s="1"/>
  <c r="E1000" i="7"/>
  <c r="G999" i="7"/>
  <c r="E999" i="7"/>
  <c r="F999" i="7"/>
  <c r="H999" i="7"/>
  <c r="K999" i="7" s="1"/>
  <c r="H998" i="7"/>
  <c r="K998" i="7" s="1"/>
  <c r="F998" i="7"/>
  <c r="E998" i="7"/>
  <c r="G998" i="7"/>
  <c r="F997" i="7"/>
  <c r="E997" i="7"/>
  <c r="H997" i="7"/>
  <c r="K997" i="7" s="1"/>
  <c r="G997" i="7"/>
  <c r="I997" i="7" s="1"/>
  <c r="J997" i="7" s="1"/>
  <c r="G996" i="7"/>
  <c r="I996" i="7" s="1"/>
  <c r="J996" i="7" s="1"/>
  <c r="H996" i="7"/>
  <c r="K996" i="7" s="1"/>
  <c r="E996" i="7"/>
  <c r="F996" i="7"/>
  <c r="E995" i="7"/>
  <c r="F995" i="7"/>
  <c r="G995" i="7"/>
  <c r="I995" i="7" s="1"/>
  <c r="J995" i="7" s="1"/>
  <c r="H995" i="7"/>
  <c r="K995" i="7" s="1"/>
  <c r="H994" i="7"/>
  <c r="K994" i="7" s="1"/>
  <c r="E994" i="7"/>
  <c r="G994" i="7"/>
  <c r="I994" i="7" s="1"/>
  <c r="J994" i="7" s="1"/>
  <c r="F994" i="7"/>
  <c r="E993" i="7"/>
  <c r="F993" i="7"/>
  <c r="G993" i="7"/>
  <c r="H993" i="7"/>
  <c r="K993" i="7" s="1"/>
  <c r="H992" i="7"/>
  <c r="K992" i="7" s="1"/>
  <c r="E992" i="7"/>
  <c r="F992" i="7"/>
  <c r="G992" i="7"/>
  <c r="F991" i="7"/>
  <c r="H991" i="7"/>
  <c r="K991" i="7" s="1"/>
  <c r="E991" i="7"/>
  <c r="G991" i="7"/>
  <c r="G990" i="7"/>
  <c r="H990" i="7"/>
  <c r="K990" i="7" s="1"/>
  <c r="F990" i="7"/>
  <c r="E990" i="7"/>
  <c r="H989" i="7"/>
  <c r="K989" i="7" s="1"/>
  <c r="F989" i="7"/>
  <c r="E989" i="7"/>
  <c r="G989" i="7"/>
  <c r="G988" i="7"/>
  <c r="F988" i="7"/>
  <c r="E988" i="7"/>
  <c r="H988" i="7"/>
  <c r="K988" i="7" s="1"/>
  <c r="F987" i="7"/>
  <c r="E987" i="7"/>
  <c r="H987" i="7"/>
  <c r="K987" i="7" s="1"/>
  <c r="G987" i="7"/>
  <c r="E986" i="7"/>
  <c r="G986" i="7"/>
  <c r="F986" i="7"/>
  <c r="H986" i="7"/>
  <c r="K986" i="7" s="1"/>
  <c r="E985" i="7"/>
  <c r="G985" i="7"/>
  <c r="I985" i="7" s="1"/>
  <c r="J985" i="7" s="1"/>
  <c r="H985" i="7"/>
  <c r="K985" i="7" s="1"/>
  <c r="F985" i="7"/>
  <c r="G984" i="7"/>
  <c r="I984" i="7" s="1"/>
  <c r="J984" i="7" s="1"/>
  <c r="H984" i="7"/>
  <c r="K984" i="7" s="1"/>
  <c r="F984" i="7"/>
  <c r="E984" i="7"/>
  <c r="G983" i="7"/>
  <c r="I983" i="7" s="1"/>
  <c r="J983" i="7" s="1"/>
  <c r="E983" i="7"/>
  <c r="F983" i="7"/>
  <c r="H983" i="7"/>
  <c r="K983" i="7" s="1"/>
  <c r="F982" i="7"/>
  <c r="H982" i="7"/>
  <c r="K982" i="7" s="1"/>
  <c r="G982" i="7"/>
  <c r="I982" i="7" s="1"/>
  <c r="J982" i="7" s="1"/>
  <c r="E982" i="7"/>
  <c r="G981" i="7"/>
  <c r="I981" i="7" s="1"/>
  <c r="J981" i="7" s="1"/>
  <c r="H981" i="7"/>
  <c r="K981" i="7" s="1"/>
  <c r="E981" i="7"/>
  <c r="F981" i="7"/>
  <c r="F980" i="7"/>
  <c r="H980" i="7"/>
  <c r="K980" i="7" s="1"/>
  <c r="E980" i="7"/>
  <c r="G980" i="7"/>
  <c r="I980" i="7" s="1"/>
  <c r="J980" i="7" s="1"/>
  <c r="G979" i="7"/>
  <c r="E979" i="7"/>
  <c r="F979" i="7"/>
  <c r="H979" i="7"/>
  <c r="K979" i="7" s="1"/>
  <c r="E978" i="7"/>
  <c r="H978" i="7"/>
  <c r="K978" i="7" s="1"/>
  <c r="G978" i="7"/>
  <c r="F978" i="7"/>
  <c r="G977" i="7"/>
  <c r="H977" i="7"/>
  <c r="K977" i="7" s="1"/>
  <c r="E977" i="7"/>
  <c r="F977" i="7"/>
  <c r="G976" i="7"/>
  <c r="F976" i="7"/>
  <c r="H976" i="7"/>
  <c r="K976" i="7" s="1"/>
  <c r="E976" i="7"/>
  <c r="E975" i="7"/>
  <c r="G975" i="7"/>
  <c r="H975" i="7"/>
  <c r="K975" i="7" s="1"/>
  <c r="F975" i="7"/>
  <c r="H974" i="7"/>
  <c r="K974" i="7" s="1"/>
  <c r="E974" i="7"/>
  <c r="F974" i="7"/>
  <c r="G974" i="7"/>
  <c r="G973" i="7"/>
  <c r="I973" i="7" s="1"/>
  <c r="J973" i="7" s="1"/>
  <c r="F973" i="7"/>
  <c r="E973" i="7"/>
  <c r="H973" i="7"/>
  <c r="K973" i="7" s="1"/>
  <c r="E972" i="7"/>
  <c r="H972" i="7"/>
  <c r="K972" i="7" s="1"/>
  <c r="G972" i="7"/>
  <c r="I972" i="7" s="1"/>
  <c r="J972" i="7" s="1"/>
  <c r="F972" i="7"/>
  <c r="E971" i="7"/>
  <c r="G971" i="7"/>
  <c r="I971" i="7" s="1"/>
  <c r="J971" i="7" s="1"/>
  <c r="F971" i="7"/>
  <c r="H971" i="7"/>
  <c r="K971" i="7" s="1"/>
  <c r="F970" i="7"/>
  <c r="H970" i="7"/>
  <c r="K970" i="7" s="1"/>
  <c r="G970" i="7"/>
  <c r="E970" i="7"/>
  <c r="E968" i="7"/>
  <c r="F968" i="7"/>
  <c r="H968" i="7"/>
  <c r="K968" i="7" s="1"/>
  <c r="G968" i="7"/>
  <c r="E967" i="7"/>
  <c r="F967" i="7"/>
  <c r="G967" i="7"/>
  <c r="H967" i="7"/>
  <c r="K967" i="7" s="1"/>
  <c r="E966" i="7"/>
  <c r="F966" i="7"/>
  <c r="G966" i="7"/>
  <c r="H966" i="7"/>
  <c r="K966" i="7" s="1"/>
  <c r="G965" i="7"/>
  <c r="H965" i="7"/>
  <c r="K965" i="7" s="1"/>
  <c r="E965" i="7"/>
  <c r="F965" i="7"/>
  <c r="H964" i="7"/>
  <c r="K964" i="7" s="1"/>
  <c r="E964" i="7"/>
  <c r="G964" i="7"/>
  <c r="F964" i="7"/>
  <c r="E963" i="7"/>
  <c r="F963" i="7"/>
  <c r="G963" i="7"/>
  <c r="H963" i="7"/>
  <c r="K963" i="7" s="1"/>
  <c r="G962" i="7"/>
  <c r="F962" i="7"/>
  <c r="E962" i="7"/>
  <c r="H962" i="7"/>
  <c r="K962" i="7" s="1"/>
  <c r="H961" i="7"/>
  <c r="K961" i="7" s="1"/>
  <c r="G961" i="7"/>
  <c r="I961" i="7" s="1"/>
  <c r="J961" i="7" s="1"/>
  <c r="F961" i="7"/>
  <c r="E961" i="7"/>
  <c r="H960" i="7"/>
  <c r="K960" i="7" s="1"/>
  <c r="G960" i="7"/>
  <c r="I960" i="7" s="1"/>
  <c r="J960" i="7" s="1"/>
  <c r="F960" i="7"/>
  <c r="E960" i="7"/>
  <c r="H959" i="7"/>
  <c r="K959" i="7" s="1"/>
  <c r="G959" i="7"/>
  <c r="I959" i="7" s="1"/>
  <c r="J959" i="7" s="1"/>
  <c r="F959" i="7"/>
  <c r="E959" i="7"/>
  <c r="H958" i="7"/>
  <c r="K958" i="7" s="1"/>
  <c r="E958" i="7"/>
  <c r="F958" i="7"/>
  <c r="G958" i="7"/>
  <c r="I958" i="7" s="1"/>
  <c r="J958" i="7" s="1"/>
  <c r="E957" i="7"/>
  <c r="F957" i="7"/>
  <c r="G957" i="7"/>
  <c r="I957" i="7" s="1"/>
  <c r="J957" i="7" s="1"/>
  <c r="H957" i="7"/>
  <c r="K957" i="7" s="1"/>
  <c r="E956" i="7"/>
  <c r="F956" i="7"/>
  <c r="G956" i="7"/>
  <c r="I956" i="7" s="1"/>
  <c r="J956" i="7" s="1"/>
  <c r="H956" i="7"/>
  <c r="K956" i="7" s="1"/>
  <c r="G955" i="7"/>
  <c r="I955" i="7" s="1"/>
  <c r="J955" i="7" s="1"/>
  <c r="H955" i="7"/>
  <c r="K955" i="7" s="1"/>
  <c r="F955" i="7"/>
  <c r="E955" i="7"/>
  <c r="E954" i="7"/>
  <c r="H954" i="7"/>
  <c r="K954" i="7" s="1"/>
  <c r="G954" i="7"/>
  <c r="I954" i="7" s="1"/>
  <c r="J954" i="7" s="1"/>
  <c r="F954" i="7"/>
  <c r="H953" i="7"/>
  <c r="K953" i="7" s="1"/>
  <c r="G953" i="7"/>
  <c r="I953" i="7" s="1"/>
  <c r="J953" i="7" s="1"/>
  <c r="F953" i="7"/>
  <c r="E953" i="7"/>
  <c r="E952" i="7"/>
  <c r="F952" i="7"/>
  <c r="G952" i="7"/>
  <c r="I952" i="7" s="1"/>
  <c r="J952" i="7" s="1"/>
  <c r="H952" i="7"/>
  <c r="K952" i="7" s="1"/>
  <c r="E951" i="7"/>
  <c r="F951" i="7"/>
  <c r="G951" i="7"/>
  <c r="I951" i="7" s="1"/>
  <c r="J951" i="7" s="1"/>
  <c r="H951" i="7"/>
  <c r="K951" i="7" s="1"/>
  <c r="F950" i="7"/>
  <c r="G950" i="7"/>
  <c r="I950" i="7" s="1"/>
  <c r="J950" i="7" s="1"/>
  <c r="E950" i="7"/>
  <c r="H950" i="7"/>
  <c r="K950" i="7" s="1"/>
  <c r="G949" i="7"/>
  <c r="I949" i="7" s="1"/>
  <c r="J949" i="7" s="1"/>
  <c r="E949" i="7"/>
  <c r="F949" i="7"/>
  <c r="H949" i="7"/>
  <c r="K949" i="7" s="1"/>
  <c r="H948" i="7"/>
  <c r="K948" i="7" s="1"/>
  <c r="E948" i="7"/>
  <c r="F948" i="7"/>
  <c r="G948" i="7"/>
  <c r="I948" i="7" s="1"/>
  <c r="J948" i="7" s="1"/>
  <c r="F947" i="7"/>
  <c r="H947" i="7"/>
  <c r="K947" i="7" s="1"/>
  <c r="G947" i="7"/>
  <c r="I947" i="7" s="1"/>
  <c r="J947" i="7" s="1"/>
  <c r="E947" i="7"/>
  <c r="H946" i="7"/>
  <c r="K946" i="7" s="1"/>
  <c r="F946" i="7"/>
  <c r="E946" i="7"/>
  <c r="G946" i="7"/>
  <c r="I946" i="7" s="1"/>
  <c r="J946" i="7" s="1"/>
  <c r="E945" i="7"/>
  <c r="F945" i="7"/>
  <c r="H945" i="7"/>
  <c r="K945" i="7" s="1"/>
  <c r="G945" i="7"/>
  <c r="I945" i="7" s="1"/>
  <c r="J945" i="7" s="1"/>
  <c r="H944" i="7"/>
  <c r="K944" i="7" s="1"/>
  <c r="G944" i="7"/>
  <c r="I944" i="7" s="1"/>
  <c r="J944" i="7" s="1"/>
  <c r="F944" i="7"/>
  <c r="E944" i="7"/>
  <c r="E943" i="7"/>
  <c r="F943" i="7"/>
  <c r="G943" i="7"/>
  <c r="I943" i="7" s="1"/>
  <c r="J943" i="7" s="1"/>
  <c r="H943" i="7"/>
  <c r="K943" i="7" s="1"/>
  <c r="E942" i="7"/>
  <c r="F942" i="7"/>
  <c r="G942" i="7"/>
  <c r="I942" i="7" s="1"/>
  <c r="J942" i="7" s="1"/>
  <c r="H942" i="7"/>
  <c r="K942" i="7" s="1"/>
  <c r="H941" i="7"/>
  <c r="K941" i="7" s="1"/>
  <c r="G941" i="7"/>
  <c r="I941" i="7" s="1"/>
  <c r="J941" i="7" s="1"/>
  <c r="F941" i="7"/>
  <c r="E941" i="7"/>
  <c r="H940" i="7"/>
  <c r="K940" i="7" s="1"/>
  <c r="F940" i="7"/>
  <c r="G940" i="7"/>
  <c r="I940" i="7" s="1"/>
  <c r="J940" i="7" s="1"/>
  <c r="E940" i="7"/>
  <c r="H939" i="7"/>
  <c r="K939" i="7" s="1"/>
  <c r="G939" i="7"/>
  <c r="F939" i="7"/>
  <c r="E939" i="7"/>
  <c r="H938" i="7"/>
  <c r="K938" i="7" s="1"/>
  <c r="G938" i="7"/>
  <c r="F938" i="7"/>
  <c r="E938" i="7"/>
  <c r="E937" i="7"/>
  <c r="H937" i="7"/>
  <c r="K937" i="7" s="1"/>
  <c r="G937" i="7"/>
  <c r="I937" i="7" s="1"/>
  <c r="J937" i="7" s="1"/>
  <c r="F937" i="7"/>
  <c r="F936" i="7"/>
  <c r="E936" i="7"/>
  <c r="H936" i="7"/>
  <c r="K936" i="7" s="1"/>
  <c r="G936" i="7"/>
  <c r="I936" i="7" s="1"/>
  <c r="J936" i="7" s="1"/>
  <c r="H935" i="7"/>
  <c r="K935" i="7" s="1"/>
  <c r="G935" i="7"/>
  <c r="I935" i="7" s="1"/>
  <c r="J935" i="7" s="1"/>
  <c r="F935" i="7"/>
  <c r="E935" i="7"/>
  <c r="H934" i="7"/>
  <c r="K934" i="7" s="1"/>
  <c r="G934" i="7"/>
  <c r="I934" i="7" s="1"/>
  <c r="J934" i="7" s="1"/>
  <c r="E934" i="7"/>
  <c r="F934" i="7"/>
  <c r="E933" i="7"/>
  <c r="G933" i="7"/>
  <c r="I933" i="7" s="1"/>
  <c r="J933" i="7" s="1"/>
  <c r="H933" i="7"/>
  <c r="K933" i="7" s="1"/>
  <c r="F933" i="7"/>
  <c r="E932" i="7"/>
  <c r="F932" i="7"/>
  <c r="G932" i="7"/>
  <c r="I932" i="7" s="1"/>
  <c r="J932" i="7" s="1"/>
  <c r="H932" i="7"/>
  <c r="K932" i="7" s="1"/>
  <c r="H931" i="7"/>
  <c r="K931" i="7" s="1"/>
  <c r="G931" i="7"/>
  <c r="I931" i="7" s="1"/>
  <c r="J931" i="7" s="1"/>
  <c r="F931" i="7"/>
  <c r="E931" i="7"/>
  <c r="E930" i="7"/>
  <c r="F930" i="7"/>
  <c r="G930" i="7"/>
  <c r="I930" i="7" s="1"/>
  <c r="J930" i="7" s="1"/>
  <c r="H930" i="7"/>
  <c r="K930" i="7" s="1"/>
  <c r="E929" i="7"/>
  <c r="G929" i="7"/>
  <c r="I929" i="7" s="1"/>
  <c r="J929" i="7" s="1"/>
  <c r="H929" i="7"/>
  <c r="K929" i="7" s="1"/>
  <c r="F929" i="7"/>
  <c r="G928" i="7"/>
  <c r="I928" i="7" s="1"/>
  <c r="J928" i="7" s="1"/>
  <c r="F928" i="7"/>
  <c r="E928" i="7"/>
  <c r="H928" i="7"/>
  <c r="K928" i="7" s="1"/>
  <c r="G927" i="7"/>
  <c r="I927" i="7" s="1"/>
  <c r="J927" i="7" s="1"/>
  <c r="H927" i="7"/>
  <c r="K927" i="7" s="1"/>
  <c r="E927" i="7"/>
  <c r="F927" i="7"/>
  <c r="G926" i="7"/>
  <c r="I926" i="7" s="1"/>
  <c r="J926" i="7" s="1"/>
  <c r="H926" i="7"/>
  <c r="K926" i="7" s="1"/>
  <c r="E926" i="7"/>
  <c r="F926" i="7"/>
  <c r="G925" i="7"/>
  <c r="I925" i="7" s="1"/>
  <c r="J925" i="7" s="1"/>
  <c r="E925" i="7"/>
  <c r="F925" i="7"/>
  <c r="H925" i="7"/>
  <c r="K925" i="7" s="1"/>
  <c r="F924" i="7"/>
  <c r="E924" i="7"/>
  <c r="G924" i="7"/>
  <c r="I924" i="7" s="1"/>
  <c r="J924" i="7" s="1"/>
  <c r="H924" i="7"/>
  <c r="K924" i="7" s="1"/>
  <c r="E923" i="7"/>
  <c r="F923" i="7"/>
  <c r="G923" i="7"/>
  <c r="I923" i="7" s="1"/>
  <c r="J923" i="7" s="1"/>
  <c r="H923" i="7"/>
  <c r="K923" i="7" s="1"/>
  <c r="E922" i="7"/>
  <c r="F922" i="7"/>
  <c r="G922" i="7"/>
  <c r="I922" i="7" s="1"/>
  <c r="J922" i="7" s="1"/>
  <c r="H922" i="7"/>
  <c r="K922" i="7" s="1"/>
  <c r="H921" i="7"/>
  <c r="K921" i="7" s="1"/>
  <c r="E921" i="7"/>
  <c r="F921" i="7"/>
  <c r="G921" i="7"/>
  <c r="I921" i="7" s="1"/>
  <c r="J921" i="7" s="1"/>
  <c r="E920" i="7"/>
  <c r="F920" i="7"/>
  <c r="G920" i="7"/>
  <c r="I920" i="7" s="1"/>
  <c r="J920" i="7" s="1"/>
  <c r="H920" i="7"/>
  <c r="K920" i="7" s="1"/>
  <c r="G919" i="7"/>
  <c r="I919" i="7" s="1"/>
  <c r="J919" i="7" s="1"/>
  <c r="H919" i="7"/>
  <c r="K919" i="7" s="1"/>
  <c r="E919" i="7"/>
  <c r="F919" i="7"/>
  <c r="E918" i="7"/>
  <c r="F918" i="7"/>
  <c r="G918" i="7"/>
  <c r="I918" i="7" s="1"/>
  <c r="J918" i="7" s="1"/>
  <c r="H918" i="7"/>
  <c r="K918" i="7" s="1"/>
  <c r="F917" i="7"/>
  <c r="E917" i="7"/>
  <c r="H917" i="7"/>
  <c r="K917" i="7" s="1"/>
  <c r="G917" i="7"/>
  <c r="I917" i="7" s="1"/>
  <c r="J917" i="7" s="1"/>
  <c r="E916" i="7"/>
  <c r="F916" i="7"/>
  <c r="G916" i="7"/>
  <c r="H916" i="7"/>
  <c r="K916" i="7" s="1"/>
  <c r="E915" i="7"/>
  <c r="F915" i="7"/>
  <c r="G915" i="7"/>
  <c r="H915" i="7"/>
  <c r="K915" i="7" s="1"/>
  <c r="E914" i="7"/>
  <c r="F914" i="7"/>
  <c r="G914" i="7"/>
  <c r="H914" i="7"/>
  <c r="K914" i="7" s="1"/>
  <c r="E913" i="7"/>
  <c r="G913" i="7"/>
  <c r="I913" i="7" s="1"/>
  <c r="J913" i="7" s="1"/>
  <c r="H913" i="7"/>
  <c r="K913" i="7" s="1"/>
  <c r="F913" i="7"/>
  <c r="G912" i="7"/>
  <c r="I912" i="7" s="1"/>
  <c r="J912" i="7" s="1"/>
  <c r="H912" i="7"/>
  <c r="K912" i="7" s="1"/>
  <c r="E912" i="7"/>
  <c r="F912" i="7"/>
  <c r="G911" i="7"/>
  <c r="I911" i="7" s="1"/>
  <c r="J911" i="7" s="1"/>
  <c r="H911" i="7"/>
  <c r="K911" i="7" s="1"/>
  <c r="E911" i="7"/>
  <c r="F911" i="7"/>
  <c r="H910" i="7"/>
  <c r="K910" i="7" s="1"/>
  <c r="G910" i="7"/>
  <c r="I910" i="7" s="1"/>
  <c r="J910" i="7" s="1"/>
  <c r="F910" i="7"/>
  <c r="E910" i="7"/>
  <c r="H909" i="7"/>
  <c r="K909" i="7" s="1"/>
  <c r="G909" i="7"/>
  <c r="I909" i="7" s="1"/>
  <c r="J909" i="7" s="1"/>
  <c r="F909" i="7"/>
  <c r="E909" i="7"/>
  <c r="H908" i="7"/>
  <c r="K908" i="7" s="1"/>
  <c r="E908" i="7"/>
  <c r="F908" i="7"/>
  <c r="G908" i="7"/>
  <c r="I908" i="7" s="1"/>
  <c r="J908" i="7" s="1"/>
  <c r="E907" i="7"/>
  <c r="F907" i="7"/>
  <c r="G907" i="7"/>
  <c r="I907" i="7" s="1"/>
  <c r="J907" i="7" s="1"/>
  <c r="H907" i="7"/>
  <c r="K907" i="7" s="1"/>
  <c r="E906" i="7"/>
  <c r="G906" i="7"/>
  <c r="I906" i="7" s="1"/>
  <c r="J906" i="7" s="1"/>
  <c r="H906" i="7"/>
  <c r="K906" i="7" s="1"/>
  <c r="F906" i="7"/>
  <c r="H905" i="7"/>
  <c r="K905" i="7" s="1"/>
  <c r="E905" i="7"/>
  <c r="F905" i="7"/>
  <c r="G905" i="7"/>
  <c r="I905" i="7" s="1"/>
  <c r="J905" i="7" s="1"/>
  <c r="F904" i="7"/>
  <c r="H904" i="7"/>
  <c r="K904" i="7" s="1"/>
  <c r="G904" i="7"/>
  <c r="I904" i="7" s="1"/>
  <c r="J904" i="7" s="1"/>
  <c r="E904" i="7"/>
  <c r="F903" i="7"/>
  <c r="E903" i="7"/>
  <c r="G903" i="7"/>
  <c r="I903" i="7" s="1"/>
  <c r="J903" i="7" s="1"/>
  <c r="H903" i="7"/>
  <c r="K903" i="7" s="1"/>
  <c r="H902" i="7"/>
  <c r="K902" i="7" s="1"/>
  <c r="G902" i="7"/>
  <c r="I902" i="7" s="1"/>
  <c r="J902" i="7" s="1"/>
  <c r="F902" i="7"/>
  <c r="E902" i="7"/>
  <c r="E901" i="7"/>
  <c r="H901" i="7"/>
  <c r="K901" i="7" s="1"/>
  <c r="G901" i="7"/>
  <c r="I901" i="7" s="1"/>
  <c r="J901" i="7" s="1"/>
  <c r="F901" i="7"/>
  <c r="H900" i="7"/>
  <c r="K900" i="7" s="1"/>
  <c r="F900" i="7"/>
  <c r="E900" i="7"/>
  <c r="G900" i="7"/>
  <c r="I900" i="7" s="1"/>
  <c r="J900" i="7" s="1"/>
  <c r="H899" i="7"/>
  <c r="K899" i="7" s="1"/>
  <c r="G899" i="7"/>
  <c r="I899" i="7" s="1"/>
  <c r="J899" i="7" s="1"/>
  <c r="F899" i="7"/>
  <c r="E899" i="7"/>
  <c r="H898" i="7"/>
  <c r="K898" i="7" s="1"/>
  <c r="G898" i="7"/>
  <c r="I898" i="7" s="1"/>
  <c r="J898" i="7" s="1"/>
  <c r="F898" i="7"/>
  <c r="E898" i="7"/>
  <c r="H897" i="7"/>
  <c r="K897" i="7" s="1"/>
  <c r="G897" i="7"/>
  <c r="I897" i="7" s="1"/>
  <c r="J897" i="7" s="1"/>
  <c r="F897" i="7"/>
  <c r="E897" i="7"/>
  <c r="E896" i="7"/>
  <c r="F896" i="7"/>
  <c r="G896" i="7"/>
  <c r="I896" i="7" s="1"/>
  <c r="J896" i="7" s="1"/>
  <c r="H896" i="7"/>
  <c r="K896" i="7" s="1"/>
  <c r="H895" i="7"/>
  <c r="K895" i="7" s="1"/>
  <c r="G895" i="7"/>
  <c r="I895" i="7" s="1"/>
  <c r="J895" i="7" s="1"/>
  <c r="F895" i="7"/>
  <c r="E895" i="7"/>
  <c r="E894" i="7"/>
  <c r="G894" i="7"/>
  <c r="I894" i="7" s="1"/>
  <c r="J894" i="7" s="1"/>
  <c r="H894" i="7"/>
  <c r="K894" i="7" s="1"/>
  <c r="F894" i="7"/>
  <c r="G893" i="7"/>
  <c r="I893" i="7" s="1"/>
  <c r="J893" i="7" s="1"/>
  <c r="H893" i="7"/>
  <c r="K893" i="7" s="1"/>
  <c r="E893" i="7"/>
  <c r="F893" i="7"/>
  <c r="E892" i="7"/>
  <c r="H892" i="7"/>
  <c r="K892" i="7" s="1"/>
  <c r="G892" i="7"/>
  <c r="I892" i="7" s="1"/>
  <c r="J892" i="7" s="1"/>
  <c r="F892" i="7"/>
  <c r="E891" i="7"/>
  <c r="F891" i="7"/>
  <c r="G891" i="7"/>
  <c r="I891" i="7" s="1"/>
  <c r="J891" i="7" s="1"/>
  <c r="H891" i="7"/>
  <c r="K891" i="7" s="1"/>
  <c r="G890" i="7"/>
  <c r="I890" i="7" s="1"/>
  <c r="J890" i="7" s="1"/>
  <c r="F890" i="7"/>
  <c r="E890" i="7"/>
  <c r="H890" i="7"/>
  <c r="K890" i="7" s="1"/>
  <c r="F889" i="7"/>
  <c r="E889" i="7"/>
  <c r="G889" i="7"/>
  <c r="I889" i="7" s="1"/>
  <c r="J889" i="7" s="1"/>
  <c r="H889" i="7"/>
  <c r="K889" i="7" s="1"/>
  <c r="H888" i="7"/>
  <c r="K888" i="7" s="1"/>
  <c r="G888" i="7"/>
  <c r="I888" i="7" s="1"/>
  <c r="J888" i="7" s="1"/>
  <c r="F888" i="7"/>
  <c r="E888" i="7"/>
  <c r="G887" i="7"/>
  <c r="I887" i="7" s="1"/>
  <c r="J887" i="7" s="1"/>
  <c r="H887" i="7"/>
  <c r="K887" i="7" s="1"/>
  <c r="E887" i="7"/>
  <c r="F887" i="7"/>
  <c r="E886" i="7"/>
  <c r="F886" i="7"/>
  <c r="G886" i="7"/>
  <c r="I886" i="7" s="1"/>
  <c r="J886" i="7" s="1"/>
  <c r="H886" i="7"/>
  <c r="K886" i="7" s="1"/>
  <c r="E885" i="7"/>
  <c r="F885" i="7"/>
  <c r="H885" i="7"/>
  <c r="K885" i="7" s="1"/>
  <c r="G885" i="7"/>
  <c r="I885" i="7" s="1"/>
  <c r="J885" i="7" s="1"/>
  <c r="G884" i="7"/>
  <c r="I884" i="7" s="1"/>
  <c r="J884" i="7" s="1"/>
  <c r="E884" i="7"/>
  <c r="F884" i="7"/>
  <c r="H884" i="7"/>
  <c r="K884" i="7" s="1"/>
  <c r="H883" i="7"/>
  <c r="K883" i="7" s="1"/>
  <c r="G883" i="7"/>
  <c r="I883" i="7" s="1"/>
  <c r="J883" i="7" s="1"/>
  <c r="F883" i="7"/>
  <c r="E883" i="7"/>
  <c r="F882" i="7"/>
  <c r="H882" i="7"/>
  <c r="K882" i="7" s="1"/>
  <c r="E882" i="7"/>
  <c r="G882" i="7"/>
  <c r="I882" i="7" s="1"/>
  <c r="J882" i="7" s="1"/>
  <c r="E881" i="7"/>
  <c r="F881" i="7"/>
  <c r="G881" i="7"/>
  <c r="I881" i="7" s="1"/>
  <c r="J881" i="7" s="1"/>
  <c r="H881" i="7"/>
  <c r="K881" i="7" s="1"/>
  <c r="G880" i="7"/>
  <c r="I880" i="7" s="1"/>
  <c r="J880" i="7" s="1"/>
  <c r="E880" i="7"/>
  <c r="H880" i="7"/>
  <c r="K880" i="7" s="1"/>
  <c r="F880" i="7"/>
  <c r="G879" i="7"/>
  <c r="I879" i="7" s="1"/>
  <c r="J879" i="7" s="1"/>
  <c r="E879" i="7"/>
  <c r="F879" i="7"/>
  <c r="H879" i="7"/>
  <c r="K879" i="7" s="1"/>
  <c r="E877" i="7"/>
  <c r="F877" i="7"/>
  <c r="H877" i="7"/>
  <c r="K877" i="7" s="1"/>
  <c r="G877" i="7"/>
  <c r="I877" i="7" s="1"/>
  <c r="J877" i="7" s="1"/>
  <c r="E876" i="7"/>
  <c r="F876" i="7"/>
  <c r="G876" i="7"/>
  <c r="I876" i="7" s="1"/>
  <c r="J876" i="7" s="1"/>
  <c r="H876" i="7"/>
  <c r="K876" i="7" s="1"/>
  <c r="H875" i="7"/>
  <c r="K875" i="7" s="1"/>
  <c r="E875" i="7"/>
  <c r="G875" i="7"/>
  <c r="I875" i="7" s="1"/>
  <c r="J875" i="7" s="1"/>
  <c r="F875" i="7"/>
  <c r="F874" i="7"/>
  <c r="E874" i="7"/>
  <c r="H874" i="7"/>
  <c r="K874" i="7" s="1"/>
  <c r="G874" i="7"/>
  <c r="F873" i="7"/>
  <c r="G873" i="7"/>
  <c r="H873" i="7"/>
  <c r="K873" i="7" s="1"/>
  <c r="E873" i="7"/>
  <c r="F872" i="7"/>
  <c r="G872" i="7"/>
  <c r="H872" i="7"/>
  <c r="K872" i="7" s="1"/>
  <c r="E872" i="7"/>
  <c r="G871" i="7"/>
  <c r="E871" i="7"/>
  <c r="F871" i="7"/>
  <c r="H871" i="7"/>
  <c r="K871" i="7" s="1"/>
  <c r="E870" i="7"/>
  <c r="F870" i="7"/>
  <c r="G870" i="7"/>
  <c r="H870" i="7"/>
  <c r="K870" i="7" s="1"/>
  <c r="G869" i="7"/>
  <c r="E869" i="7"/>
  <c r="F869" i="7"/>
  <c r="H869" i="7"/>
  <c r="K869" i="7" s="1"/>
  <c r="E868" i="7"/>
  <c r="F868" i="7"/>
  <c r="G868" i="7"/>
  <c r="H868" i="7"/>
  <c r="K868" i="7" s="1"/>
  <c r="G867" i="7"/>
  <c r="H867" i="7"/>
  <c r="K867" i="7" s="1"/>
  <c r="E867" i="7"/>
  <c r="F867" i="7"/>
  <c r="F866" i="7"/>
  <c r="G866" i="7"/>
  <c r="H866" i="7"/>
  <c r="K866" i="7" s="1"/>
  <c r="E866" i="7"/>
  <c r="H865" i="7"/>
  <c r="K865" i="7" s="1"/>
  <c r="G865" i="7"/>
  <c r="I865" i="7" s="1"/>
  <c r="J865" i="7" s="1"/>
  <c r="F865" i="7"/>
  <c r="E865" i="7"/>
  <c r="E864" i="7"/>
  <c r="H864" i="7"/>
  <c r="K864" i="7" s="1"/>
  <c r="F864" i="7"/>
  <c r="G864" i="7"/>
  <c r="I864" i="7" s="1"/>
  <c r="J864" i="7" s="1"/>
  <c r="H863" i="7"/>
  <c r="K863" i="7" s="1"/>
  <c r="F863" i="7"/>
  <c r="E863" i="7"/>
  <c r="G863" i="7"/>
  <c r="I863" i="7" s="1"/>
  <c r="J863" i="7" s="1"/>
  <c r="H862" i="7"/>
  <c r="K862" i="7" s="1"/>
  <c r="G862" i="7"/>
  <c r="I862" i="7" s="1"/>
  <c r="J862" i="7" s="1"/>
  <c r="F862" i="7"/>
  <c r="E862" i="7"/>
  <c r="E861" i="7"/>
  <c r="H861" i="7"/>
  <c r="K861" i="7" s="1"/>
  <c r="G861" i="7"/>
  <c r="I861" i="7" s="1"/>
  <c r="J861" i="7" s="1"/>
  <c r="F861" i="7"/>
  <c r="E860" i="7"/>
  <c r="H860" i="7"/>
  <c r="K860" i="7" s="1"/>
  <c r="G860" i="7"/>
  <c r="I860" i="7" s="1"/>
  <c r="J860" i="7" s="1"/>
  <c r="F860" i="7"/>
  <c r="F859" i="7"/>
  <c r="E859" i="7"/>
  <c r="G859" i="7"/>
  <c r="I859" i="7" s="1"/>
  <c r="J859" i="7" s="1"/>
  <c r="H859" i="7"/>
  <c r="K859" i="7" s="1"/>
  <c r="G858" i="7"/>
  <c r="I858" i="7" s="1"/>
  <c r="J858" i="7" s="1"/>
  <c r="F858" i="7"/>
  <c r="H858" i="7"/>
  <c r="K858" i="7" s="1"/>
  <c r="E858" i="7"/>
  <c r="H857" i="7"/>
  <c r="K857" i="7" s="1"/>
  <c r="F857" i="7"/>
  <c r="G857" i="7"/>
  <c r="I857" i="7" s="1"/>
  <c r="J857" i="7" s="1"/>
  <c r="E857" i="7"/>
  <c r="H856" i="7"/>
  <c r="K856" i="7" s="1"/>
  <c r="E856" i="7"/>
  <c r="F856" i="7"/>
  <c r="G856" i="7"/>
  <c r="I856" i="7" s="1"/>
  <c r="J856" i="7" s="1"/>
  <c r="E855" i="7"/>
  <c r="H855" i="7"/>
  <c r="K855" i="7" s="1"/>
  <c r="F855" i="7"/>
  <c r="G855" i="7"/>
  <c r="I855" i="7" s="1"/>
  <c r="J855" i="7" s="1"/>
  <c r="E854" i="7"/>
  <c r="H854" i="7"/>
  <c r="K854" i="7" s="1"/>
  <c r="G854" i="7"/>
  <c r="I854" i="7" s="1"/>
  <c r="J854" i="7" s="1"/>
  <c r="F854" i="7"/>
  <c r="F853" i="7"/>
  <c r="H853" i="7"/>
  <c r="K853" i="7" s="1"/>
  <c r="G853" i="7"/>
  <c r="I853" i="7" s="1"/>
  <c r="J853" i="7" s="1"/>
  <c r="E853" i="7"/>
  <c r="H852" i="7"/>
  <c r="K852" i="7" s="1"/>
  <c r="E852" i="7"/>
  <c r="G852" i="7"/>
  <c r="I852" i="7" s="1"/>
  <c r="J852" i="7" s="1"/>
  <c r="F852" i="7"/>
  <c r="H851" i="7"/>
  <c r="K851" i="7" s="1"/>
  <c r="E851" i="7"/>
  <c r="F851" i="7"/>
  <c r="G851" i="7"/>
  <c r="I851" i="7" s="1"/>
  <c r="J851" i="7" s="1"/>
  <c r="G850" i="7"/>
  <c r="I850" i="7" s="1"/>
  <c r="J850" i="7" s="1"/>
  <c r="F850" i="7"/>
  <c r="E850" i="7"/>
  <c r="H850" i="7"/>
  <c r="K850" i="7" s="1"/>
  <c r="F849" i="7"/>
  <c r="H849" i="7"/>
  <c r="K849" i="7" s="1"/>
  <c r="E849" i="7"/>
  <c r="G849" i="7"/>
  <c r="I849" i="7" s="1"/>
  <c r="J849" i="7" s="1"/>
  <c r="H848" i="7"/>
  <c r="K848" i="7" s="1"/>
  <c r="F848" i="7"/>
  <c r="G848" i="7"/>
  <c r="I848" i="7" s="1"/>
  <c r="J848" i="7" s="1"/>
  <c r="E848" i="7"/>
  <c r="E847" i="7"/>
  <c r="F847" i="7"/>
  <c r="H847" i="7"/>
  <c r="K847" i="7" s="1"/>
  <c r="G847" i="7"/>
  <c r="I847" i="7" s="1"/>
  <c r="J847" i="7" s="1"/>
  <c r="E846" i="7"/>
  <c r="F846" i="7"/>
  <c r="H846" i="7"/>
  <c r="K846" i="7" s="1"/>
  <c r="G846" i="7"/>
  <c r="I846" i="7" s="1"/>
  <c r="J846" i="7" s="1"/>
  <c r="H845" i="7"/>
  <c r="K845" i="7" s="1"/>
  <c r="F845" i="7"/>
  <c r="E845" i="7"/>
  <c r="G845" i="7"/>
  <c r="I845" i="7" s="1"/>
  <c r="J845" i="7" s="1"/>
  <c r="H844" i="7"/>
  <c r="K844" i="7" s="1"/>
  <c r="E844" i="7"/>
  <c r="F844" i="7"/>
  <c r="G844" i="7"/>
  <c r="I844" i="7" s="1"/>
  <c r="J844" i="7" s="1"/>
  <c r="G843" i="7"/>
  <c r="I843" i="7" s="1"/>
  <c r="J843" i="7" s="1"/>
  <c r="F843" i="7"/>
  <c r="E843" i="7"/>
  <c r="H843" i="7"/>
  <c r="K843" i="7" s="1"/>
  <c r="H842" i="7"/>
  <c r="K842" i="7" s="1"/>
  <c r="F842" i="7"/>
  <c r="E842" i="7"/>
  <c r="G842" i="7"/>
  <c r="I842" i="7" s="1"/>
  <c r="J842" i="7" s="1"/>
  <c r="E841" i="7"/>
  <c r="H841" i="7"/>
  <c r="K841" i="7" s="1"/>
  <c r="F841" i="7"/>
  <c r="G841" i="7"/>
  <c r="I841" i="7" s="1"/>
  <c r="J841" i="7" s="1"/>
  <c r="E840" i="7"/>
  <c r="F840" i="7"/>
  <c r="G840" i="7"/>
  <c r="I840" i="7" s="1"/>
  <c r="J840" i="7" s="1"/>
  <c r="H840" i="7"/>
  <c r="K840" i="7" s="1"/>
  <c r="H839" i="7"/>
  <c r="K839" i="7" s="1"/>
  <c r="F839" i="7"/>
  <c r="G839" i="7"/>
  <c r="I839" i="7" s="1"/>
  <c r="J839" i="7" s="1"/>
  <c r="E839" i="7"/>
  <c r="F838" i="7"/>
  <c r="H838" i="7"/>
  <c r="K838" i="7" s="1"/>
  <c r="E838" i="7"/>
  <c r="G838" i="7"/>
  <c r="I838" i="7" s="1"/>
  <c r="J838" i="7" s="1"/>
  <c r="F837" i="7"/>
  <c r="G837" i="7"/>
  <c r="I837" i="7" s="1"/>
  <c r="J837" i="7" s="1"/>
  <c r="E837" i="7"/>
  <c r="H837" i="7"/>
  <c r="K837" i="7" s="1"/>
  <c r="H836" i="7"/>
  <c r="K836" i="7" s="1"/>
  <c r="E836" i="7"/>
  <c r="G836" i="7"/>
  <c r="I836" i="7" s="1"/>
  <c r="J836" i="7" s="1"/>
  <c r="F836" i="7"/>
  <c r="F835" i="7"/>
  <c r="H835" i="7"/>
  <c r="K835" i="7" s="1"/>
  <c r="E835" i="7"/>
  <c r="G835" i="7"/>
  <c r="I835" i="7" s="1"/>
  <c r="J835" i="7" s="1"/>
  <c r="E834" i="7"/>
  <c r="G834" i="7"/>
  <c r="I834" i="7" s="1"/>
  <c r="J834" i="7" s="1"/>
  <c r="F834" i="7"/>
  <c r="H834" i="7"/>
  <c r="K834" i="7" s="1"/>
  <c r="H833" i="7"/>
  <c r="K833" i="7" s="1"/>
  <c r="G833" i="7"/>
  <c r="I833" i="7" s="1"/>
  <c r="J833" i="7" s="1"/>
  <c r="F833" i="7"/>
  <c r="E833" i="7"/>
  <c r="H832" i="7"/>
  <c r="K832" i="7" s="1"/>
  <c r="G832" i="7"/>
  <c r="I832" i="7" s="1"/>
  <c r="J832" i="7" s="1"/>
  <c r="E832" i="7"/>
  <c r="F832" i="7"/>
  <c r="H831" i="7"/>
  <c r="K831" i="7" s="1"/>
  <c r="G831" i="7"/>
  <c r="I831" i="7" s="1"/>
  <c r="J831" i="7" s="1"/>
  <c r="F831" i="7"/>
  <c r="E831" i="7"/>
  <c r="H830" i="7"/>
  <c r="K830" i="7" s="1"/>
  <c r="F830" i="7"/>
  <c r="G830" i="7"/>
  <c r="I830" i="7" s="1"/>
  <c r="J830" i="7" s="1"/>
  <c r="E830" i="7"/>
  <c r="H829" i="7"/>
  <c r="K829" i="7" s="1"/>
  <c r="E829" i="7"/>
  <c r="G829" i="7"/>
  <c r="I829" i="7" s="1"/>
  <c r="J829" i="7" s="1"/>
  <c r="F829" i="7"/>
  <c r="E828" i="7"/>
  <c r="H828" i="7"/>
  <c r="K828" i="7" s="1"/>
  <c r="G828" i="7"/>
  <c r="I828" i="7" s="1"/>
  <c r="J828" i="7" s="1"/>
  <c r="F828" i="7"/>
  <c r="G827" i="7"/>
  <c r="I827" i="7" s="1"/>
  <c r="J827" i="7" s="1"/>
  <c r="F827" i="7"/>
  <c r="H827" i="7"/>
  <c r="K827" i="7" s="1"/>
  <c r="E827" i="7"/>
  <c r="H826" i="7"/>
  <c r="K826" i="7" s="1"/>
  <c r="E826" i="7"/>
  <c r="G826" i="7"/>
  <c r="I826" i="7" s="1"/>
  <c r="J826" i="7" s="1"/>
  <c r="F826" i="7"/>
  <c r="G825" i="7"/>
  <c r="I825" i="7" s="1"/>
  <c r="J825" i="7" s="1"/>
  <c r="F825" i="7"/>
  <c r="H825" i="7"/>
  <c r="K825" i="7" s="1"/>
  <c r="E825" i="7"/>
  <c r="E824" i="7"/>
  <c r="F824" i="7"/>
  <c r="H824" i="7"/>
  <c r="K824" i="7" s="1"/>
  <c r="G824" i="7"/>
  <c r="I824" i="7" s="1"/>
  <c r="J824" i="7" s="1"/>
  <c r="F823" i="7"/>
  <c r="H823" i="7"/>
  <c r="K823" i="7" s="1"/>
  <c r="G823" i="7"/>
  <c r="I823" i="7" s="1"/>
  <c r="J823" i="7" s="1"/>
  <c r="E823" i="7"/>
  <c r="E822" i="7"/>
  <c r="F822" i="7"/>
  <c r="H822" i="7"/>
  <c r="K822" i="7" s="1"/>
  <c r="G822" i="7"/>
  <c r="I822" i="7" s="1"/>
  <c r="J822" i="7" s="1"/>
  <c r="G821" i="7"/>
  <c r="I821" i="7" s="1"/>
  <c r="J821" i="7" s="1"/>
  <c r="E821" i="7"/>
  <c r="F821" i="7"/>
  <c r="H821" i="7"/>
  <c r="K821" i="7" s="1"/>
  <c r="H820" i="7"/>
  <c r="K820" i="7" s="1"/>
  <c r="G820" i="7"/>
  <c r="I820" i="7" s="1"/>
  <c r="J820" i="7" s="1"/>
  <c r="E820" i="7"/>
  <c r="F820" i="7"/>
  <c r="H819" i="7"/>
  <c r="K819" i="7" s="1"/>
  <c r="G819" i="7"/>
  <c r="I819" i="7" s="1"/>
  <c r="J819" i="7" s="1"/>
  <c r="E819" i="7"/>
  <c r="F819" i="7"/>
  <c r="F818" i="7"/>
  <c r="E818" i="7"/>
  <c r="G818" i="7"/>
  <c r="I818" i="7" s="1"/>
  <c r="J818" i="7" s="1"/>
  <c r="H818" i="7"/>
  <c r="K818" i="7" s="1"/>
  <c r="E817" i="7"/>
  <c r="H817" i="7"/>
  <c r="K817" i="7" s="1"/>
  <c r="F817" i="7"/>
  <c r="G817" i="7"/>
  <c r="I817" i="7" s="1"/>
  <c r="J817" i="7" s="1"/>
  <c r="F816" i="7"/>
  <c r="G816" i="7"/>
  <c r="I816" i="7" s="1"/>
  <c r="J816" i="7" s="1"/>
  <c r="H816" i="7"/>
  <c r="K816" i="7" s="1"/>
  <c r="E816" i="7"/>
  <c r="H815" i="7"/>
  <c r="K815" i="7" s="1"/>
  <c r="G815" i="7"/>
  <c r="I815" i="7" s="1"/>
  <c r="J815" i="7" s="1"/>
  <c r="F815" i="7"/>
  <c r="E815" i="7"/>
  <c r="G814" i="7"/>
  <c r="I814" i="7" s="1"/>
  <c r="J814" i="7" s="1"/>
  <c r="F814" i="7"/>
  <c r="E814" i="7"/>
  <c r="H814" i="7"/>
  <c r="K814" i="7" s="1"/>
  <c r="E813" i="7"/>
  <c r="G813" i="7"/>
  <c r="I813" i="7" s="1"/>
  <c r="J813" i="7" s="1"/>
  <c r="H813" i="7"/>
  <c r="K813" i="7" s="1"/>
  <c r="F813" i="7"/>
  <c r="E812" i="7"/>
  <c r="F812" i="7"/>
  <c r="H812" i="7"/>
  <c r="K812" i="7" s="1"/>
  <c r="G812" i="7"/>
  <c r="I812" i="7" s="1"/>
  <c r="J812" i="7" s="1"/>
  <c r="H811" i="7"/>
  <c r="K811" i="7" s="1"/>
  <c r="F811" i="7"/>
  <c r="E811" i="7"/>
  <c r="G811" i="7"/>
  <c r="I811" i="7" s="1"/>
  <c r="J811" i="7" s="1"/>
  <c r="G810" i="7"/>
  <c r="I810" i="7" s="1"/>
  <c r="J810" i="7" s="1"/>
  <c r="E810" i="7"/>
  <c r="F810" i="7"/>
  <c r="H810" i="7"/>
  <c r="K810" i="7" s="1"/>
  <c r="F809" i="7"/>
  <c r="G809" i="7"/>
  <c r="I809" i="7" s="1"/>
  <c r="J809" i="7" s="1"/>
  <c r="H809" i="7"/>
  <c r="K809" i="7" s="1"/>
  <c r="E809" i="7"/>
  <c r="H808" i="7"/>
  <c r="K808" i="7" s="1"/>
  <c r="F808" i="7"/>
  <c r="G808" i="7"/>
  <c r="I808" i="7" s="1"/>
  <c r="J808" i="7" s="1"/>
  <c r="E808" i="7"/>
  <c r="F807" i="7"/>
  <c r="G807" i="7"/>
  <c r="I807" i="7" s="1"/>
  <c r="J807" i="7" s="1"/>
  <c r="H807" i="7"/>
  <c r="K807" i="7" s="1"/>
  <c r="E807" i="7"/>
  <c r="G806" i="7"/>
  <c r="I806" i="7" s="1"/>
  <c r="J806" i="7" s="1"/>
  <c r="H806" i="7"/>
  <c r="K806" i="7" s="1"/>
  <c r="E806" i="7"/>
  <c r="F806" i="7"/>
  <c r="F805" i="7"/>
  <c r="G805" i="7"/>
  <c r="I805" i="7" s="1"/>
  <c r="J805" i="7" s="1"/>
  <c r="E805" i="7"/>
  <c r="H805" i="7"/>
  <c r="K805" i="7" s="1"/>
  <c r="E804" i="7"/>
  <c r="H804" i="7"/>
  <c r="K804" i="7" s="1"/>
  <c r="F804" i="7"/>
  <c r="G804" i="7"/>
  <c r="I804" i="7" s="1"/>
  <c r="J804" i="7" s="1"/>
  <c r="F803" i="7"/>
  <c r="H803" i="7"/>
  <c r="K803" i="7" s="1"/>
  <c r="E803" i="7"/>
  <c r="G803" i="7"/>
  <c r="I803" i="7" s="1"/>
  <c r="J803" i="7" s="1"/>
  <c r="G802" i="7"/>
  <c r="I802" i="7" s="1"/>
  <c r="J802" i="7" s="1"/>
  <c r="H802" i="7"/>
  <c r="K802" i="7" s="1"/>
  <c r="F802" i="7"/>
  <c r="E802" i="7"/>
  <c r="E801" i="7"/>
  <c r="F801" i="7"/>
  <c r="H801" i="7"/>
  <c r="K801" i="7" s="1"/>
  <c r="G801" i="7"/>
  <c r="I801" i="7" s="1"/>
  <c r="J801" i="7" s="1"/>
  <c r="G800" i="7"/>
  <c r="I800" i="7" s="1"/>
  <c r="J800" i="7" s="1"/>
  <c r="F800" i="7"/>
  <c r="E800" i="7"/>
  <c r="H800" i="7"/>
  <c r="K800" i="7" s="1"/>
  <c r="E799" i="7"/>
  <c r="H799" i="7"/>
  <c r="K799" i="7" s="1"/>
  <c r="G799" i="7"/>
  <c r="I799" i="7" s="1"/>
  <c r="J799" i="7" s="1"/>
  <c r="F799" i="7"/>
  <c r="G798" i="7"/>
  <c r="I798" i="7" s="1"/>
  <c r="J798" i="7" s="1"/>
  <c r="E798" i="7"/>
  <c r="H798" i="7"/>
  <c r="K798" i="7" s="1"/>
  <c r="F798" i="7"/>
  <c r="H797" i="7"/>
  <c r="K797" i="7" s="1"/>
  <c r="E797" i="7"/>
  <c r="F797" i="7"/>
  <c r="G797" i="7"/>
  <c r="I797" i="7" s="1"/>
  <c r="J797" i="7" s="1"/>
  <c r="G796" i="7"/>
  <c r="I796" i="7" s="1"/>
  <c r="J796" i="7" s="1"/>
  <c r="E796" i="7"/>
  <c r="F796" i="7"/>
  <c r="H796" i="7"/>
  <c r="K796" i="7" s="1"/>
  <c r="F795" i="7"/>
  <c r="H795" i="7"/>
  <c r="K795" i="7" s="1"/>
  <c r="G795" i="7"/>
  <c r="I795" i="7" s="1"/>
  <c r="J795" i="7" s="1"/>
  <c r="E795" i="7"/>
  <c r="G794" i="7"/>
  <c r="I794" i="7" s="1"/>
  <c r="J794" i="7" s="1"/>
  <c r="F794" i="7"/>
  <c r="E794" i="7"/>
  <c r="H794" i="7"/>
  <c r="K794" i="7" s="1"/>
  <c r="G793" i="7"/>
  <c r="I793" i="7" s="1"/>
  <c r="J793" i="7" s="1"/>
  <c r="E793" i="7"/>
  <c r="H793" i="7"/>
  <c r="K793" i="7" s="1"/>
  <c r="F793" i="7"/>
  <c r="F792" i="7"/>
  <c r="H792" i="7"/>
  <c r="K792" i="7" s="1"/>
  <c r="G792" i="7"/>
  <c r="I792" i="7" s="1"/>
  <c r="J792" i="7" s="1"/>
  <c r="E792" i="7"/>
  <c r="E791" i="7"/>
  <c r="G791" i="7"/>
  <c r="I791" i="7" s="1"/>
  <c r="J791" i="7" s="1"/>
  <c r="H791" i="7"/>
  <c r="K791" i="7" s="1"/>
  <c r="F791" i="7"/>
  <c r="G790" i="7"/>
  <c r="I790" i="7" s="1"/>
  <c r="J790" i="7" s="1"/>
  <c r="E790" i="7"/>
  <c r="H790" i="7"/>
  <c r="K790" i="7" s="1"/>
  <c r="F790" i="7"/>
  <c r="G789" i="7"/>
  <c r="I789" i="7" s="1"/>
  <c r="J789" i="7" s="1"/>
  <c r="E789" i="7"/>
  <c r="F789" i="7"/>
  <c r="H789" i="7"/>
  <c r="K789" i="7" s="1"/>
  <c r="G788" i="7"/>
  <c r="I788" i="7" s="1"/>
  <c r="J788" i="7" s="1"/>
  <c r="H788" i="7"/>
  <c r="K788" i="7" s="1"/>
  <c r="F788" i="7"/>
  <c r="E788" i="7"/>
  <c r="F787" i="7"/>
  <c r="E787" i="7"/>
  <c r="H786" i="7"/>
  <c r="K786" i="7" s="1"/>
  <c r="G786" i="7"/>
  <c r="I786" i="7" s="1"/>
  <c r="J786" i="7" s="1"/>
  <c r="F786" i="7"/>
  <c r="E786" i="7"/>
  <c r="F785" i="7"/>
  <c r="E785" i="7"/>
  <c r="H785" i="7"/>
  <c r="K785" i="7" s="1"/>
  <c r="G785" i="7"/>
  <c r="I785" i="7" s="1"/>
  <c r="J785" i="7" s="1"/>
  <c r="H784" i="7"/>
  <c r="K784" i="7" s="1"/>
  <c r="G784" i="7"/>
  <c r="I784" i="7" s="1"/>
  <c r="J784" i="7" s="1"/>
  <c r="F784" i="7"/>
  <c r="E784" i="7"/>
  <c r="H783" i="7"/>
  <c r="K783" i="7" s="1"/>
  <c r="G783" i="7"/>
  <c r="I783" i="7" s="1"/>
  <c r="J783" i="7" s="1"/>
  <c r="F783" i="7"/>
  <c r="E783" i="7"/>
  <c r="E782" i="7"/>
  <c r="F782" i="7"/>
  <c r="G782" i="7"/>
  <c r="I782" i="7" s="1"/>
  <c r="J782" i="7" s="1"/>
  <c r="H782" i="7"/>
  <c r="K782" i="7" s="1"/>
  <c r="H781" i="7"/>
  <c r="K781" i="7" s="1"/>
  <c r="E781" i="7"/>
  <c r="F781" i="7"/>
  <c r="G781" i="7"/>
  <c r="I781" i="7" s="1"/>
  <c r="J781" i="7" s="1"/>
  <c r="H780" i="7"/>
  <c r="K780" i="7" s="1"/>
  <c r="G780" i="7"/>
  <c r="I780" i="7" s="1"/>
  <c r="J780" i="7" s="1"/>
  <c r="F780" i="7"/>
  <c r="E780" i="7"/>
  <c r="E779" i="7"/>
  <c r="H779" i="7"/>
  <c r="K779" i="7" s="1"/>
  <c r="G779" i="7"/>
  <c r="F779" i="7"/>
  <c r="E778" i="7"/>
  <c r="F778" i="7"/>
  <c r="G778" i="7"/>
  <c r="H778" i="7"/>
  <c r="K778" i="7" s="1"/>
  <c r="F777" i="7"/>
  <c r="H777" i="7"/>
  <c r="K777" i="7" s="1"/>
  <c r="G777" i="7"/>
  <c r="E777" i="7"/>
  <c r="H776" i="7"/>
  <c r="K776" i="7" s="1"/>
  <c r="G776" i="7"/>
  <c r="F776" i="7"/>
  <c r="E776" i="7"/>
  <c r="E775" i="7"/>
  <c r="H775" i="7"/>
  <c r="K775" i="7" s="1"/>
  <c r="G775" i="7"/>
  <c r="F775" i="7"/>
  <c r="F774" i="7"/>
  <c r="E774" i="7"/>
  <c r="G774" i="7"/>
  <c r="H774" i="7"/>
  <c r="K774" i="7" s="1"/>
  <c r="E773" i="7"/>
  <c r="F773" i="7"/>
  <c r="G773" i="7"/>
  <c r="H773" i="7"/>
  <c r="K773" i="7" s="1"/>
  <c r="F772" i="7"/>
  <c r="H772" i="7"/>
  <c r="K772" i="7" s="1"/>
  <c r="G772" i="7"/>
  <c r="E772" i="7"/>
  <c r="G771" i="7"/>
  <c r="H771" i="7"/>
  <c r="K771" i="7" s="1"/>
  <c r="E771" i="7"/>
  <c r="F771" i="7"/>
  <c r="E770" i="7"/>
  <c r="H770" i="7"/>
  <c r="K770" i="7" s="1"/>
  <c r="F770" i="7"/>
  <c r="G770" i="7"/>
  <c r="F769" i="7"/>
  <c r="H769" i="7"/>
  <c r="K769" i="7" s="1"/>
  <c r="E769" i="7"/>
  <c r="G769" i="7"/>
  <c r="I769" i="7" s="1"/>
  <c r="J769" i="7" s="1"/>
  <c r="G768" i="7"/>
  <c r="I768" i="7" s="1"/>
  <c r="J768" i="7" s="1"/>
  <c r="H768" i="7"/>
  <c r="K768" i="7" s="1"/>
  <c r="E768" i="7"/>
  <c r="F768" i="7"/>
  <c r="H767" i="7"/>
  <c r="K767" i="7" s="1"/>
  <c r="G767" i="7"/>
  <c r="I767" i="7" s="1"/>
  <c r="J767" i="7" s="1"/>
  <c r="F767" i="7"/>
  <c r="E767" i="7"/>
  <c r="F766" i="7"/>
  <c r="E766" i="7"/>
  <c r="G766" i="7"/>
  <c r="I766" i="7" s="1"/>
  <c r="J766" i="7" s="1"/>
  <c r="H766" i="7"/>
  <c r="K766" i="7" s="1"/>
  <c r="E765" i="7"/>
  <c r="F765" i="7"/>
  <c r="G765" i="7"/>
  <c r="I765" i="7" s="1"/>
  <c r="J765" i="7" s="1"/>
  <c r="H765" i="7"/>
  <c r="K765" i="7" s="1"/>
  <c r="E764" i="7"/>
  <c r="F764" i="7"/>
  <c r="G764" i="7"/>
  <c r="I764" i="7" s="1"/>
  <c r="J764" i="7" s="1"/>
  <c r="H764" i="7"/>
  <c r="K764" i="7" s="1"/>
  <c r="E763" i="7"/>
  <c r="F763" i="7"/>
  <c r="G763" i="7"/>
  <c r="I763" i="7" s="1"/>
  <c r="J763" i="7" s="1"/>
  <c r="H763" i="7"/>
  <c r="K763" i="7" s="1"/>
  <c r="E762" i="7"/>
  <c r="F762" i="7"/>
  <c r="G762" i="7"/>
  <c r="I762" i="7" s="1"/>
  <c r="J762" i="7" s="1"/>
  <c r="H762" i="7"/>
  <c r="K762" i="7" s="1"/>
  <c r="E761" i="7"/>
  <c r="F761" i="7"/>
  <c r="G761" i="7"/>
  <c r="I761" i="7" s="1"/>
  <c r="J761" i="7" s="1"/>
  <c r="H761" i="7"/>
  <c r="K761" i="7" s="1"/>
  <c r="G760" i="7"/>
  <c r="I760" i="7" s="1"/>
  <c r="J760" i="7" s="1"/>
  <c r="F760" i="7"/>
  <c r="E760" i="7"/>
  <c r="H760" i="7"/>
  <c r="K760" i="7" s="1"/>
  <c r="G759" i="7"/>
  <c r="F759" i="7"/>
  <c r="E759" i="7"/>
  <c r="H759" i="7"/>
  <c r="K759" i="7" s="1"/>
  <c r="G758" i="7"/>
  <c r="I758" i="7" s="1"/>
  <c r="J758" i="7" s="1"/>
  <c r="F758" i="7"/>
  <c r="E758" i="7"/>
  <c r="H758" i="7"/>
  <c r="K758" i="7" s="1"/>
  <c r="H757" i="7"/>
  <c r="K757" i="7" s="1"/>
  <c r="G757" i="7"/>
  <c r="I757" i="7" s="1"/>
  <c r="J757" i="7" s="1"/>
  <c r="F757" i="7"/>
  <c r="E757" i="7"/>
  <c r="E756" i="7"/>
  <c r="G756" i="7"/>
  <c r="I756" i="7" s="1"/>
  <c r="J756" i="7" s="1"/>
  <c r="H756" i="7"/>
  <c r="K756" i="7" s="1"/>
  <c r="F756" i="7"/>
  <c r="G755" i="7"/>
  <c r="I755" i="7" s="1"/>
  <c r="J755" i="7" s="1"/>
  <c r="F755" i="7"/>
  <c r="H755" i="7"/>
  <c r="K755" i="7" s="1"/>
  <c r="E755" i="7"/>
  <c r="F754" i="7"/>
  <c r="E754" i="7"/>
  <c r="H754" i="7"/>
  <c r="K754" i="7" s="1"/>
  <c r="G754" i="7"/>
  <c r="I754" i="7" s="1"/>
  <c r="J754" i="7" s="1"/>
  <c r="H753" i="7"/>
  <c r="K753" i="7" s="1"/>
  <c r="G753" i="7"/>
  <c r="I753" i="7" s="1"/>
  <c r="J753" i="7" s="1"/>
  <c r="F753" i="7"/>
  <c r="E753" i="7"/>
  <c r="H752" i="7"/>
  <c r="K752" i="7" s="1"/>
  <c r="G752" i="7"/>
  <c r="I752" i="7" s="1"/>
  <c r="J752" i="7" s="1"/>
  <c r="F752" i="7"/>
  <c r="E752" i="7"/>
  <c r="G751" i="7"/>
  <c r="I751" i="7" s="1"/>
  <c r="J751" i="7" s="1"/>
  <c r="H751" i="7"/>
  <c r="K751" i="7" s="1"/>
  <c r="F751" i="7"/>
  <c r="E751" i="7"/>
  <c r="F750" i="7"/>
  <c r="H750" i="7"/>
  <c r="K750" i="7" s="1"/>
  <c r="G750" i="7"/>
  <c r="I750" i="7" s="1"/>
  <c r="J750" i="7" s="1"/>
  <c r="E750" i="7"/>
  <c r="H749" i="7"/>
  <c r="K749" i="7" s="1"/>
  <c r="G749" i="7"/>
  <c r="I749" i="7" s="1"/>
  <c r="J749" i="7" s="1"/>
  <c r="F749" i="7"/>
  <c r="E749" i="7"/>
  <c r="F748" i="7"/>
  <c r="H748" i="7"/>
  <c r="K748" i="7" s="1"/>
  <c r="G748" i="7"/>
  <c r="I748" i="7" s="1"/>
  <c r="J748" i="7" s="1"/>
  <c r="E748" i="7"/>
  <c r="F747" i="7"/>
  <c r="G747" i="7"/>
  <c r="H747" i="7"/>
  <c r="K747" i="7" s="1"/>
  <c r="E747" i="7"/>
  <c r="H746" i="7"/>
  <c r="K746" i="7" s="1"/>
  <c r="E746" i="7"/>
  <c r="F746" i="7"/>
  <c r="G746" i="7"/>
  <c r="H745" i="7"/>
  <c r="K745" i="7" s="1"/>
  <c r="F745" i="7"/>
  <c r="E745" i="7"/>
  <c r="G745" i="7"/>
  <c r="I745" i="7" s="1"/>
  <c r="J745" i="7" s="1"/>
  <c r="H744" i="7"/>
  <c r="K744" i="7" s="1"/>
  <c r="F744" i="7"/>
  <c r="E744" i="7"/>
  <c r="G744" i="7"/>
  <c r="I744" i="7" s="1"/>
  <c r="J744" i="7" s="1"/>
  <c r="H743" i="7"/>
  <c r="K743" i="7" s="1"/>
  <c r="G743" i="7"/>
  <c r="I743" i="7" s="1"/>
  <c r="J743" i="7" s="1"/>
  <c r="E743" i="7"/>
  <c r="F743" i="7"/>
  <c r="G742" i="7"/>
  <c r="I742" i="7" s="1"/>
  <c r="J742" i="7" s="1"/>
  <c r="F742" i="7"/>
  <c r="H742" i="7"/>
  <c r="K742" i="7" s="1"/>
  <c r="H741" i="7"/>
  <c r="K741" i="7" s="1"/>
  <c r="E741" i="7"/>
  <c r="G741" i="7"/>
  <c r="I741" i="7" s="1"/>
  <c r="J741" i="7" s="1"/>
  <c r="F741" i="7"/>
  <c r="F740" i="7"/>
  <c r="E740" i="7"/>
  <c r="H740" i="7"/>
  <c r="K740" i="7" s="1"/>
  <c r="G740" i="7"/>
  <c r="I740" i="7" s="1"/>
  <c r="J740" i="7" s="1"/>
  <c r="F739" i="7"/>
  <c r="G739" i="7"/>
  <c r="I739" i="7" s="1"/>
  <c r="J739" i="7" s="1"/>
  <c r="E739" i="7"/>
  <c r="H739" i="7"/>
  <c r="K739" i="7" s="1"/>
  <c r="H738" i="7"/>
  <c r="K738" i="7" s="1"/>
  <c r="E738" i="7"/>
  <c r="G738" i="7"/>
  <c r="I738" i="7" s="1"/>
  <c r="J738" i="7" s="1"/>
  <c r="F738" i="7"/>
  <c r="F737" i="7"/>
  <c r="E737" i="7"/>
  <c r="H737" i="7"/>
  <c r="K737" i="7" s="1"/>
  <c r="G737" i="7"/>
  <c r="I737" i="7" s="1"/>
  <c r="J737" i="7" s="1"/>
  <c r="F736" i="7"/>
  <c r="G736" i="7"/>
  <c r="E736" i="7"/>
  <c r="H736" i="7"/>
  <c r="K736" i="7" s="1"/>
  <c r="E735" i="7"/>
  <c r="G735" i="7"/>
  <c r="F735" i="7"/>
  <c r="H735" i="7"/>
  <c r="K735" i="7" s="1"/>
  <c r="H734" i="7"/>
  <c r="K734" i="7" s="1"/>
  <c r="E734" i="7"/>
  <c r="G734" i="7"/>
  <c r="F734" i="7"/>
  <c r="G733" i="7"/>
  <c r="I733" i="7" s="1"/>
  <c r="J733" i="7" s="1"/>
  <c r="F733" i="7"/>
  <c r="E733" i="7"/>
  <c r="H733" i="7"/>
  <c r="K733" i="7" s="1"/>
  <c r="G732" i="7"/>
  <c r="I732" i="7" s="1"/>
  <c r="J732" i="7" s="1"/>
  <c r="H732" i="7"/>
  <c r="K732" i="7" s="1"/>
  <c r="F732" i="7"/>
  <c r="E732" i="7"/>
  <c r="H731" i="7"/>
  <c r="K731" i="7" s="1"/>
  <c r="G731" i="7"/>
  <c r="I731" i="7" s="1"/>
  <c r="J731" i="7" s="1"/>
  <c r="F731" i="7"/>
  <c r="E731" i="7"/>
  <c r="E730" i="7"/>
  <c r="F730" i="7"/>
  <c r="H730" i="7"/>
  <c r="K730" i="7" s="1"/>
  <c r="G730" i="7"/>
  <c r="I730" i="7" s="1"/>
  <c r="J730" i="7" s="1"/>
  <c r="G729" i="7"/>
  <c r="I729" i="7" s="1"/>
  <c r="J729" i="7" s="1"/>
  <c r="F729" i="7"/>
  <c r="H729" i="7"/>
  <c r="K729" i="7" s="1"/>
  <c r="E729" i="7"/>
  <c r="H728" i="7"/>
  <c r="K728" i="7" s="1"/>
  <c r="F728" i="7"/>
  <c r="E728" i="7"/>
  <c r="G728" i="7"/>
  <c r="I728" i="7" s="1"/>
  <c r="J728" i="7" s="1"/>
  <c r="F727" i="7"/>
  <c r="H727" i="7"/>
  <c r="K727" i="7" s="1"/>
  <c r="G727" i="7"/>
  <c r="I727" i="7" s="1"/>
  <c r="J727" i="7" s="1"/>
  <c r="E727" i="7"/>
  <c r="F726" i="7"/>
  <c r="H726" i="7"/>
  <c r="K726" i="7" s="1"/>
  <c r="E726" i="7"/>
  <c r="G726" i="7"/>
  <c r="I726" i="7" s="1"/>
  <c r="J726" i="7" s="1"/>
  <c r="F725" i="7"/>
  <c r="H725" i="7"/>
  <c r="K725" i="7" s="1"/>
  <c r="E725" i="7"/>
  <c r="G725" i="7"/>
  <c r="I725" i="7" s="1"/>
  <c r="J725" i="7" s="1"/>
  <c r="F724" i="7"/>
  <c r="E724" i="7"/>
  <c r="G724" i="7"/>
  <c r="H724" i="7"/>
  <c r="K724" i="7" s="1"/>
  <c r="H723" i="7"/>
  <c r="K723" i="7" s="1"/>
  <c r="E723" i="7"/>
  <c r="G723" i="7"/>
  <c r="F723" i="7"/>
  <c r="G722" i="7"/>
  <c r="F722" i="7"/>
  <c r="H722" i="7"/>
  <c r="K722" i="7" s="1"/>
  <c r="E722" i="7"/>
  <c r="E721" i="7"/>
  <c r="H721" i="7"/>
  <c r="K721" i="7" s="1"/>
  <c r="F721" i="7"/>
  <c r="G721" i="7"/>
  <c r="I721" i="7" s="1"/>
  <c r="J721" i="7" s="1"/>
  <c r="H720" i="7"/>
  <c r="K720" i="7" s="1"/>
  <c r="F720" i="7"/>
  <c r="E720" i="7"/>
  <c r="G720" i="7"/>
  <c r="I720" i="7" s="1"/>
  <c r="J720" i="7" s="1"/>
  <c r="F719" i="7"/>
  <c r="G719" i="7"/>
  <c r="I719" i="7" s="1"/>
  <c r="J719" i="7" s="1"/>
  <c r="E719" i="7"/>
  <c r="H719" i="7"/>
  <c r="K719" i="7" s="1"/>
  <c r="E718" i="7"/>
  <c r="H718" i="7"/>
  <c r="K718" i="7" s="1"/>
  <c r="G718" i="7"/>
  <c r="I718" i="7" s="1"/>
  <c r="J718" i="7" s="1"/>
  <c r="F718" i="7"/>
  <c r="H717" i="7"/>
  <c r="K717" i="7" s="1"/>
  <c r="F717" i="7"/>
  <c r="E717" i="7"/>
  <c r="G717" i="7"/>
  <c r="I717" i="7" s="1"/>
  <c r="J717" i="7" s="1"/>
  <c r="G716" i="7"/>
  <c r="I716" i="7" s="1"/>
  <c r="J716" i="7" s="1"/>
  <c r="F716" i="7"/>
  <c r="H716" i="7"/>
  <c r="K716" i="7" s="1"/>
  <c r="E716" i="7"/>
  <c r="G715" i="7"/>
  <c r="I715" i="7" s="1"/>
  <c r="J715" i="7" s="1"/>
  <c r="E715" i="7"/>
  <c r="H715" i="7"/>
  <c r="K715" i="7" s="1"/>
  <c r="F715" i="7"/>
  <c r="G714" i="7"/>
  <c r="H714" i="7"/>
  <c r="K714" i="7" s="1"/>
  <c r="F714" i="7"/>
  <c r="E714" i="7"/>
  <c r="G713" i="7"/>
  <c r="H713" i="7"/>
  <c r="K713" i="7" s="1"/>
  <c r="F713" i="7"/>
  <c r="E713" i="7"/>
  <c r="E712" i="7"/>
  <c r="G712" i="7"/>
  <c r="H712" i="7"/>
  <c r="K712" i="7" s="1"/>
  <c r="F712" i="7"/>
  <c r="G711" i="7"/>
  <c r="H711" i="7"/>
  <c r="K711" i="7" s="1"/>
  <c r="F711" i="7"/>
  <c r="E711" i="7"/>
  <c r="H710" i="7"/>
  <c r="K710" i="7" s="1"/>
  <c r="E710" i="7"/>
  <c r="F710" i="7"/>
  <c r="G710" i="7"/>
  <c r="H709" i="7"/>
  <c r="K709" i="7" s="1"/>
  <c r="G709" i="7"/>
  <c r="I709" i="7" s="1"/>
  <c r="J709" i="7" s="1"/>
  <c r="E709" i="7"/>
  <c r="F709" i="7"/>
  <c r="G708" i="7"/>
  <c r="I708" i="7" s="1"/>
  <c r="J708" i="7" s="1"/>
  <c r="H708" i="7"/>
  <c r="K708" i="7" s="1"/>
  <c r="F708" i="7"/>
  <c r="E708" i="7"/>
  <c r="E707" i="7"/>
  <c r="G707" i="7"/>
  <c r="I707" i="7" s="1"/>
  <c r="J707" i="7" s="1"/>
  <c r="H707" i="7"/>
  <c r="K707" i="7" s="1"/>
  <c r="F707" i="7"/>
  <c r="E706" i="7"/>
  <c r="G706" i="7"/>
  <c r="I706" i="7" s="1"/>
  <c r="J706" i="7" s="1"/>
  <c r="H706" i="7"/>
  <c r="K706" i="7" s="1"/>
  <c r="F706" i="7"/>
  <c r="F705" i="7"/>
  <c r="E705" i="7"/>
  <c r="G705" i="7"/>
  <c r="I705" i="7" s="1"/>
  <c r="J705" i="7" s="1"/>
  <c r="H705" i="7"/>
  <c r="K705" i="7" s="1"/>
  <c r="H704" i="7"/>
  <c r="K704" i="7" s="1"/>
  <c r="G704" i="7"/>
  <c r="I704" i="7" s="1"/>
  <c r="J704" i="7" s="1"/>
  <c r="E704" i="7"/>
  <c r="F704" i="7"/>
  <c r="E703" i="7"/>
  <c r="H703" i="7"/>
  <c r="K703" i="7" s="1"/>
  <c r="G703" i="7"/>
  <c r="I703" i="7" s="1"/>
  <c r="J703" i="7" s="1"/>
  <c r="F703" i="7"/>
  <c r="F702" i="7"/>
  <c r="G702" i="7"/>
  <c r="I702" i="7" s="1"/>
  <c r="J702" i="7" s="1"/>
  <c r="E702" i="7"/>
  <c r="H702" i="7"/>
  <c r="K702" i="7" s="1"/>
  <c r="G701" i="7"/>
  <c r="H701" i="7"/>
  <c r="K701" i="7" s="1"/>
  <c r="E701" i="7"/>
  <c r="F701" i="7"/>
  <c r="G700" i="7"/>
  <c r="F700" i="7"/>
  <c r="E700" i="7"/>
  <c r="H700" i="7"/>
  <c r="K700" i="7" s="1"/>
  <c r="H699" i="7"/>
  <c r="K699" i="7" s="1"/>
  <c r="E699" i="7"/>
  <c r="G699" i="7"/>
  <c r="F699" i="7"/>
  <c r="H698" i="7"/>
  <c r="K698" i="7" s="1"/>
  <c r="F698" i="7"/>
  <c r="G698" i="7"/>
  <c r="E698" i="7"/>
  <c r="H697" i="7"/>
  <c r="K697" i="7" s="1"/>
  <c r="E697" i="7"/>
  <c r="F697" i="7"/>
  <c r="G697" i="7"/>
  <c r="I697" i="7" s="1"/>
  <c r="J697" i="7" s="1"/>
  <c r="E696" i="7"/>
  <c r="F696" i="7"/>
  <c r="G696" i="7"/>
  <c r="I696" i="7" s="1"/>
  <c r="J696" i="7" s="1"/>
  <c r="H696" i="7"/>
  <c r="K696" i="7" s="1"/>
  <c r="E695" i="7"/>
  <c r="F695" i="7"/>
  <c r="G695" i="7"/>
  <c r="I695" i="7" s="1"/>
  <c r="J695" i="7" s="1"/>
  <c r="H695" i="7"/>
  <c r="K695" i="7" s="1"/>
  <c r="E694" i="7"/>
  <c r="F694" i="7"/>
  <c r="G694" i="7"/>
  <c r="H694" i="7"/>
  <c r="K694" i="7" s="1"/>
  <c r="H693" i="7"/>
  <c r="K693" i="7" s="1"/>
  <c r="G693" i="7"/>
  <c r="F693" i="7"/>
  <c r="E693" i="7"/>
  <c r="H692" i="7"/>
  <c r="K692" i="7" s="1"/>
  <c r="G692" i="7"/>
  <c r="F692" i="7"/>
  <c r="E692" i="7"/>
  <c r="E691" i="7"/>
  <c r="F691" i="7"/>
  <c r="G691" i="7"/>
  <c r="H691" i="7"/>
  <c r="K691" i="7" s="1"/>
  <c r="E690" i="7"/>
  <c r="G690" i="7"/>
  <c r="H690" i="7"/>
  <c r="K690" i="7" s="1"/>
  <c r="F690" i="7"/>
  <c r="F689" i="7"/>
  <c r="H689" i="7"/>
  <c r="K689" i="7" s="1"/>
  <c r="G689" i="7"/>
  <c r="E689" i="7"/>
  <c r="F688" i="7"/>
  <c r="H688" i="7"/>
  <c r="K688" i="7" s="1"/>
  <c r="E688" i="7"/>
  <c r="G688" i="7"/>
  <c r="F687" i="7"/>
  <c r="E687" i="7"/>
  <c r="H687" i="7"/>
  <c r="K687" i="7" s="1"/>
  <c r="G687" i="7"/>
  <c r="H686" i="7"/>
  <c r="K686" i="7" s="1"/>
  <c r="G686" i="7"/>
  <c r="F686" i="7"/>
  <c r="E686" i="7"/>
  <c r="H685" i="7"/>
  <c r="K685" i="7" s="1"/>
  <c r="G685" i="7"/>
  <c r="I685" i="7" s="1"/>
  <c r="J685" i="7" s="1"/>
  <c r="F685" i="7"/>
  <c r="E685" i="7"/>
  <c r="F684" i="7"/>
  <c r="H684" i="7"/>
  <c r="K684" i="7" s="1"/>
  <c r="G684" i="7"/>
  <c r="I684" i="7" s="1"/>
  <c r="J684" i="7" s="1"/>
  <c r="E684" i="7"/>
  <c r="H683" i="7"/>
  <c r="K683" i="7" s="1"/>
  <c r="G683" i="7"/>
  <c r="I683" i="7" s="1"/>
  <c r="J683" i="7" s="1"/>
  <c r="F683" i="7"/>
  <c r="E683" i="7"/>
  <c r="H682" i="7"/>
  <c r="K682" i="7" s="1"/>
  <c r="G682" i="7"/>
  <c r="I682" i="7" s="1"/>
  <c r="J682" i="7" s="1"/>
  <c r="F682" i="7"/>
  <c r="E682" i="7"/>
  <c r="G681" i="7"/>
  <c r="I681" i="7" s="1"/>
  <c r="J681" i="7" s="1"/>
  <c r="F681" i="7"/>
  <c r="E681" i="7"/>
  <c r="H681" i="7"/>
  <c r="K681" i="7" s="1"/>
  <c r="H680" i="7"/>
  <c r="K680" i="7" s="1"/>
  <c r="G680" i="7"/>
  <c r="I680" i="7" s="1"/>
  <c r="J680" i="7" s="1"/>
  <c r="F680" i="7"/>
  <c r="E680" i="7"/>
  <c r="H679" i="7"/>
  <c r="K679" i="7" s="1"/>
  <c r="G679" i="7"/>
  <c r="I679" i="7" s="1"/>
  <c r="J679" i="7" s="1"/>
  <c r="F679" i="7"/>
  <c r="E679" i="7"/>
  <c r="E678" i="7"/>
  <c r="H678" i="7"/>
  <c r="K678" i="7" s="1"/>
  <c r="G678" i="7"/>
  <c r="F678" i="7"/>
  <c r="H677" i="7"/>
  <c r="K677" i="7" s="1"/>
  <c r="G677" i="7"/>
  <c r="F677" i="7"/>
  <c r="E677" i="7"/>
  <c r="H676" i="7"/>
  <c r="K676" i="7" s="1"/>
  <c r="G676" i="7"/>
  <c r="F676" i="7"/>
  <c r="E676" i="7"/>
  <c r="H675" i="7"/>
  <c r="K675" i="7" s="1"/>
  <c r="G675" i="7"/>
  <c r="F675" i="7"/>
  <c r="E675" i="7"/>
  <c r="H674" i="7"/>
  <c r="K674" i="7" s="1"/>
  <c r="G674" i="7"/>
  <c r="F674" i="7"/>
  <c r="E674" i="7"/>
  <c r="H673" i="7"/>
  <c r="K673" i="7" s="1"/>
  <c r="G673" i="7"/>
  <c r="I673" i="7" s="1"/>
  <c r="J673" i="7" s="1"/>
  <c r="F673" i="7"/>
  <c r="E673" i="7"/>
  <c r="H672" i="7"/>
  <c r="K672" i="7" s="1"/>
  <c r="G672" i="7"/>
  <c r="I672" i="7" s="1"/>
  <c r="J672" i="7" s="1"/>
  <c r="E672" i="7"/>
  <c r="F672" i="7"/>
  <c r="E671" i="7"/>
  <c r="F671" i="7"/>
  <c r="G671" i="7"/>
  <c r="I671" i="7" s="1"/>
  <c r="J671" i="7" s="1"/>
  <c r="H671" i="7"/>
  <c r="K671" i="7" s="1"/>
  <c r="E670" i="7"/>
  <c r="G670" i="7"/>
  <c r="I670" i="7" s="1"/>
  <c r="J670" i="7" s="1"/>
  <c r="H670" i="7"/>
  <c r="K670" i="7" s="1"/>
  <c r="F670" i="7"/>
  <c r="F669" i="7"/>
  <c r="E669" i="7"/>
  <c r="G669" i="7"/>
  <c r="I669" i="7" s="1"/>
  <c r="J669" i="7" s="1"/>
  <c r="H669" i="7"/>
  <c r="K669" i="7" s="1"/>
  <c r="F668" i="7"/>
  <c r="G668" i="7"/>
  <c r="I668" i="7" s="1"/>
  <c r="J668" i="7" s="1"/>
  <c r="H668" i="7"/>
  <c r="K668" i="7" s="1"/>
  <c r="E668" i="7"/>
  <c r="H667" i="7"/>
  <c r="K667" i="7" s="1"/>
  <c r="G667" i="7"/>
  <c r="I667" i="7" s="1"/>
  <c r="J667" i="7" s="1"/>
  <c r="F667" i="7"/>
  <c r="E667" i="7"/>
  <c r="H666" i="7"/>
  <c r="K666" i="7" s="1"/>
  <c r="G666" i="7"/>
  <c r="I666" i="7" s="1"/>
  <c r="J666" i="7" s="1"/>
  <c r="F666" i="7"/>
  <c r="E666" i="7"/>
  <c r="H665" i="7"/>
  <c r="K665" i="7" s="1"/>
  <c r="G665" i="7"/>
  <c r="I665" i="7" s="1"/>
  <c r="J665" i="7" s="1"/>
  <c r="F665" i="7"/>
  <c r="E665" i="7"/>
  <c r="H664" i="7"/>
  <c r="K664" i="7" s="1"/>
  <c r="G664" i="7"/>
  <c r="I664" i="7" s="1"/>
  <c r="J664" i="7" s="1"/>
  <c r="F664" i="7"/>
  <c r="E664" i="7"/>
  <c r="H663" i="7"/>
  <c r="K663" i="7" s="1"/>
  <c r="G663" i="7"/>
  <c r="I663" i="7" s="1"/>
  <c r="J663" i="7" s="1"/>
  <c r="F663" i="7"/>
  <c r="E663" i="7"/>
  <c r="H662" i="7"/>
  <c r="G662" i="7"/>
  <c r="F662" i="7"/>
  <c r="E662" i="7"/>
  <c r="H661" i="7"/>
  <c r="K661" i="7" s="1"/>
  <c r="G661" i="7"/>
  <c r="I661" i="7" s="1"/>
  <c r="J661" i="7" s="1"/>
  <c r="F661" i="7"/>
  <c r="E661" i="7"/>
  <c r="H660" i="7"/>
  <c r="K660" i="7" s="1"/>
  <c r="G660" i="7"/>
  <c r="I660" i="7" s="1"/>
  <c r="J660" i="7" s="1"/>
  <c r="F660" i="7"/>
  <c r="E660" i="7"/>
  <c r="H659" i="7"/>
  <c r="K659" i="7" s="1"/>
  <c r="G659" i="7"/>
  <c r="I659" i="7" s="1"/>
  <c r="J659" i="7" s="1"/>
  <c r="F659" i="7"/>
  <c r="E659" i="7"/>
  <c r="H658" i="7"/>
  <c r="K658" i="7" s="1"/>
  <c r="G658" i="7"/>
  <c r="I658" i="7" s="1"/>
  <c r="J658" i="7" s="1"/>
  <c r="F658" i="7"/>
  <c r="E658" i="7"/>
  <c r="H657" i="7"/>
  <c r="K657" i="7" s="1"/>
  <c r="G657" i="7"/>
  <c r="I657" i="7" s="1"/>
  <c r="J657" i="7" s="1"/>
  <c r="F657" i="7"/>
  <c r="E657" i="7"/>
  <c r="H656" i="7"/>
  <c r="K656" i="7" s="1"/>
  <c r="G656" i="7"/>
  <c r="I656" i="7" s="1"/>
  <c r="J656" i="7" s="1"/>
  <c r="F656" i="7"/>
  <c r="E656" i="7"/>
  <c r="H655" i="7"/>
  <c r="K655" i="7" s="1"/>
  <c r="G655" i="7"/>
  <c r="I655" i="7" s="1"/>
  <c r="J655" i="7" s="1"/>
  <c r="F655" i="7"/>
  <c r="E655" i="7"/>
  <c r="F654" i="7"/>
  <c r="E654" i="7"/>
  <c r="H654" i="7"/>
  <c r="K654" i="7" s="1"/>
  <c r="G654" i="7"/>
  <c r="I654" i="7" s="1"/>
  <c r="J654" i="7" s="1"/>
  <c r="H653" i="7"/>
  <c r="K653" i="7" s="1"/>
  <c r="G653" i="7"/>
  <c r="I653" i="7" s="1"/>
  <c r="J653" i="7" s="1"/>
  <c r="F653" i="7"/>
  <c r="E653" i="7"/>
  <c r="H652" i="7"/>
  <c r="K652" i="7" s="1"/>
  <c r="G652" i="7"/>
  <c r="I652" i="7" s="1"/>
  <c r="J652" i="7" s="1"/>
  <c r="F652" i="7"/>
  <c r="E652" i="7"/>
  <c r="H651" i="7"/>
  <c r="K651" i="7" s="1"/>
  <c r="G651" i="7"/>
  <c r="I651" i="7" s="1"/>
  <c r="J651" i="7" s="1"/>
  <c r="F651" i="7"/>
  <c r="E651" i="7"/>
  <c r="F650" i="7"/>
  <c r="G650" i="7"/>
  <c r="E650" i="7"/>
  <c r="H650" i="7"/>
  <c r="F649" i="7"/>
  <c r="H649" i="7"/>
  <c r="K649" i="7" s="1"/>
  <c r="G649" i="7"/>
  <c r="I649" i="7" s="1"/>
  <c r="J649" i="7" s="1"/>
  <c r="G648" i="7"/>
  <c r="I648" i="7" s="1"/>
  <c r="J648" i="7" s="1"/>
  <c r="F648" i="7"/>
  <c r="H648" i="7"/>
  <c r="K648" i="7" s="1"/>
  <c r="F647" i="7"/>
  <c r="G647" i="7"/>
  <c r="I647" i="7" s="1"/>
  <c r="J647" i="7" s="1"/>
  <c r="H647" i="7"/>
  <c r="K647" i="7" s="1"/>
  <c r="H646" i="7"/>
  <c r="K646" i="7" s="1"/>
  <c r="F646" i="7"/>
  <c r="G646" i="7"/>
  <c r="I646" i="7" s="1"/>
  <c r="J646" i="7" s="1"/>
  <c r="F645" i="7"/>
  <c r="G645" i="7"/>
  <c r="I645" i="7" s="1"/>
  <c r="J645" i="7" s="1"/>
  <c r="H645" i="7"/>
  <c r="K645" i="7" s="1"/>
  <c r="F644" i="7"/>
  <c r="G644" i="7"/>
  <c r="I644" i="7" s="1"/>
  <c r="J644" i="7" s="1"/>
  <c r="H644" i="7"/>
  <c r="K644" i="7" s="1"/>
  <c r="F643" i="7"/>
  <c r="G643" i="7"/>
  <c r="I643" i="7" s="1"/>
  <c r="J643" i="7" s="1"/>
  <c r="H643" i="7"/>
  <c r="K643" i="7" s="1"/>
  <c r="F642" i="7"/>
  <c r="G642" i="7"/>
  <c r="I642" i="7" s="1"/>
  <c r="J642" i="7" s="1"/>
  <c r="H642" i="7"/>
  <c r="K642" i="7" s="1"/>
  <c r="H641" i="7"/>
  <c r="K641" i="7" s="1"/>
  <c r="G641" i="7"/>
  <c r="I641" i="7" s="1"/>
  <c r="J641" i="7" s="1"/>
  <c r="F641" i="7"/>
  <c r="H640" i="7"/>
  <c r="K640" i="7" s="1"/>
  <c r="G640" i="7"/>
  <c r="I640" i="7" s="1"/>
  <c r="J640" i="7" s="1"/>
  <c r="F640" i="7"/>
  <c r="F639" i="7"/>
  <c r="H639" i="7"/>
  <c r="K639" i="7" s="1"/>
  <c r="G639" i="7"/>
  <c r="I639" i="7" s="1"/>
  <c r="J639" i="7" s="1"/>
  <c r="G638" i="7"/>
  <c r="H638" i="7"/>
  <c r="K638" i="7" s="1"/>
  <c r="F638" i="7"/>
  <c r="H637" i="7"/>
  <c r="K637" i="7" s="1"/>
  <c r="G637" i="7"/>
  <c r="I637" i="7" s="1"/>
  <c r="J637" i="7" s="1"/>
  <c r="F637" i="7"/>
  <c r="G636" i="7"/>
  <c r="I636" i="7" s="1"/>
  <c r="J636" i="7" s="1"/>
  <c r="H636" i="7"/>
  <c r="K636" i="7" s="1"/>
  <c r="F636" i="7"/>
  <c r="H635" i="7"/>
  <c r="K635" i="7" s="1"/>
  <c r="G635" i="7"/>
  <c r="I635" i="7" s="1"/>
  <c r="J635" i="7" s="1"/>
  <c r="F635" i="7"/>
  <c r="F634" i="7"/>
  <c r="H634" i="7"/>
  <c r="K634" i="7" s="1"/>
  <c r="G634" i="7"/>
  <c r="I634" i="7" s="1"/>
  <c r="J634" i="7" s="1"/>
  <c r="H633" i="7"/>
  <c r="K633" i="7" s="1"/>
  <c r="G633" i="7"/>
  <c r="I633" i="7" s="1"/>
  <c r="J633" i="7" s="1"/>
  <c r="F633" i="7"/>
  <c r="H632" i="7"/>
  <c r="K632" i="7" s="1"/>
  <c r="G632" i="7"/>
  <c r="I632" i="7" s="1"/>
  <c r="J632" i="7" s="1"/>
  <c r="F632" i="7"/>
  <c r="F631" i="7"/>
  <c r="H631" i="7"/>
  <c r="K631" i="7" s="1"/>
  <c r="G631" i="7"/>
  <c r="I631" i="7" s="1"/>
  <c r="J631" i="7" s="1"/>
  <c r="F630" i="7"/>
  <c r="G630" i="7"/>
  <c r="I630" i="7" s="1"/>
  <c r="J630" i="7" s="1"/>
  <c r="H630" i="7"/>
  <c r="K630" i="7" s="1"/>
  <c r="F629" i="7"/>
  <c r="G629" i="7"/>
  <c r="I629" i="7" s="1"/>
  <c r="J629" i="7" s="1"/>
  <c r="H629" i="7"/>
  <c r="K629" i="7" s="1"/>
  <c r="F628" i="7"/>
  <c r="G628" i="7"/>
  <c r="I628" i="7" s="1"/>
  <c r="J628" i="7" s="1"/>
  <c r="H628" i="7"/>
  <c r="K628" i="7" s="1"/>
  <c r="F627" i="7"/>
  <c r="G627" i="7"/>
  <c r="H627" i="7"/>
  <c r="K627" i="7" s="1"/>
  <c r="F626" i="7"/>
  <c r="G626" i="7"/>
  <c r="H626" i="7"/>
  <c r="K626" i="7" s="1"/>
  <c r="E625" i="7"/>
  <c r="F625" i="7"/>
  <c r="G625" i="7"/>
  <c r="I625" i="7" s="1"/>
  <c r="J625" i="7" s="1"/>
  <c r="H625" i="7"/>
  <c r="K625" i="7" s="1"/>
  <c r="H624" i="7"/>
  <c r="K624" i="7" s="1"/>
  <c r="G624" i="7"/>
  <c r="I624" i="7" s="1"/>
  <c r="J624" i="7" s="1"/>
  <c r="F624" i="7"/>
  <c r="E624" i="7"/>
  <c r="H623" i="7"/>
  <c r="K623" i="7" s="1"/>
  <c r="E623" i="7"/>
  <c r="G623" i="7"/>
  <c r="I623" i="7" s="1"/>
  <c r="J623" i="7" s="1"/>
  <c r="F623" i="7"/>
  <c r="G622" i="7"/>
  <c r="I622" i="7" s="1"/>
  <c r="J622" i="7" s="1"/>
  <c r="H622" i="7"/>
  <c r="K622" i="7" s="1"/>
  <c r="E622" i="7"/>
  <c r="F622" i="7"/>
  <c r="H621" i="7"/>
  <c r="K621" i="7" s="1"/>
  <c r="G621" i="7"/>
  <c r="I621" i="7" s="1"/>
  <c r="J621" i="7" s="1"/>
  <c r="F621" i="7"/>
  <c r="E621" i="7"/>
  <c r="F620" i="7"/>
  <c r="E620" i="7"/>
  <c r="H620" i="7"/>
  <c r="K620" i="7" s="1"/>
  <c r="G620" i="7"/>
  <c r="I620" i="7" s="1"/>
  <c r="J620" i="7" s="1"/>
  <c r="E619" i="7"/>
  <c r="F619" i="7"/>
  <c r="G619" i="7"/>
  <c r="I619" i="7" s="1"/>
  <c r="J619" i="7" s="1"/>
  <c r="H619" i="7"/>
  <c r="K619" i="7" s="1"/>
  <c r="E618" i="7"/>
  <c r="F618" i="7"/>
  <c r="G618" i="7"/>
  <c r="I618" i="7" s="1"/>
  <c r="J618" i="7" s="1"/>
  <c r="H618" i="7"/>
  <c r="K618" i="7" s="1"/>
  <c r="H617" i="7"/>
  <c r="K617" i="7" s="1"/>
  <c r="G617" i="7"/>
  <c r="I617" i="7" s="1"/>
  <c r="J617" i="7" s="1"/>
  <c r="F617" i="7"/>
  <c r="E617" i="7"/>
  <c r="H616" i="7"/>
  <c r="K616" i="7" s="1"/>
  <c r="G616" i="7"/>
  <c r="I616" i="7" s="1"/>
  <c r="J616" i="7" s="1"/>
  <c r="F616" i="7"/>
  <c r="E616" i="7"/>
  <c r="G615" i="7"/>
  <c r="F615" i="7"/>
  <c r="E615" i="7"/>
  <c r="H615" i="7"/>
  <c r="K615" i="7" s="1"/>
  <c r="F614" i="7"/>
  <c r="H614" i="7"/>
  <c r="K614" i="7" s="1"/>
  <c r="G614" i="7"/>
  <c r="E614" i="7"/>
  <c r="F613" i="7"/>
  <c r="H613" i="7"/>
  <c r="K613" i="7" s="1"/>
  <c r="G613" i="7"/>
  <c r="I613" i="7" s="1"/>
  <c r="J613" i="7" s="1"/>
  <c r="E613" i="7"/>
  <c r="F612" i="7"/>
  <c r="H612" i="7"/>
  <c r="K612" i="7" s="1"/>
  <c r="G612" i="7"/>
  <c r="I612" i="7" s="1"/>
  <c r="J612" i="7" s="1"/>
  <c r="E612" i="7"/>
  <c r="H611" i="7"/>
  <c r="K611" i="7" s="1"/>
  <c r="G611" i="7"/>
  <c r="I611" i="7" s="1"/>
  <c r="J611" i="7" s="1"/>
  <c r="F611" i="7"/>
  <c r="E611" i="7"/>
  <c r="H610" i="7"/>
  <c r="K610" i="7" s="1"/>
  <c r="G610" i="7"/>
  <c r="I610" i="7" s="1"/>
  <c r="J610" i="7" s="1"/>
  <c r="F610" i="7"/>
  <c r="E610" i="7"/>
  <c r="H609" i="7"/>
  <c r="K609" i="7" s="1"/>
  <c r="G609" i="7"/>
  <c r="I609" i="7" s="1"/>
  <c r="J609" i="7" s="1"/>
  <c r="F609" i="7"/>
  <c r="E609" i="7"/>
  <c r="H608" i="7"/>
  <c r="K608" i="7" s="1"/>
  <c r="G608" i="7"/>
  <c r="I608" i="7" s="1"/>
  <c r="J608" i="7" s="1"/>
  <c r="F608" i="7"/>
  <c r="E608" i="7"/>
  <c r="H607" i="7"/>
  <c r="K607" i="7" s="1"/>
  <c r="G607" i="7"/>
  <c r="I607" i="7" s="1"/>
  <c r="J607" i="7" s="1"/>
  <c r="F607" i="7"/>
  <c r="E607" i="7"/>
  <c r="G606" i="7"/>
  <c r="I606" i="7" s="1"/>
  <c r="J606" i="7" s="1"/>
  <c r="H606" i="7"/>
  <c r="K606" i="7" s="1"/>
  <c r="F606" i="7"/>
  <c r="E606" i="7"/>
  <c r="G605" i="7"/>
  <c r="I605" i="7" s="1"/>
  <c r="J605" i="7" s="1"/>
  <c r="H605" i="7"/>
  <c r="K605" i="7" s="1"/>
  <c r="F605" i="7"/>
  <c r="E605" i="7"/>
  <c r="G604" i="7"/>
  <c r="I604" i="7" s="1"/>
  <c r="J604" i="7" s="1"/>
  <c r="E604" i="7"/>
  <c r="F604" i="7"/>
  <c r="H604" i="7"/>
  <c r="K604" i="7" s="1"/>
  <c r="F603" i="7"/>
  <c r="G603" i="7"/>
  <c r="I603" i="7" s="1"/>
  <c r="J603" i="7" s="1"/>
  <c r="H603" i="7"/>
  <c r="K603" i="7" s="1"/>
  <c r="E603" i="7"/>
  <c r="E602" i="7"/>
  <c r="H602" i="7"/>
  <c r="K602" i="7" s="1"/>
  <c r="G602" i="7"/>
  <c r="I602" i="7" s="1"/>
  <c r="J602" i="7" s="1"/>
  <c r="F602" i="7"/>
  <c r="H601" i="7"/>
  <c r="K601" i="7" s="1"/>
  <c r="G601" i="7"/>
  <c r="I601" i="7" s="1"/>
  <c r="J601" i="7" s="1"/>
  <c r="F601" i="7"/>
  <c r="E601" i="7"/>
  <c r="H600" i="7"/>
  <c r="K600" i="7" s="1"/>
  <c r="G600" i="7"/>
  <c r="I600" i="7" s="1"/>
  <c r="J600" i="7" s="1"/>
  <c r="F600" i="7"/>
  <c r="E600" i="7"/>
  <c r="H599" i="7"/>
  <c r="K599" i="7" s="1"/>
  <c r="G599" i="7"/>
  <c r="I599" i="7" s="1"/>
  <c r="J599" i="7" s="1"/>
  <c r="F599" i="7"/>
  <c r="E599" i="7"/>
  <c r="H598" i="7"/>
  <c r="K598" i="7" s="1"/>
  <c r="G598" i="7"/>
  <c r="I598" i="7" s="1"/>
  <c r="J598" i="7" s="1"/>
  <c r="F598" i="7"/>
  <c r="E598" i="7"/>
  <c r="E597" i="7"/>
  <c r="H597" i="7"/>
  <c r="K597" i="7" s="1"/>
  <c r="G597" i="7"/>
  <c r="I597" i="7" s="1"/>
  <c r="J597" i="7" s="1"/>
  <c r="F597" i="7"/>
  <c r="E596" i="7"/>
  <c r="F596" i="7"/>
  <c r="G596" i="7"/>
  <c r="I596" i="7" s="1"/>
  <c r="J596" i="7" s="1"/>
  <c r="H596" i="7"/>
  <c r="K596" i="7" s="1"/>
  <c r="E595" i="7"/>
  <c r="H595" i="7"/>
  <c r="K595" i="7" s="1"/>
  <c r="G595" i="7"/>
  <c r="I595" i="7" s="1"/>
  <c r="J595" i="7" s="1"/>
  <c r="F595" i="7"/>
  <c r="H594" i="7"/>
  <c r="K594" i="7" s="1"/>
  <c r="G594" i="7"/>
  <c r="I594" i="7" s="1"/>
  <c r="J594" i="7" s="1"/>
  <c r="F594" i="7"/>
  <c r="E594" i="7"/>
  <c r="F593" i="7"/>
  <c r="E593" i="7"/>
  <c r="H593" i="7"/>
  <c r="K593" i="7" s="1"/>
  <c r="G593" i="7"/>
  <c r="I593" i="7" s="1"/>
  <c r="J593" i="7" s="1"/>
  <c r="H592" i="7"/>
  <c r="K592" i="7" s="1"/>
  <c r="G592" i="7"/>
  <c r="I592" i="7" s="1"/>
  <c r="J592" i="7" s="1"/>
  <c r="F592" i="7"/>
  <c r="E592" i="7"/>
  <c r="E591" i="7"/>
  <c r="H591" i="7"/>
  <c r="K591" i="7" s="1"/>
  <c r="G591" i="7"/>
  <c r="I591" i="7" s="1"/>
  <c r="J591" i="7" s="1"/>
  <c r="F591" i="7"/>
  <c r="E590" i="7"/>
  <c r="H590" i="7"/>
  <c r="K590" i="7" s="1"/>
  <c r="G590" i="7"/>
  <c r="I590" i="7" s="1"/>
  <c r="J590" i="7" s="1"/>
  <c r="F590" i="7"/>
  <c r="H589" i="7"/>
  <c r="K589" i="7" s="1"/>
  <c r="G589" i="7"/>
  <c r="I589" i="7" s="1"/>
  <c r="J589" i="7" s="1"/>
  <c r="F589" i="7"/>
  <c r="E589" i="7"/>
  <c r="H588" i="7"/>
  <c r="K588" i="7" s="1"/>
  <c r="G588" i="7"/>
  <c r="I588" i="7" s="1"/>
  <c r="J588" i="7" s="1"/>
  <c r="F588" i="7"/>
  <c r="E588" i="7"/>
  <c r="H587" i="7"/>
  <c r="K587" i="7" s="1"/>
  <c r="G587" i="7"/>
  <c r="I587" i="7" s="1"/>
  <c r="J587" i="7" s="1"/>
  <c r="F587" i="7"/>
  <c r="E587" i="7"/>
  <c r="E586" i="7"/>
  <c r="H586" i="7"/>
  <c r="K586" i="7" s="1"/>
  <c r="G586" i="7"/>
  <c r="I586" i="7" s="1"/>
  <c r="J586" i="7" s="1"/>
  <c r="F586" i="7"/>
  <c r="H585" i="7"/>
  <c r="K585" i="7" s="1"/>
  <c r="G585" i="7"/>
  <c r="I585" i="7" s="1"/>
  <c r="J585" i="7" s="1"/>
  <c r="F585" i="7"/>
  <c r="E585" i="7"/>
  <c r="E584" i="7"/>
  <c r="H584" i="7"/>
  <c r="K584" i="7" s="1"/>
  <c r="G584" i="7"/>
  <c r="I584" i="7" s="1"/>
  <c r="J584" i="7" s="1"/>
  <c r="F584" i="7"/>
  <c r="G583" i="7"/>
  <c r="I583" i="7" s="1"/>
  <c r="J583" i="7" s="1"/>
  <c r="H583" i="7"/>
  <c r="K583" i="7" s="1"/>
  <c r="F583" i="7"/>
  <c r="E583" i="7"/>
  <c r="E582" i="7"/>
  <c r="H582" i="7"/>
  <c r="K582" i="7" s="1"/>
  <c r="G582" i="7"/>
  <c r="I582" i="7" s="1"/>
  <c r="J582" i="7" s="1"/>
  <c r="F582" i="7"/>
  <c r="E581" i="7"/>
  <c r="H581" i="7"/>
  <c r="K581" i="7" s="1"/>
  <c r="G581" i="7"/>
  <c r="I581" i="7" s="1"/>
  <c r="J581" i="7" s="1"/>
  <c r="F581" i="7"/>
  <c r="H580" i="7"/>
  <c r="K580" i="7" s="1"/>
  <c r="G580" i="7"/>
  <c r="I580" i="7" s="1"/>
  <c r="J580" i="7" s="1"/>
  <c r="F580" i="7"/>
  <c r="E580" i="7"/>
  <c r="E579" i="7"/>
  <c r="H579" i="7"/>
  <c r="K579" i="7" s="1"/>
  <c r="G579" i="7"/>
  <c r="I579" i="7" s="1"/>
  <c r="J579" i="7" s="1"/>
  <c r="F579" i="7"/>
  <c r="H578" i="7"/>
  <c r="K578" i="7" s="1"/>
  <c r="G578" i="7"/>
  <c r="I578" i="7" s="1"/>
  <c r="J578" i="7" s="1"/>
  <c r="F578" i="7"/>
  <c r="E578" i="7"/>
  <c r="H577" i="7"/>
  <c r="K577" i="7" s="1"/>
  <c r="G577" i="7"/>
  <c r="I577" i="7" s="1"/>
  <c r="J577" i="7" s="1"/>
  <c r="F577" i="7"/>
  <c r="E577" i="7"/>
  <c r="H576" i="7"/>
  <c r="K576" i="7" s="1"/>
  <c r="G576" i="7"/>
  <c r="I576" i="7" s="1"/>
  <c r="J576" i="7" s="1"/>
  <c r="F576" i="7"/>
  <c r="E576" i="7"/>
  <c r="H575" i="7"/>
  <c r="K575" i="7" s="1"/>
  <c r="G575" i="7"/>
  <c r="I575" i="7" s="1"/>
  <c r="J575" i="7" s="1"/>
  <c r="F575" i="7"/>
  <c r="E575" i="7"/>
  <c r="H574" i="7"/>
  <c r="K574" i="7" s="1"/>
  <c r="G574" i="7"/>
  <c r="I574" i="7" s="1"/>
  <c r="J574" i="7" s="1"/>
  <c r="F574" i="7"/>
  <c r="E574" i="7"/>
  <c r="E573" i="7"/>
  <c r="H573" i="7"/>
  <c r="K573" i="7" s="1"/>
  <c r="G573" i="7"/>
  <c r="I573" i="7" s="1"/>
  <c r="J573" i="7" s="1"/>
  <c r="F573" i="7"/>
  <c r="H572" i="7"/>
  <c r="K572" i="7" s="1"/>
  <c r="G572" i="7"/>
  <c r="I572" i="7" s="1"/>
  <c r="J572" i="7" s="1"/>
  <c r="F572" i="7"/>
  <c r="E572" i="7"/>
  <c r="E571" i="7"/>
  <c r="H571" i="7"/>
  <c r="K571" i="7" s="1"/>
  <c r="G571" i="7"/>
  <c r="I571" i="7" s="1"/>
  <c r="J571" i="7" s="1"/>
  <c r="F571" i="7"/>
  <c r="H570" i="7"/>
  <c r="K570" i="7" s="1"/>
  <c r="G570" i="7"/>
  <c r="I570" i="7" s="1"/>
  <c r="J570" i="7" s="1"/>
  <c r="F570" i="7"/>
  <c r="E570" i="7"/>
  <c r="E569" i="7"/>
  <c r="H569" i="7"/>
  <c r="K569" i="7" s="1"/>
  <c r="G569" i="7"/>
  <c r="I569" i="7" s="1"/>
  <c r="J569" i="7" s="1"/>
  <c r="F569" i="7"/>
  <c r="E568" i="7"/>
  <c r="H568" i="7"/>
  <c r="K568" i="7" s="1"/>
  <c r="G568" i="7"/>
  <c r="I568" i="7" s="1"/>
  <c r="J568" i="7" s="1"/>
  <c r="F568" i="7"/>
  <c r="H567" i="7"/>
  <c r="K567" i="7" s="1"/>
  <c r="G567" i="7"/>
  <c r="I567" i="7" s="1"/>
  <c r="J567" i="7" s="1"/>
  <c r="F567" i="7"/>
  <c r="E567" i="7"/>
  <c r="E566" i="7"/>
  <c r="H566" i="7"/>
  <c r="K566" i="7" s="1"/>
  <c r="G566" i="7"/>
  <c r="I566" i="7" s="1"/>
  <c r="J566" i="7" s="1"/>
  <c r="F566" i="7"/>
  <c r="H565" i="7"/>
  <c r="K565" i="7" s="1"/>
  <c r="G565" i="7"/>
  <c r="I565" i="7" s="1"/>
  <c r="J565" i="7" s="1"/>
  <c r="F565" i="7"/>
  <c r="E565" i="7"/>
  <c r="H564" i="7"/>
  <c r="K564" i="7" s="1"/>
  <c r="G564" i="7"/>
  <c r="I564" i="7" s="1"/>
  <c r="J564" i="7" s="1"/>
  <c r="F564" i="7"/>
  <c r="E564" i="7"/>
  <c r="H563" i="7"/>
  <c r="K563" i="7" s="1"/>
  <c r="G563" i="7"/>
  <c r="I563" i="7" s="1"/>
  <c r="J563" i="7" s="1"/>
  <c r="F563" i="7"/>
  <c r="E563" i="7"/>
  <c r="H562" i="7"/>
  <c r="K562" i="7" s="1"/>
  <c r="G562" i="7"/>
  <c r="I562" i="7" s="1"/>
  <c r="J562" i="7" s="1"/>
  <c r="F562" i="7"/>
  <c r="E562" i="7"/>
  <c r="E561" i="7"/>
  <c r="H561" i="7"/>
  <c r="K561" i="7" s="1"/>
  <c r="G561" i="7"/>
  <c r="I561" i="7" s="1"/>
  <c r="J561" i="7" s="1"/>
  <c r="F561" i="7"/>
  <c r="H560" i="7"/>
  <c r="K560" i="7" s="1"/>
  <c r="G560" i="7"/>
  <c r="I560" i="7" s="1"/>
  <c r="J560" i="7" s="1"/>
  <c r="F560" i="7"/>
  <c r="E560" i="7"/>
  <c r="E559" i="7"/>
  <c r="H559" i="7"/>
  <c r="K559" i="7" s="1"/>
  <c r="G559" i="7"/>
  <c r="I559" i="7" s="1"/>
  <c r="J559" i="7" s="1"/>
  <c r="F559" i="7"/>
  <c r="G558" i="7"/>
  <c r="I558" i="7" s="1"/>
  <c r="J558" i="7" s="1"/>
  <c r="H558" i="7"/>
  <c r="K558" i="7" s="1"/>
  <c r="F558" i="7"/>
  <c r="E558" i="7"/>
  <c r="E557" i="7"/>
  <c r="H557" i="7"/>
  <c r="K557" i="7" s="1"/>
  <c r="G557" i="7"/>
  <c r="I557" i="7" s="1"/>
  <c r="J557" i="7" s="1"/>
  <c r="F557" i="7"/>
  <c r="H556" i="7"/>
  <c r="K556" i="7" s="1"/>
  <c r="G556" i="7"/>
  <c r="I556" i="7" s="1"/>
  <c r="J556" i="7" s="1"/>
  <c r="F556" i="7"/>
  <c r="E556" i="7"/>
  <c r="E555" i="7"/>
  <c r="H555" i="7"/>
  <c r="K555" i="7" s="1"/>
  <c r="G555" i="7"/>
  <c r="F555" i="7"/>
  <c r="H554" i="7"/>
  <c r="K554" i="7" s="1"/>
  <c r="G554" i="7"/>
  <c r="F554" i="7"/>
  <c r="E554" i="7"/>
  <c r="E553" i="7"/>
  <c r="H553" i="7"/>
  <c r="K553" i="7" s="1"/>
  <c r="G553" i="7"/>
  <c r="I553" i="7" s="1"/>
  <c r="J553" i="7" s="1"/>
  <c r="F553" i="7"/>
  <c r="H552" i="7"/>
  <c r="K552" i="7" s="1"/>
  <c r="G552" i="7"/>
  <c r="I552" i="7" s="1"/>
  <c r="J552" i="7" s="1"/>
  <c r="F552" i="7"/>
  <c r="E552" i="7"/>
  <c r="H551" i="7"/>
  <c r="K551" i="7" s="1"/>
  <c r="G551" i="7"/>
  <c r="I551" i="7" s="1"/>
  <c r="J551" i="7" s="1"/>
  <c r="F551" i="7"/>
  <c r="E551" i="7"/>
  <c r="H550" i="7"/>
  <c r="K550" i="7" s="1"/>
  <c r="G550" i="7"/>
  <c r="I550" i="7" s="1"/>
  <c r="J550" i="7" s="1"/>
  <c r="F550" i="7"/>
  <c r="E550" i="7"/>
  <c r="H549" i="7"/>
  <c r="K549" i="7" s="1"/>
  <c r="G549" i="7"/>
  <c r="I549" i="7" s="1"/>
  <c r="J549" i="7" s="1"/>
  <c r="F549" i="7"/>
  <c r="E549" i="7"/>
  <c r="H548" i="7"/>
  <c r="K548" i="7" s="1"/>
  <c r="G548" i="7"/>
  <c r="I548" i="7" s="1"/>
  <c r="J548" i="7" s="1"/>
  <c r="F548" i="7"/>
  <c r="E548" i="7"/>
  <c r="E547" i="7"/>
  <c r="H547" i="7"/>
  <c r="K547" i="7" s="1"/>
  <c r="G547" i="7"/>
  <c r="I547" i="7" s="1"/>
  <c r="J547" i="7" s="1"/>
  <c r="F547" i="7"/>
  <c r="F546" i="7"/>
  <c r="E546" i="7"/>
  <c r="H546" i="7"/>
  <c r="K546" i="7" s="1"/>
  <c r="G546" i="7"/>
  <c r="I546" i="7" s="1"/>
  <c r="J546" i="7" s="1"/>
  <c r="E545" i="7"/>
  <c r="H545" i="7"/>
  <c r="K545" i="7" s="1"/>
  <c r="G545" i="7"/>
  <c r="I545" i="7" s="1"/>
  <c r="J545" i="7" s="1"/>
  <c r="F545" i="7"/>
  <c r="F544" i="7"/>
  <c r="H544" i="7"/>
  <c r="K544" i="7" s="1"/>
  <c r="G544" i="7"/>
  <c r="I544" i="7" s="1"/>
  <c r="J544" i="7" s="1"/>
  <c r="E544" i="7"/>
  <c r="H543" i="7"/>
  <c r="K543" i="7" s="1"/>
  <c r="G543" i="7"/>
  <c r="I543" i="7" s="1"/>
  <c r="J543" i="7" s="1"/>
  <c r="F543" i="7"/>
  <c r="E543" i="7"/>
  <c r="G542" i="7"/>
  <c r="I542" i="7" s="1"/>
  <c r="J542" i="7" s="1"/>
  <c r="H542" i="7"/>
  <c r="K542" i="7" s="1"/>
  <c r="F542" i="7"/>
  <c r="E542" i="7"/>
  <c r="H541" i="7"/>
  <c r="K541" i="7" s="1"/>
  <c r="G541" i="7"/>
  <c r="I541" i="7" s="1"/>
  <c r="J541" i="7" s="1"/>
  <c r="F541" i="7"/>
  <c r="E541" i="7"/>
  <c r="E540" i="7"/>
  <c r="H540" i="7"/>
  <c r="K540" i="7" s="1"/>
  <c r="G540" i="7"/>
  <c r="I540" i="7" s="1"/>
  <c r="J540" i="7" s="1"/>
  <c r="F540" i="7"/>
  <c r="H539" i="7"/>
  <c r="K539" i="7" s="1"/>
  <c r="G539" i="7"/>
  <c r="I539" i="7" s="1"/>
  <c r="J539" i="7" s="1"/>
  <c r="F539" i="7"/>
  <c r="E539" i="7"/>
  <c r="E538" i="7"/>
  <c r="H538" i="7"/>
  <c r="K538" i="7" s="1"/>
  <c r="G538" i="7"/>
  <c r="I538" i="7" s="1"/>
  <c r="J538" i="7" s="1"/>
  <c r="F538" i="7"/>
  <c r="G537" i="7"/>
  <c r="I537" i="7" s="1"/>
  <c r="J537" i="7" s="1"/>
  <c r="H537" i="7"/>
  <c r="K537" i="7" s="1"/>
  <c r="F537" i="7"/>
  <c r="E537" i="7"/>
  <c r="H536" i="7"/>
  <c r="K536" i="7" s="1"/>
  <c r="G536" i="7"/>
  <c r="I536" i="7" s="1"/>
  <c r="J536" i="7" s="1"/>
  <c r="F536" i="7"/>
  <c r="E536" i="7"/>
  <c r="H535" i="7"/>
  <c r="K535" i="7" s="1"/>
  <c r="G535" i="7"/>
  <c r="I535" i="7" s="1"/>
  <c r="J535" i="7" s="1"/>
  <c r="F535" i="7"/>
  <c r="E535" i="7"/>
  <c r="H534" i="7"/>
  <c r="K534" i="7" s="1"/>
  <c r="G534" i="7"/>
  <c r="I534" i="7" s="1"/>
  <c r="J534" i="7" s="1"/>
  <c r="F534" i="7"/>
  <c r="E534" i="7"/>
  <c r="H533" i="7"/>
  <c r="K533" i="7" s="1"/>
  <c r="G533" i="7"/>
  <c r="I533" i="7" s="1"/>
  <c r="J533" i="7" s="1"/>
  <c r="F533" i="7"/>
  <c r="E533" i="7"/>
  <c r="H532" i="7"/>
  <c r="K532" i="7" s="1"/>
  <c r="G532" i="7"/>
  <c r="I532" i="7" s="1"/>
  <c r="J532" i="7" s="1"/>
  <c r="F532" i="7"/>
  <c r="E532" i="7"/>
  <c r="E531" i="7"/>
  <c r="H531" i="7"/>
  <c r="K531" i="7" s="1"/>
  <c r="G531" i="7"/>
  <c r="I531" i="7" s="1"/>
  <c r="J531" i="7" s="1"/>
  <c r="F531" i="7"/>
  <c r="H530" i="7"/>
  <c r="K530" i="7" s="1"/>
  <c r="G530" i="7"/>
  <c r="I530" i="7" s="1"/>
  <c r="J530" i="7" s="1"/>
  <c r="F530" i="7"/>
  <c r="E530" i="7"/>
  <c r="E529" i="7"/>
  <c r="H529" i="7"/>
  <c r="K529" i="7" s="1"/>
  <c r="G529" i="7"/>
  <c r="I529" i="7" s="1"/>
  <c r="J529" i="7" s="1"/>
  <c r="F529" i="7"/>
  <c r="H528" i="7"/>
  <c r="K528" i="7" s="1"/>
  <c r="G528" i="7"/>
  <c r="I528" i="7" s="1"/>
  <c r="J528" i="7" s="1"/>
  <c r="F528" i="7"/>
  <c r="E528" i="7"/>
  <c r="H527" i="7"/>
  <c r="K527" i="7" s="1"/>
  <c r="G527" i="7"/>
  <c r="I527" i="7" s="1"/>
  <c r="J527" i="7" s="1"/>
  <c r="F527" i="7"/>
  <c r="E527" i="7"/>
  <c r="H526" i="7"/>
  <c r="K526" i="7" s="1"/>
  <c r="G526" i="7"/>
  <c r="I526" i="7" s="1"/>
  <c r="J526" i="7" s="1"/>
  <c r="F526" i="7"/>
  <c r="E526" i="7"/>
  <c r="G525" i="7"/>
  <c r="H525" i="7"/>
  <c r="K525" i="7" s="1"/>
  <c r="F525" i="7"/>
  <c r="E525" i="7"/>
  <c r="H524" i="7"/>
  <c r="K524" i="7" s="1"/>
  <c r="G524" i="7"/>
  <c r="F524" i="7"/>
  <c r="E524" i="7"/>
  <c r="E523" i="7"/>
  <c r="H523" i="7"/>
  <c r="K523" i="7" s="1"/>
  <c r="G523" i="7"/>
  <c r="F523" i="7"/>
  <c r="H522" i="7"/>
  <c r="K522" i="7" s="1"/>
  <c r="G522" i="7"/>
  <c r="F522" i="7"/>
  <c r="E522" i="7"/>
  <c r="F521" i="7"/>
  <c r="H521" i="7"/>
  <c r="K521" i="7" s="1"/>
  <c r="E521" i="7"/>
  <c r="G521" i="7"/>
  <c r="H520" i="7"/>
  <c r="K520" i="7" s="1"/>
  <c r="G520" i="7"/>
  <c r="F520" i="7"/>
  <c r="E520" i="7"/>
  <c r="H519" i="7"/>
  <c r="K519" i="7" s="1"/>
  <c r="G519" i="7"/>
  <c r="F519" i="7"/>
  <c r="E519" i="7"/>
  <c r="H518" i="7"/>
  <c r="K518" i="7" s="1"/>
  <c r="G518" i="7"/>
  <c r="F518" i="7"/>
  <c r="E518" i="7"/>
  <c r="E517" i="7"/>
  <c r="F517" i="7"/>
  <c r="H517" i="7"/>
  <c r="K517" i="7" s="1"/>
  <c r="G517" i="7"/>
  <c r="I517" i="7" s="1"/>
  <c r="J517" i="7" s="1"/>
  <c r="F516" i="7"/>
  <c r="G516" i="7"/>
  <c r="I516" i="7" s="1"/>
  <c r="J516" i="7" s="1"/>
  <c r="H516" i="7"/>
  <c r="K516" i="7" s="1"/>
  <c r="E516" i="7"/>
  <c r="H515" i="7"/>
  <c r="K515" i="7" s="1"/>
  <c r="G515" i="7"/>
  <c r="I515" i="7" s="1"/>
  <c r="J515" i="7" s="1"/>
  <c r="F515" i="7"/>
  <c r="E515" i="7"/>
  <c r="H514" i="7"/>
  <c r="K514" i="7" s="1"/>
  <c r="G514" i="7"/>
  <c r="I514" i="7" s="1"/>
  <c r="J514" i="7" s="1"/>
  <c r="F514" i="7"/>
  <c r="E514" i="7"/>
  <c r="H513" i="7"/>
  <c r="K513" i="7" s="1"/>
  <c r="G513" i="7"/>
  <c r="I513" i="7" s="1"/>
  <c r="J513" i="7" s="1"/>
  <c r="F513" i="7"/>
  <c r="E513" i="7"/>
  <c r="F512" i="7"/>
  <c r="E512" i="7"/>
  <c r="H512" i="7"/>
  <c r="K512" i="7" s="1"/>
  <c r="G512" i="7"/>
  <c r="E511" i="7"/>
  <c r="H511" i="7"/>
  <c r="K511" i="7" s="1"/>
  <c r="G511" i="7"/>
  <c r="F511" i="7"/>
  <c r="G510" i="7"/>
  <c r="H510" i="7"/>
  <c r="K510" i="7" s="1"/>
  <c r="F510" i="7"/>
  <c r="E510" i="7"/>
  <c r="G509" i="7"/>
  <c r="F509" i="7"/>
  <c r="E509" i="7"/>
  <c r="H509" i="7"/>
  <c r="K509" i="7" s="1"/>
  <c r="F508" i="7"/>
  <c r="H508" i="7"/>
  <c r="K508" i="7" s="1"/>
  <c r="G508" i="7"/>
  <c r="E508" i="7"/>
  <c r="G507" i="7"/>
  <c r="E507" i="7"/>
  <c r="F507" i="7"/>
  <c r="H507" i="7"/>
  <c r="K507" i="7" s="1"/>
  <c r="F506" i="7"/>
  <c r="E506" i="7"/>
  <c r="G506" i="7"/>
  <c r="H506" i="7"/>
  <c r="K506" i="7" s="1"/>
  <c r="H505" i="7"/>
  <c r="K505" i="7" s="1"/>
  <c r="E505" i="7"/>
  <c r="F505" i="7"/>
  <c r="G505" i="7"/>
  <c r="I505" i="7" s="1"/>
  <c r="J505" i="7" s="1"/>
  <c r="F504" i="7"/>
  <c r="H504" i="7"/>
  <c r="K504" i="7" s="1"/>
  <c r="G504" i="7"/>
  <c r="I504" i="7" s="1"/>
  <c r="J504" i="7" s="1"/>
  <c r="E504" i="7"/>
  <c r="H503" i="7"/>
  <c r="K503" i="7" s="1"/>
  <c r="G503" i="7"/>
  <c r="E503" i="7"/>
  <c r="F503" i="7"/>
  <c r="H502" i="7"/>
  <c r="K502" i="7" s="1"/>
  <c r="G502" i="7"/>
  <c r="F502" i="7"/>
  <c r="E502" i="7"/>
  <c r="H501" i="7"/>
  <c r="K501" i="7" s="1"/>
  <c r="G501" i="7"/>
  <c r="E501" i="7"/>
  <c r="F501" i="7"/>
  <c r="H500" i="7"/>
  <c r="K500" i="7" s="1"/>
  <c r="G500" i="7"/>
  <c r="F500" i="7"/>
  <c r="E500" i="7"/>
  <c r="F499" i="7"/>
  <c r="E499" i="7"/>
  <c r="H499" i="7"/>
  <c r="K499" i="7" s="1"/>
  <c r="G499" i="7"/>
  <c r="G498" i="7"/>
  <c r="H498" i="7"/>
  <c r="K498" i="7" s="1"/>
  <c r="E498" i="7"/>
  <c r="F498" i="7"/>
  <c r="H497" i="7"/>
  <c r="K497" i="7" s="1"/>
  <c r="G497" i="7"/>
  <c r="F497" i="7"/>
  <c r="E497" i="7"/>
  <c r="H496" i="7"/>
  <c r="K496" i="7" s="1"/>
  <c r="G496" i="7"/>
  <c r="F496" i="7"/>
  <c r="E496" i="7"/>
  <c r="G495" i="7"/>
  <c r="H495" i="7"/>
  <c r="K495" i="7" s="1"/>
  <c r="F495" i="7"/>
  <c r="E495" i="7"/>
  <c r="H494" i="7"/>
  <c r="K494" i="7" s="1"/>
  <c r="G494" i="7"/>
  <c r="F494" i="7"/>
  <c r="E494" i="7"/>
  <c r="F493" i="7"/>
  <c r="E493" i="7"/>
  <c r="H493" i="7"/>
  <c r="K493" i="7" s="1"/>
  <c r="G493" i="7"/>
  <c r="I493" i="7" s="1"/>
  <c r="J493" i="7" s="1"/>
  <c r="F492" i="7"/>
  <c r="G492" i="7"/>
  <c r="H492" i="7"/>
  <c r="K492" i="7" s="1"/>
  <c r="E492" i="7"/>
  <c r="G491" i="7"/>
  <c r="F491" i="7"/>
  <c r="E491" i="7"/>
  <c r="H491" i="7"/>
  <c r="K491" i="7" s="1"/>
  <c r="H490" i="7"/>
  <c r="K490" i="7" s="1"/>
  <c r="G490" i="7"/>
  <c r="F490" i="7"/>
  <c r="E490" i="7"/>
  <c r="H489" i="7"/>
  <c r="K489" i="7" s="1"/>
  <c r="F489" i="7"/>
  <c r="G489" i="7"/>
  <c r="E489" i="7"/>
  <c r="H488" i="7"/>
  <c r="K488" i="7" s="1"/>
  <c r="G488" i="7"/>
  <c r="F488" i="7"/>
  <c r="E488" i="7"/>
  <c r="H487" i="7"/>
  <c r="K487" i="7" s="1"/>
  <c r="G487" i="7"/>
  <c r="F487" i="7"/>
  <c r="E487" i="7"/>
  <c r="H486" i="7"/>
  <c r="K486" i="7" s="1"/>
  <c r="G486" i="7"/>
  <c r="F486" i="7"/>
  <c r="E486" i="7"/>
  <c r="G485" i="7"/>
  <c r="H485" i="7"/>
  <c r="K485" i="7" s="1"/>
  <c r="F485" i="7"/>
  <c r="E485" i="7"/>
  <c r="E484" i="7"/>
  <c r="F484" i="7"/>
  <c r="G484" i="7"/>
  <c r="H484" i="7"/>
  <c r="K484" i="7" s="1"/>
  <c r="G483" i="7"/>
  <c r="F483" i="7"/>
  <c r="E483" i="7"/>
  <c r="H483" i="7"/>
  <c r="K483" i="7" s="1"/>
  <c r="F482" i="7"/>
  <c r="E482" i="7"/>
  <c r="H482" i="7"/>
  <c r="K482" i="7" s="1"/>
  <c r="G482" i="7"/>
  <c r="H481" i="7"/>
  <c r="K481" i="7" s="1"/>
  <c r="E481" i="7"/>
  <c r="F481" i="7"/>
  <c r="G481" i="7"/>
  <c r="I481" i="7" s="1"/>
  <c r="J481" i="7" s="1"/>
  <c r="E480" i="7"/>
  <c r="F480" i="7"/>
  <c r="G480" i="7"/>
  <c r="I480" i="7" s="1"/>
  <c r="J480" i="7" s="1"/>
  <c r="H480" i="7"/>
  <c r="K480" i="7" s="1"/>
  <c r="G479" i="7"/>
  <c r="I479" i="7" s="1"/>
  <c r="J479" i="7" s="1"/>
  <c r="H479" i="7"/>
  <c r="K479" i="7" s="1"/>
  <c r="E479" i="7"/>
  <c r="F479" i="7"/>
  <c r="H478" i="7"/>
  <c r="K478" i="7" s="1"/>
  <c r="G478" i="7"/>
  <c r="I478" i="7" s="1"/>
  <c r="J478" i="7" s="1"/>
  <c r="F478" i="7"/>
  <c r="E478" i="7"/>
  <c r="F477" i="7"/>
  <c r="E477" i="7"/>
  <c r="G477" i="7"/>
  <c r="I477" i="7" s="1"/>
  <c r="J477" i="7" s="1"/>
  <c r="H477" i="7"/>
  <c r="K477" i="7" s="1"/>
  <c r="F476" i="7"/>
  <c r="G476" i="7"/>
  <c r="I476" i="7" s="1"/>
  <c r="J476" i="7" s="1"/>
  <c r="H476" i="7"/>
  <c r="K476" i="7" s="1"/>
  <c r="E476" i="7"/>
  <c r="F475" i="7"/>
  <c r="G475" i="7"/>
  <c r="I475" i="7" s="1"/>
  <c r="J475" i="7" s="1"/>
  <c r="H475" i="7"/>
  <c r="K475" i="7" s="1"/>
  <c r="E475" i="7"/>
  <c r="H474" i="7"/>
  <c r="K474" i="7" s="1"/>
  <c r="G474" i="7"/>
  <c r="I474" i="7" s="1"/>
  <c r="J474" i="7" s="1"/>
  <c r="F474" i="7"/>
  <c r="E474" i="7"/>
  <c r="F473" i="7"/>
  <c r="H473" i="7"/>
  <c r="K473" i="7" s="1"/>
  <c r="E473" i="7"/>
  <c r="G473" i="7"/>
  <c r="I473" i="7" s="1"/>
  <c r="J473" i="7" s="1"/>
  <c r="E472" i="7"/>
  <c r="F472" i="7"/>
  <c r="H472" i="7"/>
  <c r="K472" i="7" s="1"/>
  <c r="G472" i="7"/>
  <c r="I472" i="7" s="1"/>
  <c r="J472" i="7" s="1"/>
  <c r="H471" i="7"/>
  <c r="K471" i="7" s="1"/>
  <c r="G471" i="7"/>
  <c r="I471" i="7" s="1"/>
  <c r="J471" i="7" s="1"/>
  <c r="F471" i="7"/>
  <c r="E471" i="7"/>
  <c r="G470" i="7"/>
  <c r="F470" i="7"/>
  <c r="E470" i="7"/>
  <c r="H470" i="7"/>
  <c r="K470" i="7" s="1"/>
  <c r="H469" i="7"/>
  <c r="K469" i="7" s="1"/>
  <c r="E469" i="7"/>
  <c r="G469" i="7"/>
  <c r="I469" i="7" s="1"/>
  <c r="J469" i="7" s="1"/>
  <c r="F469" i="7"/>
  <c r="H468" i="7"/>
  <c r="K468" i="7" s="1"/>
  <c r="G468" i="7"/>
  <c r="I468" i="7" s="1"/>
  <c r="J468" i="7" s="1"/>
  <c r="F468" i="7"/>
  <c r="E468" i="7"/>
  <c r="H467" i="7"/>
  <c r="K467" i="7" s="1"/>
  <c r="F467" i="7"/>
  <c r="E467" i="7"/>
  <c r="G467" i="7"/>
  <c r="I467" i="7" s="1"/>
  <c r="J467" i="7" s="1"/>
  <c r="G466" i="7"/>
  <c r="I466" i="7" s="1"/>
  <c r="J466" i="7" s="1"/>
  <c r="F466" i="7"/>
  <c r="E466" i="7"/>
  <c r="H466" i="7"/>
  <c r="K466" i="7" s="1"/>
  <c r="H465" i="7"/>
  <c r="K465" i="7" s="1"/>
  <c r="F465" i="7"/>
  <c r="E465" i="7"/>
  <c r="G465" i="7"/>
  <c r="I465" i="7" s="1"/>
  <c r="J465" i="7" s="1"/>
  <c r="H464" i="7"/>
  <c r="K464" i="7" s="1"/>
  <c r="G464" i="7"/>
  <c r="I464" i="7" s="1"/>
  <c r="J464" i="7" s="1"/>
  <c r="F464" i="7"/>
  <c r="E464" i="7"/>
  <c r="E463" i="7"/>
  <c r="F463" i="7"/>
  <c r="H463" i="7"/>
  <c r="K463" i="7" s="1"/>
  <c r="G463" i="7"/>
  <c r="I463" i="7" s="1"/>
  <c r="J463" i="7" s="1"/>
  <c r="H462" i="7"/>
  <c r="K462" i="7" s="1"/>
  <c r="F462" i="7"/>
  <c r="E462" i="7"/>
  <c r="G462" i="7"/>
  <c r="I462" i="7" s="1"/>
  <c r="J462" i="7" s="1"/>
  <c r="E461" i="7"/>
  <c r="F461" i="7"/>
  <c r="H461" i="7"/>
  <c r="K461" i="7" s="1"/>
  <c r="G461" i="7"/>
  <c r="I461" i="7" s="1"/>
  <c r="J461" i="7" s="1"/>
  <c r="G460" i="7"/>
  <c r="I460" i="7" s="1"/>
  <c r="J460" i="7" s="1"/>
  <c r="F460" i="7"/>
  <c r="E460" i="7"/>
  <c r="H460" i="7"/>
  <c r="K460" i="7" s="1"/>
  <c r="H459" i="7"/>
  <c r="K459" i="7" s="1"/>
  <c r="G459" i="7"/>
  <c r="I459" i="7" s="1"/>
  <c r="J459" i="7" s="1"/>
  <c r="F459" i="7"/>
  <c r="E459" i="7"/>
  <c r="H458" i="7"/>
  <c r="K458" i="7" s="1"/>
  <c r="G458" i="7"/>
  <c r="F458" i="7"/>
  <c r="E458" i="7"/>
  <c r="H457" i="7"/>
  <c r="K457" i="7" s="1"/>
  <c r="G457" i="7"/>
  <c r="I457" i="7" s="1"/>
  <c r="J457" i="7" s="1"/>
  <c r="F457" i="7"/>
  <c r="G456" i="7"/>
  <c r="I456" i="7" s="1"/>
  <c r="J456" i="7" s="1"/>
  <c r="H456" i="7"/>
  <c r="K456" i="7" s="1"/>
  <c r="F456" i="7"/>
  <c r="H455" i="7"/>
  <c r="K455" i="7" s="1"/>
  <c r="G455" i="7"/>
  <c r="I455" i="7" s="1"/>
  <c r="J455" i="7" s="1"/>
  <c r="F455" i="7"/>
  <c r="H454" i="7"/>
  <c r="K454" i="7" s="1"/>
  <c r="G454" i="7"/>
  <c r="I454" i="7" s="1"/>
  <c r="J454" i="7" s="1"/>
  <c r="F454" i="7"/>
  <c r="H453" i="7"/>
  <c r="K453" i="7" s="1"/>
  <c r="G453" i="7"/>
  <c r="I453" i="7" s="1"/>
  <c r="J453" i="7" s="1"/>
  <c r="F453" i="7"/>
  <c r="H452" i="7"/>
  <c r="K452" i="7" s="1"/>
  <c r="G452" i="7"/>
  <c r="I452" i="7" s="1"/>
  <c r="J452" i="7" s="1"/>
  <c r="F452" i="7"/>
  <c r="G451" i="7"/>
  <c r="I451" i="7" s="1"/>
  <c r="J451" i="7" s="1"/>
  <c r="F451" i="7"/>
  <c r="H451" i="7"/>
  <c r="K451" i="7" s="1"/>
  <c r="H450" i="7"/>
  <c r="K450" i="7" s="1"/>
  <c r="G450" i="7"/>
  <c r="I450" i="7" s="1"/>
  <c r="J450" i="7" s="1"/>
  <c r="F450" i="7"/>
  <c r="G449" i="7"/>
  <c r="I449" i="7" s="1"/>
  <c r="J449" i="7" s="1"/>
  <c r="F449" i="7"/>
  <c r="H449" i="7"/>
  <c r="K449" i="7" s="1"/>
  <c r="H448" i="7"/>
  <c r="K448" i="7" s="1"/>
  <c r="G448" i="7"/>
  <c r="I448" i="7" s="1"/>
  <c r="J448" i="7" s="1"/>
  <c r="F448" i="7"/>
  <c r="H447" i="7"/>
  <c r="K447" i="7" s="1"/>
  <c r="G447" i="7"/>
  <c r="I447" i="7" s="1"/>
  <c r="J447" i="7" s="1"/>
  <c r="F447" i="7"/>
  <c r="H446" i="7"/>
  <c r="K446" i="7" s="1"/>
  <c r="G446" i="7"/>
  <c r="F446" i="7"/>
  <c r="H445" i="7"/>
  <c r="K445" i="7" s="1"/>
  <c r="G445" i="7"/>
  <c r="I445" i="7" s="1"/>
  <c r="J445" i="7" s="1"/>
  <c r="F445" i="7"/>
  <c r="H444" i="7"/>
  <c r="K444" i="7" s="1"/>
  <c r="G444" i="7"/>
  <c r="I444" i="7" s="1"/>
  <c r="J444" i="7" s="1"/>
  <c r="F444" i="7"/>
  <c r="H443" i="7"/>
  <c r="K443" i="7" s="1"/>
  <c r="F443" i="7"/>
  <c r="G443" i="7"/>
  <c r="I443" i="7" s="1"/>
  <c r="J443" i="7" s="1"/>
  <c r="H442" i="7"/>
  <c r="K442" i="7" s="1"/>
  <c r="G442" i="7"/>
  <c r="I442" i="7" s="1"/>
  <c r="J442" i="7" s="1"/>
  <c r="F442" i="7"/>
  <c r="G441" i="7"/>
  <c r="I441" i="7" s="1"/>
  <c r="J441" i="7" s="1"/>
  <c r="F441" i="7"/>
  <c r="H441" i="7"/>
  <c r="K441" i="7" s="1"/>
  <c r="F440" i="7"/>
  <c r="G440" i="7"/>
  <c r="I440" i="7" s="1"/>
  <c r="J440" i="7" s="1"/>
  <c r="H440" i="7"/>
  <c r="K440" i="7" s="1"/>
  <c r="F439" i="7"/>
  <c r="G439" i="7"/>
  <c r="I439" i="7" s="1"/>
  <c r="J439" i="7" s="1"/>
  <c r="H439" i="7"/>
  <c r="K439" i="7" s="1"/>
  <c r="G438" i="7"/>
  <c r="I438" i="7" s="1"/>
  <c r="J438" i="7" s="1"/>
  <c r="H438" i="7"/>
  <c r="K438" i="7" s="1"/>
  <c r="F438" i="7"/>
  <c r="G437" i="7"/>
  <c r="I437" i="7" s="1"/>
  <c r="J437" i="7" s="1"/>
  <c r="F437" i="7"/>
  <c r="H437" i="7"/>
  <c r="K437" i="7" s="1"/>
  <c r="G436" i="7"/>
  <c r="I436" i="7" s="1"/>
  <c r="J436" i="7" s="1"/>
  <c r="F436" i="7"/>
  <c r="H436" i="7"/>
  <c r="K436" i="7" s="1"/>
  <c r="G435" i="7"/>
  <c r="I435" i="7" s="1"/>
  <c r="J435" i="7" s="1"/>
  <c r="F435" i="7"/>
  <c r="H435" i="7"/>
  <c r="K435" i="7" s="1"/>
  <c r="H434" i="7"/>
  <c r="K434" i="7" s="1"/>
  <c r="F434" i="7"/>
  <c r="G434" i="7"/>
  <c r="E433" i="7"/>
  <c r="H433" i="7"/>
  <c r="K433" i="7" s="1"/>
  <c r="G433" i="7"/>
  <c r="I433" i="7" s="1"/>
  <c r="J433" i="7" s="1"/>
  <c r="F433" i="7"/>
  <c r="H432" i="7"/>
  <c r="K432" i="7" s="1"/>
  <c r="G432" i="7"/>
  <c r="I432" i="7" s="1"/>
  <c r="J432" i="7" s="1"/>
  <c r="F432" i="7"/>
  <c r="E432" i="7"/>
  <c r="F431" i="7"/>
  <c r="E431" i="7"/>
  <c r="G431" i="7"/>
  <c r="I431" i="7" s="1"/>
  <c r="J431" i="7" s="1"/>
  <c r="H431" i="7"/>
  <c r="K431" i="7" s="1"/>
  <c r="E430" i="7"/>
  <c r="G430" i="7"/>
  <c r="I430" i="7" s="1"/>
  <c r="J430" i="7" s="1"/>
  <c r="H430" i="7"/>
  <c r="K430" i="7" s="1"/>
  <c r="F430" i="7"/>
  <c r="H429" i="7"/>
  <c r="K429" i="7" s="1"/>
  <c r="E429" i="7"/>
  <c r="G429" i="7"/>
  <c r="I429" i="7" s="1"/>
  <c r="J429" i="7" s="1"/>
  <c r="F429" i="7"/>
  <c r="E428" i="7"/>
  <c r="G428" i="7"/>
  <c r="I428" i="7" s="1"/>
  <c r="J428" i="7" s="1"/>
  <c r="H428" i="7"/>
  <c r="K428" i="7" s="1"/>
  <c r="F428" i="7"/>
  <c r="F427" i="7"/>
  <c r="G427" i="7"/>
  <c r="I427" i="7" s="1"/>
  <c r="J427" i="7" s="1"/>
  <c r="H427" i="7"/>
  <c r="K427" i="7" s="1"/>
  <c r="E427" i="7"/>
  <c r="F426" i="7"/>
  <c r="H426" i="7"/>
  <c r="K426" i="7" s="1"/>
  <c r="G426" i="7"/>
  <c r="I426" i="7" s="1"/>
  <c r="J426" i="7" s="1"/>
  <c r="E426" i="7"/>
  <c r="G425" i="7"/>
  <c r="I425" i="7" s="1"/>
  <c r="J425" i="7" s="1"/>
  <c r="H425" i="7"/>
  <c r="K425" i="7" s="1"/>
  <c r="E425" i="7"/>
  <c r="F425" i="7"/>
  <c r="H424" i="7"/>
  <c r="K424" i="7" s="1"/>
  <c r="F424" i="7"/>
  <c r="E424" i="7"/>
  <c r="H423" i="7"/>
  <c r="K423" i="7" s="1"/>
  <c r="E423" i="7"/>
  <c r="F423" i="7"/>
  <c r="G423" i="7"/>
  <c r="I423" i="7" s="1"/>
  <c r="J423" i="7" s="1"/>
  <c r="G422" i="7"/>
  <c r="I422" i="7" s="1"/>
  <c r="J422" i="7" s="1"/>
  <c r="E422" i="7"/>
  <c r="F422" i="7"/>
  <c r="H422" i="7"/>
  <c r="K422" i="7" s="1"/>
  <c r="G421" i="7"/>
  <c r="I421" i="7" s="1"/>
  <c r="J421" i="7" s="1"/>
  <c r="F421" i="7"/>
  <c r="E421" i="7"/>
  <c r="H421" i="7"/>
  <c r="K421" i="7" s="1"/>
  <c r="F420" i="7"/>
  <c r="G420" i="7"/>
  <c r="I420" i="7" s="1"/>
  <c r="J420" i="7" s="1"/>
  <c r="E420" i="7"/>
  <c r="H420" i="7"/>
  <c r="K420" i="7" s="1"/>
  <c r="G419" i="7"/>
  <c r="I419" i="7" s="1"/>
  <c r="J419" i="7" s="1"/>
  <c r="E419" i="7"/>
  <c r="F419" i="7"/>
  <c r="H419" i="7"/>
  <c r="K419" i="7" s="1"/>
  <c r="E417" i="7"/>
  <c r="F417" i="7"/>
  <c r="G417" i="7"/>
  <c r="I417" i="7" s="1"/>
  <c r="J417" i="7" s="1"/>
  <c r="H417" i="7"/>
  <c r="K417" i="7" s="1"/>
  <c r="E416" i="7"/>
  <c r="F416" i="7"/>
  <c r="H416" i="7"/>
  <c r="K416" i="7" s="1"/>
  <c r="G416" i="7"/>
  <c r="I416" i="7" s="1"/>
  <c r="J416" i="7" s="1"/>
  <c r="E415" i="7"/>
  <c r="G415" i="7"/>
  <c r="I415" i="7" s="1"/>
  <c r="J415" i="7" s="1"/>
  <c r="H415" i="7"/>
  <c r="K415" i="7" s="1"/>
  <c r="F415" i="7"/>
  <c r="E414" i="7"/>
  <c r="G414" i="7"/>
  <c r="I414" i="7" s="1"/>
  <c r="J414" i="7" s="1"/>
  <c r="H414" i="7"/>
  <c r="K414" i="7" s="1"/>
  <c r="F414" i="7"/>
  <c r="G413" i="7"/>
  <c r="I413" i="7" s="1"/>
  <c r="J413" i="7" s="1"/>
  <c r="F413" i="7"/>
  <c r="E413" i="7"/>
  <c r="H413" i="7"/>
  <c r="K413" i="7" s="1"/>
  <c r="H412" i="7"/>
  <c r="K412" i="7" s="1"/>
  <c r="E412" i="7"/>
  <c r="F412" i="7"/>
  <c r="G412" i="7"/>
  <c r="I412" i="7" s="1"/>
  <c r="J412" i="7" s="1"/>
  <c r="F411" i="7"/>
  <c r="H411" i="7"/>
  <c r="K411" i="7" s="1"/>
  <c r="G411" i="7"/>
  <c r="I411" i="7" s="1"/>
  <c r="J411" i="7" s="1"/>
  <c r="E411" i="7"/>
  <c r="H410" i="7"/>
  <c r="K410" i="7" s="1"/>
  <c r="G410" i="7"/>
  <c r="I410" i="7" s="1"/>
  <c r="J410" i="7" s="1"/>
  <c r="F410" i="7"/>
  <c r="E410" i="7"/>
  <c r="H409" i="7"/>
  <c r="K409" i="7" s="1"/>
  <c r="G409" i="7"/>
  <c r="I409" i="7" s="1"/>
  <c r="J409" i="7" s="1"/>
  <c r="E409" i="7"/>
  <c r="F409" i="7"/>
  <c r="H408" i="7"/>
  <c r="K408" i="7" s="1"/>
  <c r="G408" i="7"/>
  <c r="I408" i="7" s="1"/>
  <c r="J408" i="7" s="1"/>
  <c r="F408" i="7"/>
  <c r="E408" i="7"/>
  <c r="G407" i="7"/>
  <c r="I407" i="7" s="1"/>
  <c r="J407" i="7" s="1"/>
  <c r="F407" i="7"/>
  <c r="E407" i="7"/>
  <c r="H407" i="7"/>
  <c r="K407" i="7" s="1"/>
  <c r="H406" i="7"/>
  <c r="K406" i="7" s="1"/>
  <c r="G406" i="7"/>
  <c r="I406" i="7" s="1"/>
  <c r="J406" i="7" s="1"/>
  <c r="F406" i="7"/>
  <c r="E406" i="7"/>
  <c r="H405" i="7"/>
  <c r="K405" i="7" s="1"/>
  <c r="G405" i="7"/>
  <c r="I405" i="7" s="1"/>
  <c r="J405" i="7" s="1"/>
  <c r="E405" i="7"/>
  <c r="F405" i="7"/>
  <c r="H404" i="7"/>
  <c r="K404" i="7" s="1"/>
  <c r="G404" i="7"/>
  <c r="I404" i="7" s="1"/>
  <c r="J404" i="7" s="1"/>
  <c r="F404" i="7"/>
  <c r="E404" i="7"/>
  <c r="H403" i="7"/>
  <c r="K403" i="7" s="1"/>
  <c r="G403" i="7"/>
  <c r="I403" i="7" s="1"/>
  <c r="J403" i="7" s="1"/>
  <c r="E403" i="7"/>
  <c r="F403" i="7"/>
  <c r="E402" i="7"/>
  <c r="F402" i="7"/>
  <c r="G402" i="7"/>
  <c r="I402" i="7" s="1"/>
  <c r="J402" i="7" s="1"/>
  <c r="H402" i="7"/>
  <c r="K402" i="7" s="1"/>
  <c r="G401" i="7"/>
  <c r="I401" i="7" s="1"/>
  <c r="J401" i="7" s="1"/>
  <c r="H401" i="7"/>
  <c r="K401" i="7" s="1"/>
  <c r="F401" i="7"/>
  <c r="E401" i="7"/>
  <c r="G400" i="7"/>
  <c r="I400" i="7" s="1"/>
  <c r="J400" i="7" s="1"/>
  <c r="E400" i="7"/>
  <c r="F400" i="7"/>
  <c r="H400" i="7"/>
  <c r="K400" i="7" s="1"/>
  <c r="E399" i="7"/>
  <c r="F399" i="7"/>
  <c r="G399" i="7"/>
  <c r="I399" i="7" s="1"/>
  <c r="J399" i="7" s="1"/>
  <c r="H399" i="7"/>
  <c r="K399" i="7" s="1"/>
  <c r="E398" i="7"/>
  <c r="F398" i="7"/>
  <c r="G398" i="7"/>
  <c r="I398" i="7" s="1"/>
  <c r="J398" i="7" s="1"/>
  <c r="H398" i="7"/>
  <c r="K398" i="7" s="1"/>
  <c r="E397" i="7"/>
  <c r="F397" i="7"/>
  <c r="H397" i="7"/>
  <c r="K397" i="7" s="1"/>
  <c r="G397" i="7"/>
  <c r="I397" i="7" s="1"/>
  <c r="J397" i="7" s="1"/>
  <c r="G396" i="7"/>
  <c r="I396" i="7" s="1"/>
  <c r="J396" i="7" s="1"/>
  <c r="H396" i="7"/>
  <c r="K396" i="7" s="1"/>
  <c r="F396" i="7"/>
  <c r="E396" i="7"/>
  <c r="G395" i="7"/>
  <c r="I395" i="7" s="1"/>
  <c r="J395" i="7" s="1"/>
  <c r="F395" i="7"/>
  <c r="E395" i="7"/>
  <c r="H395" i="7"/>
  <c r="K395" i="7" s="1"/>
  <c r="F394" i="7"/>
  <c r="G394" i="7"/>
  <c r="I394" i="7" s="1"/>
  <c r="J394" i="7" s="1"/>
  <c r="H394" i="7"/>
  <c r="K394" i="7" s="1"/>
  <c r="E394" i="7"/>
  <c r="G393" i="7"/>
  <c r="I393" i="7" s="1"/>
  <c r="J393" i="7" s="1"/>
  <c r="F393" i="7"/>
  <c r="E393" i="7"/>
  <c r="H393" i="7"/>
  <c r="K393" i="7" s="1"/>
  <c r="H392" i="7"/>
  <c r="K392" i="7" s="1"/>
  <c r="G392" i="7"/>
  <c r="I392" i="7" s="1"/>
  <c r="J392" i="7" s="1"/>
  <c r="F392" i="7"/>
  <c r="E392" i="7"/>
  <c r="F391" i="7"/>
  <c r="E391" i="7"/>
  <c r="H391" i="7"/>
  <c r="K391" i="7" s="1"/>
  <c r="G391" i="7"/>
  <c r="I391" i="7" s="1"/>
  <c r="J391" i="7" s="1"/>
  <c r="E390" i="7"/>
  <c r="F390" i="7"/>
  <c r="H390" i="7"/>
  <c r="K390" i="7" s="1"/>
  <c r="G390" i="7"/>
  <c r="I390" i="7" s="1"/>
  <c r="J390" i="7" s="1"/>
  <c r="H389" i="7"/>
  <c r="K389" i="7" s="1"/>
  <c r="G389" i="7"/>
  <c r="I389" i="7" s="1"/>
  <c r="J389" i="7" s="1"/>
  <c r="F389" i="7"/>
  <c r="E389" i="7"/>
  <c r="G388" i="7"/>
  <c r="I388" i="7" s="1"/>
  <c r="J388" i="7" s="1"/>
  <c r="H388" i="7"/>
  <c r="K388" i="7" s="1"/>
  <c r="F388" i="7"/>
  <c r="E388" i="7"/>
  <c r="H387" i="7"/>
  <c r="K387" i="7" s="1"/>
  <c r="F387" i="7"/>
  <c r="G387" i="7"/>
  <c r="I387" i="7" s="1"/>
  <c r="J387" i="7" s="1"/>
  <c r="E387" i="7"/>
  <c r="E386" i="7"/>
  <c r="F386" i="7"/>
  <c r="G386" i="7"/>
  <c r="I386" i="7" s="1"/>
  <c r="J386" i="7" s="1"/>
  <c r="H386" i="7"/>
  <c r="K386" i="7" s="1"/>
  <c r="F385" i="7"/>
  <c r="G385" i="7"/>
  <c r="I385" i="7" s="1"/>
  <c r="J385" i="7" s="1"/>
  <c r="H385" i="7"/>
  <c r="K385" i="7" s="1"/>
  <c r="E385" i="7"/>
  <c r="F384" i="7"/>
  <c r="H384" i="7"/>
  <c r="K384" i="7" s="1"/>
  <c r="G384" i="7"/>
  <c r="I384" i="7" s="1"/>
  <c r="J384" i="7" s="1"/>
  <c r="E384" i="7"/>
  <c r="H383" i="7"/>
  <c r="K383" i="7" s="1"/>
  <c r="E383" i="7"/>
  <c r="F383" i="7"/>
  <c r="G383" i="7"/>
  <c r="I383" i="7" s="1"/>
  <c r="J383" i="7" s="1"/>
  <c r="E382" i="7"/>
  <c r="F382" i="7"/>
  <c r="G382" i="7"/>
  <c r="I382" i="7" s="1"/>
  <c r="J382" i="7" s="1"/>
  <c r="H382" i="7"/>
  <c r="K382" i="7" s="1"/>
  <c r="G381" i="7"/>
  <c r="I381" i="7" s="1"/>
  <c r="J381" i="7" s="1"/>
  <c r="H381" i="7"/>
  <c r="K381" i="7" s="1"/>
  <c r="E381" i="7"/>
  <c r="F381" i="7"/>
  <c r="E380" i="7"/>
  <c r="F380" i="7"/>
  <c r="H380" i="7"/>
  <c r="K380" i="7" s="1"/>
  <c r="G380" i="7"/>
  <c r="I380" i="7" s="1"/>
  <c r="J380" i="7" s="1"/>
  <c r="G379" i="7"/>
  <c r="I379" i="7" s="1"/>
  <c r="J379" i="7" s="1"/>
  <c r="H379" i="7"/>
  <c r="K379" i="7" s="1"/>
  <c r="F379" i="7"/>
  <c r="E379" i="7"/>
  <c r="H378" i="7"/>
  <c r="K378" i="7" s="1"/>
  <c r="G378" i="7"/>
  <c r="I378" i="7" s="1"/>
  <c r="J378" i="7" s="1"/>
  <c r="F378" i="7"/>
  <c r="E378" i="7"/>
  <c r="H377" i="7"/>
  <c r="K377" i="7" s="1"/>
  <c r="G377" i="7"/>
  <c r="I377" i="7" s="1"/>
  <c r="J377" i="7" s="1"/>
  <c r="F377" i="7"/>
  <c r="E377" i="7"/>
  <c r="F376" i="7"/>
  <c r="E376" i="7"/>
  <c r="H376" i="7"/>
  <c r="K376" i="7" s="1"/>
  <c r="G376" i="7"/>
  <c r="E375" i="7"/>
  <c r="F375" i="7"/>
  <c r="G375" i="7"/>
  <c r="H375" i="7"/>
  <c r="K375" i="7" s="1"/>
  <c r="E374" i="7"/>
  <c r="F374" i="7"/>
  <c r="G374" i="7"/>
  <c r="H374" i="7"/>
  <c r="K374" i="7" s="1"/>
  <c r="H373" i="7"/>
  <c r="K373" i="7" s="1"/>
  <c r="G373" i="7"/>
  <c r="I373" i="7" s="1"/>
  <c r="J373" i="7" s="1"/>
  <c r="F373" i="7"/>
  <c r="E373" i="7"/>
  <c r="H372" i="7"/>
  <c r="K372" i="7" s="1"/>
  <c r="G372" i="7"/>
  <c r="I372" i="7" s="1"/>
  <c r="J372" i="7" s="1"/>
  <c r="F372" i="7"/>
  <c r="E372" i="7"/>
  <c r="H371" i="7"/>
  <c r="K371" i="7" s="1"/>
  <c r="F371" i="7"/>
  <c r="E371" i="7"/>
  <c r="G371" i="7"/>
  <c r="I371" i="7" s="1"/>
  <c r="J371" i="7" s="1"/>
  <c r="H370" i="7"/>
  <c r="K370" i="7" s="1"/>
  <c r="G370" i="7"/>
  <c r="I370" i="7" s="1"/>
  <c r="J370" i="7" s="1"/>
  <c r="F370" i="7"/>
  <c r="E370" i="7"/>
  <c r="H369" i="7"/>
  <c r="K369" i="7" s="1"/>
  <c r="G369" i="7"/>
  <c r="I369" i="7" s="1"/>
  <c r="J369" i="7" s="1"/>
  <c r="F369" i="7"/>
  <c r="E369" i="7"/>
  <c r="G368" i="7"/>
  <c r="I368" i="7" s="1"/>
  <c r="J368" i="7" s="1"/>
  <c r="F368" i="7"/>
  <c r="E368" i="7"/>
  <c r="H368" i="7"/>
  <c r="K368" i="7" s="1"/>
  <c r="G367" i="7"/>
  <c r="F367" i="7"/>
  <c r="E367" i="7"/>
  <c r="H367" i="7"/>
  <c r="K367" i="7" s="1"/>
  <c r="F366" i="7"/>
  <c r="G366" i="7"/>
  <c r="H366" i="7"/>
  <c r="K366" i="7" s="1"/>
  <c r="E366" i="7"/>
  <c r="H365" i="7"/>
  <c r="K365" i="7" s="1"/>
  <c r="G365" i="7"/>
  <c r="F365" i="7"/>
  <c r="E365" i="7"/>
  <c r="H364" i="7"/>
  <c r="K364" i="7" s="1"/>
  <c r="G364" i="7"/>
  <c r="F364" i="7"/>
  <c r="E364" i="7"/>
  <c r="H363" i="7"/>
  <c r="K363" i="7" s="1"/>
  <c r="G363" i="7"/>
  <c r="E363" i="7"/>
  <c r="F363" i="7"/>
  <c r="H362" i="7"/>
  <c r="K362" i="7" s="1"/>
  <c r="G362" i="7"/>
  <c r="F362" i="7"/>
  <c r="E362" i="7"/>
  <c r="E361" i="7"/>
  <c r="F361" i="7"/>
  <c r="H361" i="7"/>
  <c r="K361" i="7" s="1"/>
  <c r="G361" i="7"/>
  <c r="I361" i="7" s="1"/>
  <c r="J361" i="7" s="1"/>
  <c r="E360" i="7"/>
  <c r="F360" i="7"/>
  <c r="G360" i="7"/>
  <c r="I360" i="7" s="1"/>
  <c r="J360" i="7" s="1"/>
  <c r="H360" i="7"/>
  <c r="K360" i="7" s="1"/>
  <c r="E359" i="7"/>
  <c r="F359" i="7"/>
  <c r="G359" i="7"/>
  <c r="I359" i="7" s="1"/>
  <c r="J359" i="7" s="1"/>
  <c r="H359" i="7"/>
  <c r="K359" i="7" s="1"/>
  <c r="E358" i="7"/>
  <c r="F358" i="7"/>
  <c r="G358" i="7"/>
  <c r="I358" i="7" s="1"/>
  <c r="J358" i="7" s="1"/>
  <c r="H358" i="7"/>
  <c r="K358" i="7" s="1"/>
  <c r="F357" i="7"/>
  <c r="E357" i="7"/>
  <c r="G357" i="7"/>
  <c r="I357" i="7" s="1"/>
  <c r="J357" i="7" s="1"/>
  <c r="H357" i="7"/>
  <c r="K357" i="7" s="1"/>
  <c r="F356" i="7"/>
  <c r="G356" i="7"/>
  <c r="I356" i="7" s="1"/>
  <c r="J356" i="7" s="1"/>
  <c r="E356" i="7"/>
  <c r="H356" i="7"/>
  <c r="K356" i="7" s="1"/>
  <c r="G355" i="7"/>
  <c r="I355" i="7" s="1"/>
  <c r="J355" i="7" s="1"/>
  <c r="F355" i="7"/>
  <c r="E355" i="7"/>
  <c r="H355" i="7"/>
  <c r="K355" i="7" s="1"/>
  <c r="H354" i="7"/>
  <c r="K354" i="7" s="1"/>
  <c r="G354" i="7"/>
  <c r="I354" i="7" s="1"/>
  <c r="J354" i="7" s="1"/>
  <c r="F354" i="7"/>
  <c r="E354" i="7"/>
  <c r="H353" i="7"/>
  <c r="K353" i="7" s="1"/>
  <c r="G353" i="7"/>
  <c r="I353" i="7" s="1"/>
  <c r="J353" i="7" s="1"/>
  <c r="F353" i="7"/>
  <c r="E353" i="7"/>
  <c r="E352" i="7"/>
  <c r="H352" i="7"/>
  <c r="K352" i="7" s="1"/>
  <c r="G352" i="7"/>
  <c r="I352" i="7" s="1"/>
  <c r="J352" i="7" s="1"/>
  <c r="F352" i="7"/>
  <c r="E351" i="7"/>
  <c r="G351" i="7"/>
  <c r="I351" i="7" s="1"/>
  <c r="J351" i="7" s="1"/>
  <c r="F351" i="7"/>
  <c r="H351" i="7"/>
  <c r="K351" i="7" s="1"/>
  <c r="G350" i="7"/>
  <c r="I350" i="7" s="1"/>
  <c r="J350" i="7" s="1"/>
  <c r="F350" i="7"/>
  <c r="E350" i="7"/>
  <c r="H350" i="7"/>
  <c r="K350" i="7" s="1"/>
  <c r="H349" i="7"/>
  <c r="K349" i="7" s="1"/>
  <c r="G349" i="7"/>
  <c r="I349" i="7" s="1"/>
  <c r="J349" i="7" s="1"/>
  <c r="E349" i="7"/>
  <c r="F349" i="7"/>
  <c r="H348" i="7"/>
  <c r="K348" i="7" s="1"/>
  <c r="G348" i="7"/>
  <c r="I348" i="7" s="1"/>
  <c r="J348" i="7" s="1"/>
  <c r="F348" i="7"/>
  <c r="E348" i="7"/>
  <c r="G347" i="7"/>
  <c r="I347" i="7" s="1"/>
  <c r="J347" i="7" s="1"/>
  <c r="E347" i="7"/>
  <c r="F347" i="7"/>
  <c r="H347" i="7"/>
  <c r="K347" i="7" s="1"/>
  <c r="G346" i="7"/>
  <c r="I346" i="7" s="1"/>
  <c r="J346" i="7" s="1"/>
  <c r="F346" i="7"/>
  <c r="H346" i="7"/>
  <c r="K346" i="7" s="1"/>
  <c r="E346" i="7"/>
  <c r="H345" i="7"/>
  <c r="K345" i="7" s="1"/>
  <c r="E345" i="7"/>
  <c r="F345" i="7"/>
  <c r="G345" i="7"/>
  <c r="G344" i="7"/>
  <c r="E344" i="7"/>
  <c r="H344" i="7"/>
  <c r="K344" i="7" s="1"/>
  <c r="F344" i="7"/>
  <c r="G343" i="7"/>
  <c r="F343" i="7"/>
  <c r="E343" i="7"/>
  <c r="H343" i="7"/>
  <c r="K343" i="7" s="1"/>
  <c r="H342" i="7"/>
  <c r="K342" i="7" s="1"/>
  <c r="E342" i="7"/>
  <c r="G342" i="7"/>
  <c r="F342" i="7"/>
  <c r="F341" i="7"/>
  <c r="E341" i="7"/>
  <c r="H341" i="7"/>
  <c r="K341" i="7" s="1"/>
  <c r="G341" i="7"/>
  <c r="H340" i="7"/>
  <c r="K340" i="7" s="1"/>
  <c r="G340" i="7"/>
  <c r="F340" i="7"/>
  <c r="E340" i="7"/>
  <c r="G339" i="7"/>
  <c r="E339" i="7"/>
  <c r="F339" i="7"/>
  <c r="H339" i="7"/>
  <c r="K339" i="7" s="1"/>
  <c r="H338" i="7"/>
  <c r="K338" i="7" s="1"/>
  <c r="E338" i="7"/>
  <c r="G338" i="7"/>
  <c r="F338" i="7"/>
  <c r="F337" i="7"/>
  <c r="H337" i="7"/>
  <c r="K337" i="7" s="1"/>
  <c r="E337" i="7"/>
  <c r="G337" i="7"/>
  <c r="I337" i="7" s="1"/>
  <c r="J337" i="7" s="1"/>
  <c r="E336" i="7"/>
  <c r="G336" i="7"/>
  <c r="I336" i="7" s="1"/>
  <c r="J336" i="7" s="1"/>
  <c r="H336" i="7"/>
  <c r="K336" i="7" s="1"/>
  <c r="F336" i="7"/>
  <c r="E335" i="7"/>
  <c r="H335" i="7"/>
  <c r="K335" i="7" s="1"/>
  <c r="G335" i="7"/>
  <c r="I335" i="7" s="1"/>
  <c r="J335" i="7" s="1"/>
  <c r="F335" i="7"/>
  <c r="E334" i="7"/>
  <c r="F334" i="7"/>
  <c r="H334" i="7"/>
  <c r="K334" i="7" s="1"/>
  <c r="G334" i="7"/>
  <c r="I334" i="7" s="1"/>
  <c r="J334" i="7" s="1"/>
  <c r="G333" i="7"/>
  <c r="I333" i="7" s="1"/>
  <c r="J333" i="7" s="1"/>
  <c r="E333" i="7"/>
  <c r="H333" i="7"/>
  <c r="K333" i="7" s="1"/>
  <c r="F333" i="7"/>
  <c r="G332" i="7"/>
  <c r="I332" i="7" s="1"/>
  <c r="J332" i="7" s="1"/>
  <c r="E332" i="7"/>
  <c r="F332" i="7"/>
  <c r="H332" i="7"/>
  <c r="K332" i="7" s="1"/>
  <c r="E331" i="7"/>
  <c r="H331" i="7"/>
  <c r="K331" i="7" s="1"/>
  <c r="F331" i="7"/>
  <c r="G331" i="7"/>
  <c r="I331" i="7" s="1"/>
  <c r="J331" i="7" s="1"/>
  <c r="F330" i="7"/>
  <c r="E330" i="7"/>
  <c r="H330" i="7"/>
  <c r="K330" i="7" s="1"/>
  <c r="G330" i="7"/>
  <c r="I330" i="7" s="1"/>
  <c r="J330" i="7" s="1"/>
  <c r="E329" i="7"/>
  <c r="G329" i="7"/>
  <c r="I329" i="7" s="1"/>
  <c r="J329" i="7" s="1"/>
  <c r="H329" i="7"/>
  <c r="K329" i="7" s="1"/>
  <c r="F329" i="7"/>
  <c r="F328" i="7"/>
  <c r="G328" i="7"/>
  <c r="I328" i="7" s="1"/>
  <c r="J328" i="7" s="1"/>
  <c r="H328" i="7"/>
  <c r="K328" i="7" s="1"/>
  <c r="E328" i="7"/>
  <c r="F326" i="7"/>
  <c r="E326" i="7"/>
  <c r="G326" i="7"/>
  <c r="I326" i="7" s="1"/>
  <c r="J326" i="7" s="1"/>
  <c r="H326" i="7"/>
  <c r="K326" i="7" s="1"/>
  <c r="E325" i="7"/>
  <c r="F325" i="7"/>
  <c r="H325" i="7"/>
  <c r="K325" i="7" s="1"/>
  <c r="G325" i="7"/>
  <c r="I325" i="7" s="1"/>
  <c r="J325" i="7" s="1"/>
  <c r="F324" i="7"/>
  <c r="E324" i="7"/>
  <c r="G324" i="7"/>
  <c r="I324" i="7" s="1"/>
  <c r="J324" i="7" s="1"/>
  <c r="H324" i="7"/>
  <c r="K324" i="7" s="1"/>
  <c r="E323" i="7"/>
  <c r="F323" i="7"/>
  <c r="G323" i="7"/>
  <c r="I323" i="7" s="1"/>
  <c r="J323" i="7" s="1"/>
  <c r="H323" i="7"/>
  <c r="K323" i="7" s="1"/>
  <c r="E322" i="7"/>
  <c r="F322" i="7"/>
  <c r="G322" i="7"/>
  <c r="I322" i="7" s="1"/>
  <c r="J322" i="7" s="1"/>
  <c r="H322" i="7"/>
  <c r="K322" i="7" s="1"/>
  <c r="G321" i="7"/>
  <c r="I321" i="7" s="1"/>
  <c r="J321" i="7" s="1"/>
  <c r="F321" i="7"/>
  <c r="E321" i="7"/>
  <c r="H321" i="7"/>
  <c r="K321" i="7" s="1"/>
  <c r="H320" i="7"/>
  <c r="K320" i="7" s="1"/>
  <c r="G320" i="7"/>
  <c r="I320" i="7" s="1"/>
  <c r="J320" i="7" s="1"/>
  <c r="F320" i="7"/>
  <c r="E320" i="7"/>
  <c r="E319" i="7"/>
  <c r="F319" i="7"/>
  <c r="H319" i="7"/>
  <c r="K319" i="7" s="1"/>
  <c r="G319" i="7"/>
  <c r="I319" i="7" s="1"/>
  <c r="J319" i="7" s="1"/>
  <c r="H318" i="7"/>
  <c r="K318" i="7" s="1"/>
  <c r="E318" i="7"/>
  <c r="F318" i="7"/>
  <c r="G318" i="7"/>
  <c r="I318" i="7" s="1"/>
  <c r="J318" i="7" s="1"/>
  <c r="H317" i="7"/>
  <c r="K317" i="7" s="1"/>
  <c r="E317" i="7"/>
  <c r="F317" i="7"/>
  <c r="G317" i="7"/>
  <c r="I317" i="7" s="1"/>
  <c r="J317" i="7" s="1"/>
  <c r="E316" i="7"/>
  <c r="F316" i="7"/>
  <c r="G316" i="7"/>
  <c r="I316" i="7" s="1"/>
  <c r="J316" i="7" s="1"/>
  <c r="H316" i="7"/>
  <c r="K316" i="7" s="1"/>
  <c r="F315" i="7"/>
  <c r="E315" i="7"/>
  <c r="G315" i="7"/>
  <c r="I315" i="7" s="1"/>
  <c r="J315" i="7" s="1"/>
  <c r="H315" i="7"/>
  <c r="K315" i="7" s="1"/>
  <c r="F314" i="7"/>
  <c r="E314" i="7"/>
  <c r="H314" i="7"/>
  <c r="K314" i="7" s="1"/>
  <c r="G314" i="7"/>
  <c r="I314" i="7" s="1"/>
  <c r="J314" i="7" s="1"/>
  <c r="H313" i="7"/>
  <c r="K313" i="7" s="1"/>
  <c r="F313" i="7"/>
  <c r="E313" i="7"/>
  <c r="G313" i="7"/>
  <c r="I313" i="7" s="1"/>
  <c r="J313" i="7" s="1"/>
  <c r="H312" i="7"/>
  <c r="K312" i="7" s="1"/>
  <c r="G312" i="7"/>
  <c r="I312" i="7" s="1"/>
  <c r="J312" i="7" s="1"/>
  <c r="F312" i="7"/>
  <c r="E312" i="7"/>
  <c r="H311" i="7"/>
  <c r="K311" i="7" s="1"/>
  <c r="G311" i="7"/>
  <c r="I311" i="7" s="1"/>
  <c r="J311" i="7" s="1"/>
  <c r="F311" i="7"/>
  <c r="E311" i="7"/>
  <c r="H310" i="7"/>
  <c r="K310" i="7" s="1"/>
  <c r="G310" i="7"/>
  <c r="I310" i="7" s="1"/>
  <c r="J310" i="7" s="1"/>
  <c r="F310" i="7"/>
  <c r="E310" i="7"/>
  <c r="E309" i="7"/>
  <c r="H309" i="7"/>
  <c r="K309" i="7" s="1"/>
  <c r="G309" i="7"/>
  <c r="I309" i="7" s="1"/>
  <c r="J309" i="7" s="1"/>
  <c r="F309" i="7"/>
  <c r="F308" i="7"/>
  <c r="E308" i="7"/>
  <c r="H308" i="7"/>
  <c r="K308" i="7" s="1"/>
  <c r="G308" i="7"/>
  <c r="I308" i="7" s="1"/>
  <c r="J308" i="7" s="1"/>
  <c r="H307" i="7"/>
  <c r="K307" i="7" s="1"/>
  <c r="G307" i="7"/>
  <c r="I307" i="7" s="1"/>
  <c r="J307" i="7" s="1"/>
  <c r="F307" i="7"/>
  <c r="E307" i="7"/>
  <c r="G306" i="7"/>
  <c r="I306" i="7" s="1"/>
  <c r="J306" i="7" s="1"/>
  <c r="F306" i="7"/>
  <c r="E306" i="7"/>
  <c r="H306" i="7"/>
  <c r="K306" i="7" s="1"/>
  <c r="E305" i="7"/>
  <c r="F305" i="7"/>
  <c r="H305" i="7"/>
  <c r="K305" i="7" s="1"/>
  <c r="G305" i="7"/>
  <c r="F304" i="7"/>
  <c r="H304" i="7"/>
  <c r="K304" i="7" s="1"/>
  <c r="E304" i="7"/>
  <c r="G304" i="7"/>
  <c r="E303" i="7"/>
  <c r="F303" i="7"/>
  <c r="G303" i="7"/>
  <c r="H303" i="7"/>
  <c r="K303" i="7" s="1"/>
  <c r="F302" i="7"/>
  <c r="G302" i="7"/>
  <c r="H302" i="7"/>
  <c r="K302" i="7" s="1"/>
  <c r="E302" i="7"/>
  <c r="F301" i="7"/>
  <c r="H301" i="7"/>
  <c r="K301" i="7" s="1"/>
  <c r="G301" i="7"/>
  <c r="I301" i="7" s="1"/>
  <c r="J301" i="7" s="1"/>
  <c r="E301" i="7"/>
  <c r="H300" i="7"/>
  <c r="K300" i="7" s="1"/>
  <c r="G300" i="7"/>
  <c r="I300" i="7" s="1"/>
  <c r="J300" i="7" s="1"/>
  <c r="F300" i="7"/>
  <c r="E300" i="7"/>
  <c r="H299" i="7"/>
  <c r="K299" i="7" s="1"/>
  <c r="G299" i="7"/>
  <c r="I299" i="7" s="1"/>
  <c r="J299" i="7" s="1"/>
  <c r="F299" i="7"/>
  <c r="E299" i="7"/>
  <c r="H298" i="7"/>
  <c r="K298" i="7" s="1"/>
  <c r="G298" i="7"/>
  <c r="F298" i="7"/>
  <c r="E298" i="7"/>
  <c r="H297" i="7"/>
  <c r="K297" i="7" s="1"/>
  <c r="G297" i="7"/>
  <c r="F297" i="7"/>
  <c r="E297" i="7"/>
  <c r="H296" i="7"/>
  <c r="K296" i="7" s="1"/>
  <c r="G296" i="7"/>
  <c r="F296" i="7"/>
  <c r="E296" i="7"/>
  <c r="H295" i="7"/>
  <c r="K295" i="7" s="1"/>
  <c r="G295" i="7"/>
  <c r="F295" i="7"/>
  <c r="E295" i="7"/>
  <c r="E294" i="7"/>
  <c r="H294" i="7"/>
  <c r="K294" i="7" s="1"/>
  <c r="G294" i="7"/>
  <c r="F294" i="7"/>
  <c r="H293" i="7"/>
  <c r="K293" i="7" s="1"/>
  <c r="G293" i="7"/>
  <c r="F293" i="7"/>
  <c r="E293" i="7"/>
  <c r="H292" i="7"/>
  <c r="K292" i="7" s="1"/>
  <c r="G292" i="7"/>
  <c r="F292" i="7"/>
  <c r="E292" i="7"/>
  <c r="F291" i="7"/>
  <c r="E291" i="7"/>
  <c r="G291" i="7"/>
  <c r="H291" i="7"/>
  <c r="K291" i="7" s="1"/>
  <c r="F290" i="7"/>
  <c r="G290" i="7"/>
  <c r="H290" i="7"/>
  <c r="K290" i="7" s="1"/>
  <c r="E290" i="7"/>
  <c r="F289" i="7"/>
  <c r="H289" i="7"/>
  <c r="K289" i="7" s="1"/>
  <c r="E289" i="7"/>
  <c r="G289" i="7"/>
  <c r="I289" i="7" s="1"/>
  <c r="J289" i="7" s="1"/>
  <c r="H288" i="7"/>
  <c r="K288" i="7" s="1"/>
  <c r="G288" i="7"/>
  <c r="I288" i="7" s="1"/>
  <c r="J288" i="7" s="1"/>
  <c r="E288" i="7"/>
  <c r="F288" i="7"/>
  <c r="E287" i="7"/>
  <c r="F287" i="7"/>
  <c r="G287" i="7"/>
  <c r="I287" i="7" s="1"/>
  <c r="J287" i="7" s="1"/>
  <c r="H287" i="7"/>
  <c r="K287" i="7" s="1"/>
  <c r="H286" i="7"/>
  <c r="K286" i="7" s="1"/>
  <c r="E286" i="7"/>
  <c r="F286" i="7"/>
  <c r="G286" i="7"/>
  <c r="I286" i="7" s="1"/>
  <c r="J286" i="7" s="1"/>
  <c r="F285" i="7"/>
  <c r="E285" i="7"/>
  <c r="G285" i="7"/>
  <c r="I285" i="7" s="1"/>
  <c r="J285" i="7" s="1"/>
  <c r="H285" i="7"/>
  <c r="K285" i="7" s="1"/>
  <c r="E284" i="7"/>
  <c r="G284" i="7"/>
  <c r="I284" i="7" s="1"/>
  <c r="J284" i="7" s="1"/>
  <c r="H284" i="7"/>
  <c r="K284" i="7" s="1"/>
  <c r="F284" i="7"/>
  <c r="F283" i="7"/>
  <c r="H283" i="7"/>
  <c r="K283" i="7" s="1"/>
  <c r="G283" i="7"/>
  <c r="I283" i="7" s="1"/>
  <c r="J283" i="7" s="1"/>
  <c r="E283" i="7"/>
  <c r="G282" i="7"/>
  <c r="I282" i="7" s="1"/>
  <c r="J282" i="7" s="1"/>
  <c r="E282" i="7"/>
  <c r="H282" i="7"/>
  <c r="K282" i="7" s="1"/>
  <c r="F282" i="7"/>
  <c r="H281" i="7"/>
  <c r="K281" i="7" s="1"/>
  <c r="F281" i="7"/>
  <c r="G281" i="7"/>
  <c r="I281" i="7" s="1"/>
  <c r="J281" i="7" s="1"/>
  <c r="E281" i="7"/>
  <c r="F280" i="7"/>
  <c r="G280" i="7"/>
  <c r="I280" i="7" s="1"/>
  <c r="J280" i="7" s="1"/>
  <c r="H280" i="7"/>
  <c r="K280" i="7" s="1"/>
  <c r="E280" i="7"/>
  <c r="F279" i="7"/>
  <c r="G279" i="7"/>
  <c r="I279" i="7" s="1"/>
  <c r="J279" i="7" s="1"/>
  <c r="E279" i="7"/>
  <c r="H279" i="7"/>
  <c r="K279" i="7" s="1"/>
  <c r="F278" i="7"/>
  <c r="H278" i="7"/>
  <c r="K278" i="7" s="1"/>
  <c r="G278" i="7"/>
  <c r="E278" i="7"/>
  <c r="H277" i="7"/>
  <c r="K277" i="7" s="1"/>
  <c r="F277" i="7"/>
  <c r="G277" i="7"/>
  <c r="I277" i="7" s="1"/>
  <c r="J277" i="7" s="1"/>
  <c r="E277" i="7"/>
  <c r="G276" i="7"/>
  <c r="I276" i="7" s="1"/>
  <c r="J276" i="7" s="1"/>
  <c r="F276" i="7"/>
  <c r="H276" i="7"/>
  <c r="K276" i="7" s="1"/>
  <c r="E276" i="7"/>
  <c r="E275" i="7"/>
  <c r="F275" i="7"/>
  <c r="H275" i="7"/>
  <c r="K275" i="7" s="1"/>
  <c r="G275" i="7"/>
  <c r="I275" i="7" s="1"/>
  <c r="J275" i="7" s="1"/>
  <c r="E274" i="7"/>
  <c r="G274" i="7"/>
  <c r="I274" i="7" s="1"/>
  <c r="J274" i="7" s="1"/>
  <c r="F274" i="7"/>
  <c r="H274" i="7"/>
  <c r="K274" i="7" s="1"/>
  <c r="F273" i="7"/>
  <c r="H273" i="7"/>
  <c r="K273" i="7" s="1"/>
  <c r="G273" i="7"/>
  <c r="I273" i="7" s="1"/>
  <c r="J273" i="7" s="1"/>
  <c r="E273" i="7"/>
  <c r="F272" i="7"/>
  <c r="H272" i="7"/>
  <c r="K272" i="7" s="1"/>
  <c r="E272" i="7"/>
  <c r="G272" i="7"/>
  <c r="I272" i="7" s="1"/>
  <c r="J272" i="7" s="1"/>
  <c r="H271" i="7"/>
  <c r="K271" i="7" s="1"/>
  <c r="F271" i="7"/>
  <c r="E271" i="7"/>
  <c r="G271" i="7"/>
  <c r="I271" i="7" s="1"/>
  <c r="J271" i="7" s="1"/>
  <c r="H270" i="7"/>
  <c r="K270" i="7" s="1"/>
  <c r="E270" i="7"/>
  <c r="G270" i="7"/>
  <c r="I270" i="7" s="1"/>
  <c r="J270" i="7" s="1"/>
  <c r="F270" i="7"/>
  <c r="E269" i="7"/>
  <c r="G269" i="7"/>
  <c r="I269" i="7" s="1"/>
  <c r="J269" i="7" s="1"/>
  <c r="H269" i="7"/>
  <c r="K269" i="7" s="1"/>
  <c r="F269" i="7"/>
  <c r="H268" i="7"/>
  <c r="K268" i="7" s="1"/>
  <c r="E268" i="7"/>
  <c r="G268" i="7"/>
  <c r="I268" i="7" s="1"/>
  <c r="J268" i="7" s="1"/>
  <c r="F268" i="7"/>
  <c r="F267" i="7"/>
  <c r="G267" i="7"/>
  <c r="I267" i="7" s="1"/>
  <c r="J267" i="7" s="1"/>
  <c r="E267" i="7"/>
  <c r="H267" i="7"/>
  <c r="K267" i="7" s="1"/>
  <c r="F266" i="7"/>
  <c r="H266" i="7"/>
  <c r="G266" i="7"/>
  <c r="E266" i="7"/>
  <c r="G265" i="7"/>
  <c r="I265" i="7" s="1"/>
  <c r="J265" i="7" s="1"/>
  <c r="F265" i="7"/>
  <c r="H265" i="7"/>
  <c r="K265" i="7" s="1"/>
  <c r="F264" i="7"/>
  <c r="H264" i="7"/>
  <c r="K264" i="7" s="1"/>
  <c r="G264" i="7"/>
  <c r="I264" i="7" s="1"/>
  <c r="J264" i="7" s="1"/>
  <c r="H263" i="7"/>
  <c r="K263" i="7" s="1"/>
  <c r="F263" i="7"/>
  <c r="G263" i="7"/>
  <c r="I263" i="7" s="1"/>
  <c r="J263" i="7" s="1"/>
  <c r="G262" i="7"/>
  <c r="I262" i="7" s="1"/>
  <c r="J262" i="7" s="1"/>
  <c r="F262" i="7"/>
  <c r="H262" i="7"/>
  <c r="K262" i="7" s="1"/>
  <c r="F261" i="7"/>
  <c r="G261" i="7"/>
  <c r="I261" i="7" s="1"/>
  <c r="J261" i="7" s="1"/>
  <c r="H261" i="7"/>
  <c r="K261" i="7" s="1"/>
  <c r="H260" i="7"/>
  <c r="K260" i="7" s="1"/>
  <c r="F260" i="7"/>
  <c r="G260" i="7"/>
  <c r="I260" i="7" s="1"/>
  <c r="J260" i="7" s="1"/>
  <c r="F259" i="7"/>
  <c r="G259" i="7"/>
  <c r="I259" i="7" s="1"/>
  <c r="J259" i="7" s="1"/>
  <c r="H259" i="7"/>
  <c r="K259" i="7" s="1"/>
  <c r="G258" i="7"/>
  <c r="I258" i="7" s="1"/>
  <c r="J258" i="7" s="1"/>
  <c r="H258" i="7"/>
  <c r="K258" i="7" s="1"/>
  <c r="F257" i="7"/>
  <c r="H257" i="7"/>
  <c r="K257" i="7" s="1"/>
  <c r="G257" i="7"/>
  <c r="I257" i="7" s="1"/>
  <c r="J257" i="7" s="1"/>
  <c r="G256" i="7"/>
  <c r="I256" i="7" s="1"/>
  <c r="J256" i="7" s="1"/>
  <c r="F256" i="7"/>
  <c r="H256" i="7"/>
  <c r="K256" i="7" s="1"/>
  <c r="G255" i="7"/>
  <c r="I255" i="7" s="1"/>
  <c r="J255" i="7" s="1"/>
  <c r="H255" i="7"/>
  <c r="K255" i="7" s="1"/>
  <c r="F255" i="7"/>
  <c r="F254" i="7"/>
  <c r="G254" i="7"/>
  <c r="H254" i="7"/>
  <c r="K254" i="7" s="1"/>
  <c r="H253" i="7"/>
  <c r="K253" i="7" s="1"/>
  <c r="G253" i="7"/>
  <c r="I253" i="7" s="1"/>
  <c r="J253" i="7" s="1"/>
  <c r="F253" i="7"/>
  <c r="H252" i="7"/>
  <c r="K252" i="7" s="1"/>
  <c r="F252" i="7"/>
  <c r="G252" i="7"/>
  <c r="I252" i="7" s="1"/>
  <c r="J252" i="7" s="1"/>
  <c r="F251" i="7"/>
  <c r="H251" i="7"/>
  <c r="K251" i="7" s="1"/>
  <c r="G251" i="7"/>
  <c r="I251" i="7" s="1"/>
  <c r="J251" i="7" s="1"/>
  <c r="H250" i="7"/>
  <c r="K250" i="7" s="1"/>
  <c r="G250" i="7"/>
  <c r="I250" i="7" s="1"/>
  <c r="J250" i="7" s="1"/>
  <c r="F250" i="7"/>
  <c r="G249" i="7"/>
  <c r="I249" i="7" s="1"/>
  <c r="J249" i="7" s="1"/>
  <c r="F249" i="7"/>
  <c r="H249" i="7"/>
  <c r="K249" i="7" s="1"/>
  <c r="F248" i="7"/>
  <c r="H248" i="7"/>
  <c r="K248" i="7" s="1"/>
  <c r="G248" i="7"/>
  <c r="I248" i="7" s="1"/>
  <c r="J248" i="7" s="1"/>
  <c r="G247" i="7"/>
  <c r="I247" i="7" s="1"/>
  <c r="J247" i="7" s="1"/>
  <c r="H247" i="7"/>
  <c r="K247" i="7" s="1"/>
  <c r="F247" i="7"/>
  <c r="F246" i="7"/>
  <c r="H246" i="7"/>
  <c r="K246" i="7" s="1"/>
  <c r="G246" i="7"/>
  <c r="I246" i="7" s="1"/>
  <c r="J246" i="7" s="1"/>
  <c r="G245" i="7"/>
  <c r="I245" i="7" s="1"/>
  <c r="J245" i="7" s="1"/>
  <c r="F245" i="7"/>
  <c r="H245" i="7"/>
  <c r="K245" i="7" s="1"/>
  <c r="H244" i="7"/>
  <c r="K244" i="7" s="1"/>
  <c r="G244" i="7"/>
  <c r="I244" i="7" s="1"/>
  <c r="J244" i="7" s="1"/>
  <c r="F244" i="7"/>
  <c r="G243" i="7"/>
  <c r="F243" i="7"/>
  <c r="H243" i="7"/>
  <c r="K243" i="7" s="1"/>
  <c r="G242" i="7"/>
  <c r="H242" i="7"/>
  <c r="K242" i="7" s="1"/>
  <c r="F242" i="7"/>
  <c r="F241" i="7"/>
  <c r="H241" i="7"/>
  <c r="K241" i="7" s="1"/>
  <c r="E241" i="7"/>
  <c r="G241" i="7"/>
  <c r="I241" i="7" s="1"/>
  <c r="J241" i="7" s="1"/>
  <c r="G240" i="7"/>
  <c r="I240" i="7" s="1"/>
  <c r="J240" i="7" s="1"/>
  <c r="F240" i="7"/>
  <c r="E240" i="7"/>
  <c r="H240" i="7"/>
  <c r="K240" i="7" s="1"/>
  <c r="H239" i="7"/>
  <c r="K239" i="7" s="1"/>
  <c r="F239" i="7"/>
  <c r="E239" i="7"/>
  <c r="G239" i="7"/>
  <c r="I239" i="7" s="1"/>
  <c r="J239" i="7" s="1"/>
  <c r="H238" i="7"/>
  <c r="K238" i="7" s="1"/>
  <c r="G238" i="7"/>
  <c r="I238" i="7" s="1"/>
  <c r="J238" i="7" s="1"/>
  <c r="F238" i="7"/>
  <c r="E238" i="7"/>
  <c r="H237" i="7"/>
  <c r="K237" i="7" s="1"/>
  <c r="G237" i="7"/>
  <c r="I237" i="7" s="1"/>
  <c r="J237" i="7" s="1"/>
  <c r="E237" i="7"/>
  <c r="F237" i="7"/>
  <c r="E236" i="7"/>
  <c r="G236" i="7"/>
  <c r="I236" i="7" s="1"/>
  <c r="J236" i="7" s="1"/>
  <c r="H236" i="7"/>
  <c r="K236" i="7" s="1"/>
  <c r="F235" i="7"/>
  <c r="G235" i="7"/>
  <c r="I235" i="7" s="1"/>
  <c r="J235" i="7" s="1"/>
  <c r="H235" i="7"/>
  <c r="K235" i="7" s="1"/>
  <c r="E235" i="7"/>
  <c r="E234" i="7"/>
  <c r="H234" i="7"/>
  <c r="K234" i="7" s="1"/>
  <c r="F234" i="7"/>
  <c r="G234" i="7"/>
  <c r="I234" i="7" s="1"/>
  <c r="J234" i="7" s="1"/>
  <c r="F233" i="7"/>
  <c r="E233" i="7"/>
  <c r="H232" i="7"/>
  <c r="K232" i="7" s="1"/>
  <c r="G232" i="7"/>
  <c r="I232" i="7" s="1"/>
  <c r="J232" i="7" s="1"/>
  <c r="F232" i="7"/>
  <c r="E232" i="7"/>
  <c r="H231" i="7"/>
  <c r="K231" i="7" s="1"/>
  <c r="G231" i="7"/>
  <c r="I231" i="7" s="1"/>
  <c r="J231" i="7" s="1"/>
  <c r="F231" i="7"/>
  <c r="E231" i="7"/>
  <c r="G230" i="7"/>
  <c r="I230" i="7" s="1"/>
  <c r="J230" i="7" s="1"/>
  <c r="E230" i="7"/>
  <c r="F230" i="7"/>
  <c r="H230" i="7"/>
  <c r="K230" i="7" s="1"/>
  <c r="H229" i="7"/>
  <c r="K229" i="7" s="1"/>
  <c r="F229" i="7"/>
  <c r="G229" i="7"/>
  <c r="I229" i="7" s="1"/>
  <c r="J229" i="7" s="1"/>
  <c r="E229" i="7"/>
  <c r="G228" i="7"/>
  <c r="I228" i="7" s="1"/>
  <c r="J228" i="7" s="1"/>
  <c r="F228" i="7"/>
  <c r="E228" i="7"/>
  <c r="H228" i="7"/>
  <c r="K228" i="7" s="1"/>
  <c r="F227" i="7"/>
  <c r="H227" i="7"/>
  <c r="K227" i="7" s="1"/>
  <c r="G227" i="7"/>
  <c r="I227" i="7" s="1"/>
  <c r="J227" i="7" s="1"/>
  <c r="E227" i="7"/>
  <c r="H226" i="7"/>
  <c r="K226" i="7" s="1"/>
  <c r="G226" i="7"/>
  <c r="I226" i="7" s="1"/>
  <c r="J226" i="7" s="1"/>
  <c r="F226" i="7"/>
  <c r="E226" i="7"/>
  <c r="E225" i="7"/>
  <c r="H225" i="7"/>
  <c r="K225" i="7" s="1"/>
  <c r="G225" i="7"/>
  <c r="I225" i="7" s="1"/>
  <c r="J225" i="7" s="1"/>
  <c r="F225" i="7"/>
  <c r="H224" i="7"/>
  <c r="K224" i="7" s="1"/>
  <c r="G224" i="7"/>
  <c r="I224" i="7" s="1"/>
  <c r="J224" i="7" s="1"/>
  <c r="F224" i="7"/>
  <c r="E224" i="7"/>
  <c r="H223" i="7"/>
  <c r="K223" i="7" s="1"/>
  <c r="G223" i="7"/>
  <c r="I223" i="7" s="1"/>
  <c r="J223" i="7" s="1"/>
  <c r="F223" i="7"/>
  <c r="E223" i="7"/>
  <c r="G222" i="7"/>
  <c r="I222" i="7" s="1"/>
  <c r="J222" i="7" s="1"/>
  <c r="F222" i="7"/>
  <c r="E222" i="7"/>
  <c r="H222" i="7"/>
  <c r="K222" i="7" s="1"/>
  <c r="H221" i="7"/>
  <c r="K221" i="7" s="1"/>
  <c r="G221" i="7"/>
  <c r="I221" i="7" s="1"/>
  <c r="J221" i="7" s="1"/>
  <c r="F221" i="7"/>
  <c r="E221" i="7"/>
  <c r="G220" i="7"/>
  <c r="I220" i="7" s="1"/>
  <c r="J220" i="7" s="1"/>
  <c r="F220" i="7"/>
  <c r="E220" i="7"/>
  <c r="H220" i="7"/>
  <c r="K220" i="7" s="1"/>
  <c r="E219" i="7"/>
  <c r="H219" i="7"/>
  <c r="K219" i="7" s="1"/>
  <c r="G219" i="7"/>
  <c r="I219" i="7" s="1"/>
  <c r="J219" i="7" s="1"/>
  <c r="F219" i="7"/>
  <c r="H218" i="7"/>
  <c r="K218" i="7" s="1"/>
  <c r="G218" i="7"/>
  <c r="I218" i="7" s="1"/>
  <c r="J218" i="7" s="1"/>
  <c r="F218" i="7"/>
  <c r="E218" i="7"/>
  <c r="H217" i="7"/>
  <c r="K217" i="7" s="1"/>
  <c r="G217" i="7"/>
  <c r="I217" i="7" s="1"/>
  <c r="J217" i="7" s="1"/>
  <c r="F217" i="7"/>
  <c r="E217" i="7"/>
  <c r="E216" i="7"/>
  <c r="H216" i="7"/>
  <c r="K216" i="7" s="1"/>
  <c r="G216" i="7"/>
  <c r="I216" i="7" s="1"/>
  <c r="J216" i="7" s="1"/>
  <c r="F216" i="7"/>
  <c r="E215" i="7"/>
  <c r="F215" i="7"/>
  <c r="G215" i="7"/>
  <c r="I215" i="7" s="1"/>
  <c r="J215" i="7" s="1"/>
  <c r="H215" i="7"/>
  <c r="K215" i="7" s="1"/>
  <c r="G214" i="7"/>
  <c r="I214" i="7" s="1"/>
  <c r="J214" i="7" s="1"/>
  <c r="H214" i="7"/>
  <c r="K214" i="7" s="1"/>
  <c r="F214" i="7"/>
  <c r="E214" i="7"/>
  <c r="H213" i="7"/>
  <c r="K213" i="7" s="1"/>
  <c r="G213" i="7"/>
  <c r="I213" i="7" s="1"/>
  <c r="J213" i="7" s="1"/>
  <c r="F213" i="7"/>
  <c r="E213" i="7"/>
  <c r="E212" i="7"/>
  <c r="H212" i="7"/>
  <c r="K212" i="7" s="1"/>
  <c r="G212" i="7"/>
  <c r="I212" i="7" s="1"/>
  <c r="J212" i="7" s="1"/>
  <c r="F212" i="7"/>
  <c r="H211" i="7"/>
  <c r="K211" i="7" s="1"/>
  <c r="G211" i="7"/>
  <c r="I211" i="7" s="1"/>
  <c r="J211" i="7" s="1"/>
  <c r="F211" i="7"/>
  <c r="E211" i="7"/>
  <c r="E210" i="7"/>
  <c r="F210" i="7"/>
  <c r="G210" i="7"/>
  <c r="I210" i="7" s="1"/>
  <c r="J210" i="7" s="1"/>
  <c r="H210" i="7"/>
  <c r="K210" i="7" s="1"/>
  <c r="E209" i="7"/>
  <c r="G209" i="7"/>
  <c r="I209" i="7" s="1"/>
  <c r="J209" i="7" s="1"/>
  <c r="H209" i="7"/>
  <c r="K209" i="7" s="1"/>
  <c r="F209" i="7"/>
  <c r="G208" i="7"/>
  <c r="I208" i="7" s="1"/>
  <c r="J208" i="7" s="1"/>
  <c r="F208" i="7"/>
  <c r="E208" i="7"/>
  <c r="H208" i="7"/>
  <c r="K208" i="7" s="1"/>
  <c r="H207" i="7"/>
  <c r="K207" i="7" s="1"/>
  <c r="G207" i="7"/>
  <c r="I207" i="7" s="1"/>
  <c r="J207" i="7" s="1"/>
  <c r="F207" i="7"/>
  <c r="E207" i="7"/>
  <c r="G206" i="7"/>
  <c r="I206" i="7" s="1"/>
  <c r="J206" i="7" s="1"/>
  <c r="F206" i="7"/>
  <c r="E206" i="7"/>
  <c r="H206" i="7"/>
  <c r="K206" i="7" s="1"/>
  <c r="E205" i="7"/>
  <c r="H205" i="7"/>
  <c r="K205" i="7" s="1"/>
  <c r="G205" i="7"/>
  <c r="I205" i="7" s="1"/>
  <c r="J205" i="7" s="1"/>
  <c r="F205" i="7"/>
  <c r="G204" i="7"/>
  <c r="I204" i="7" s="1"/>
  <c r="J204" i="7" s="1"/>
  <c r="F204" i="7"/>
  <c r="E204" i="7"/>
  <c r="H204" i="7"/>
  <c r="K204" i="7" s="1"/>
  <c r="E203" i="7"/>
  <c r="H203" i="7"/>
  <c r="K203" i="7" s="1"/>
  <c r="G203" i="7"/>
  <c r="I203" i="7" s="1"/>
  <c r="J203" i="7" s="1"/>
  <c r="F203" i="7"/>
  <c r="H202" i="7"/>
  <c r="K202" i="7" s="1"/>
  <c r="G202" i="7"/>
  <c r="I202" i="7" s="1"/>
  <c r="J202" i="7" s="1"/>
  <c r="F202" i="7"/>
  <c r="E202" i="7"/>
  <c r="H201" i="7"/>
  <c r="K201" i="7" s="1"/>
  <c r="G201" i="7"/>
  <c r="I201" i="7" s="1"/>
  <c r="J201" i="7" s="1"/>
  <c r="F201" i="7"/>
  <c r="E201" i="7"/>
  <c r="H200" i="7"/>
  <c r="K200" i="7" s="1"/>
  <c r="G200" i="7"/>
  <c r="I200" i="7" s="1"/>
  <c r="J200" i="7" s="1"/>
  <c r="F200" i="7"/>
  <c r="E200" i="7"/>
  <c r="G199" i="7"/>
  <c r="I199" i="7" s="1"/>
  <c r="J199" i="7" s="1"/>
  <c r="F199" i="7"/>
  <c r="E199" i="7"/>
  <c r="H199" i="7"/>
  <c r="K199" i="7" s="1"/>
  <c r="H198" i="7"/>
  <c r="K198" i="7" s="1"/>
  <c r="G198" i="7"/>
  <c r="I198" i="7" s="1"/>
  <c r="J198" i="7" s="1"/>
  <c r="F198" i="7"/>
  <c r="E198" i="7"/>
  <c r="G197" i="7"/>
  <c r="I197" i="7" s="1"/>
  <c r="J197" i="7" s="1"/>
  <c r="F197" i="7"/>
  <c r="E197" i="7"/>
  <c r="H197" i="7"/>
  <c r="K197" i="7" s="1"/>
  <c r="G196" i="7"/>
  <c r="I196" i="7" s="1"/>
  <c r="J196" i="7" s="1"/>
  <c r="H196" i="7"/>
  <c r="K196" i="7" s="1"/>
  <c r="F196" i="7"/>
  <c r="E196" i="7"/>
  <c r="G195" i="7"/>
  <c r="I195" i="7" s="1"/>
  <c r="J195" i="7" s="1"/>
  <c r="H195" i="7"/>
  <c r="K195" i="7" s="1"/>
  <c r="F195" i="7"/>
  <c r="E195" i="7"/>
  <c r="G194" i="7"/>
  <c r="I194" i="7" s="1"/>
  <c r="J194" i="7" s="1"/>
  <c r="F194" i="7"/>
  <c r="E194" i="7"/>
  <c r="H194" i="7"/>
  <c r="K194" i="7" s="1"/>
  <c r="H193" i="7"/>
  <c r="K193" i="7" s="1"/>
  <c r="G193" i="7"/>
  <c r="I193" i="7" s="1"/>
  <c r="J193" i="7" s="1"/>
  <c r="F193" i="7"/>
  <c r="E193" i="7"/>
  <c r="G192" i="7"/>
  <c r="I192" i="7" s="1"/>
  <c r="J192" i="7" s="1"/>
  <c r="F192" i="7"/>
  <c r="E192" i="7"/>
  <c r="H192" i="7"/>
  <c r="K192" i="7" s="1"/>
  <c r="H191" i="7"/>
  <c r="K191" i="7" s="1"/>
  <c r="G191" i="7"/>
  <c r="I191" i="7" s="1"/>
  <c r="J191" i="7" s="1"/>
  <c r="F191" i="7"/>
  <c r="E191" i="7"/>
  <c r="H190" i="7"/>
  <c r="K190" i="7" s="1"/>
  <c r="G190" i="7"/>
  <c r="I190" i="7" s="1"/>
  <c r="J190" i="7" s="1"/>
  <c r="F190" i="7"/>
  <c r="E190" i="7"/>
  <c r="H189" i="7"/>
  <c r="K189" i="7" s="1"/>
  <c r="G189" i="7"/>
  <c r="I189" i="7" s="1"/>
  <c r="J189" i="7" s="1"/>
  <c r="F189" i="7"/>
  <c r="E189" i="7"/>
  <c r="H188" i="7"/>
  <c r="K188" i="7" s="1"/>
  <c r="G188" i="7"/>
  <c r="I188" i="7" s="1"/>
  <c r="J188" i="7" s="1"/>
  <c r="F188" i="7"/>
  <c r="E188" i="7"/>
  <c r="H187" i="7"/>
  <c r="K187" i="7" s="1"/>
  <c r="G187" i="7"/>
  <c r="F187" i="7"/>
  <c r="E187" i="7"/>
  <c r="H186" i="7"/>
  <c r="K186" i="7" s="1"/>
  <c r="G186" i="7"/>
  <c r="F186" i="7"/>
  <c r="E186" i="7"/>
  <c r="F185" i="7"/>
  <c r="E185" i="7"/>
  <c r="G185" i="7"/>
  <c r="H185" i="7"/>
  <c r="K185" i="7" s="1"/>
  <c r="H184" i="7"/>
  <c r="K184" i="7" s="1"/>
  <c r="G184" i="7"/>
  <c r="F184" i="7"/>
  <c r="E184" i="7"/>
  <c r="G183" i="7"/>
  <c r="F183" i="7"/>
  <c r="E183" i="7"/>
  <c r="H183" i="7"/>
  <c r="K183" i="7" s="1"/>
  <c r="E182" i="7"/>
  <c r="H182" i="7"/>
  <c r="K182" i="7" s="1"/>
  <c r="G182" i="7"/>
  <c r="F182" i="7"/>
  <c r="E181" i="7"/>
  <c r="F181" i="7"/>
  <c r="H181" i="7"/>
  <c r="K181" i="7" s="1"/>
  <c r="G181" i="7"/>
  <c r="I181" i="7" s="1"/>
  <c r="J181" i="7" s="1"/>
  <c r="G180" i="7"/>
  <c r="I180" i="7" s="1"/>
  <c r="J180" i="7" s="1"/>
  <c r="F180" i="7"/>
  <c r="E180" i="7"/>
  <c r="H180" i="7"/>
  <c r="K180" i="7" s="1"/>
  <c r="H179" i="7"/>
  <c r="K179" i="7" s="1"/>
  <c r="G179" i="7"/>
  <c r="I179" i="7" s="1"/>
  <c r="J179" i="7" s="1"/>
  <c r="F179" i="7"/>
  <c r="E179" i="7"/>
  <c r="G178" i="7"/>
  <c r="I178" i="7" s="1"/>
  <c r="J178" i="7" s="1"/>
  <c r="F178" i="7"/>
  <c r="E178" i="7"/>
  <c r="H178" i="7"/>
  <c r="K178" i="7" s="1"/>
  <c r="G177" i="7"/>
  <c r="I177" i="7" s="1"/>
  <c r="J177" i="7" s="1"/>
  <c r="H177" i="7"/>
  <c r="K177" i="7" s="1"/>
  <c r="F177" i="7"/>
  <c r="E177" i="7"/>
  <c r="H176" i="7"/>
  <c r="K176" i="7" s="1"/>
  <c r="G176" i="7"/>
  <c r="I176" i="7" s="1"/>
  <c r="J176" i="7" s="1"/>
  <c r="F176" i="7"/>
  <c r="E176" i="7"/>
  <c r="H175" i="7"/>
  <c r="K175" i="7" s="1"/>
  <c r="G175" i="7"/>
  <c r="F175" i="7"/>
  <c r="E175" i="7"/>
  <c r="H174" i="7"/>
  <c r="K174" i="7" s="1"/>
  <c r="G174" i="7"/>
  <c r="F174" i="7"/>
  <c r="E174" i="7"/>
  <c r="H173" i="7"/>
  <c r="K173" i="7" s="1"/>
  <c r="G173" i="7"/>
  <c r="F173" i="7"/>
  <c r="E173" i="7"/>
  <c r="G172" i="7"/>
  <c r="F172" i="7"/>
  <c r="E172" i="7"/>
  <c r="H172" i="7"/>
  <c r="K172" i="7" s="1"/>
  <c r="H171" i="7"/>
  <c r="K171" i="7" s="1"/>
  <c r="G171" i="7"/>
  <c r="F171" i="7"/>
  <c r="E171" i="7"/>
  <c r="G170" i="7"/>
  <c r="F170" i="7"/>
  <c r="E170" i="7"/>
  <c r="H170" i="7"/>
  <c r="K170" i="7" s="1"/>
  <c r="H169" i="7"/>
  <c r="K169" i="7" s="1"/>
  <c r="G169" i="7"/>
  <c r="I169" i="7" s="1"/>
  <c r="J169" i="7" s="1"/>
  <c r="F169" i="7"/>
  <c r="E169" i="7"/>
  <c r="E168" i="7"/>
  <c r="H168" i="7"/>
  <c r="K168" i="7" s="1"/>
  <c r="G168" i="7"/>
  <c r="I168" i="7" s="1"/>
  <c r="J168" i="7" s="1"/>
  <c r="F168" i="7"/>
  <c r="H167" i="7"/>
  <c r="K167" i="7" s="1"/>
  <c r="G167" i="7"/>
  <c r="I167" i="7" s="1"/>
  <c r="J167" i="7" s="1"/>
  <c r="F167" i="7"/>
  <c r="E167" i="7"/>
  <c r="G166" i="7"/>
  <c r="I166" i="7" s="1"/>
  <c r="J166" i="7" s="1"/>
  <c r="F166" i="7"/>
  <c r="E166" i="7"/>
  <c r="H166" i="7"/>
  <c r="K166" i="7" s="1"/>
  <c r="H165" i="7"/>
  <c r="K165" i="7" s="1"/>
  <c r="G165" i="7"/>
  <c r="I165" i="7" s="1"/>
  <c r="J165" i="7" s="1"/>
  <c r="F165" i="7"/>
  <c r="E165" i="7"/>
  <c r="G164" i="7"/>
  <c r="I164" i="7" s="1"/>
  <c r="J164" i="7" s="1"/>
  <c r="F164" i="7"/>
  <c r="E164" i="7"/>
  <c r="H164" i="7"/>
  <c r="K164" i="7" s="1"/>
  <c r="H163" i="7"/>
  <c r="K163" i="7" s="1"/>
  <c r="G163" i="7"/>
  <c r="I163" i="7" s="1"/>
  <c r="J163" i="7" s="1"/>
  <c r="F163" i="7"/>
  <c r="E163" i="7"/>
  <c r="H162" i="7"/>
  <c r="K162" i="7" s="1"/>
  <c r="G162" i="7"/>
  <c r="I162" i="7" s="1"/>
  <c r="J162" i="7" s="1"/>
  <c r="F162" i="7"/>
  <c r="E162" i="7"/>
  <c r="E161" i="7"/>
  <c r="G161" i="7"/>
  <c r="I161" i="7" s="1"/>
  <c r="J161" i="7" s="1"/>
  <c r="F161" i="7"/>
  <c r="H161" i="7"/>
  <c r="K161" i="7" s="1"/>
  <c r="E160" i="7"/>
  <c r="F160" i="7"/>
  <c r="G160" i="7"/>
  <c r="I160" i="7" s="1"/>
  <c r="J160" i="7" s="1"/>
  <c r="H160" i="7"/>
  <c r="K160" i="7" s="1"/>
  <c r="H159" i="7"/>
  <c r="K159" i="7" s="1"/>
  <c r="G159" i="7"/>
  <c r="I159" i="7" s="1"/>
  <c r="J159" i="7" s="1"/>
  <c r="F159" i="7"/>
  <c r="E159" i="7"/>
  <c r="H158" i="7"/>
  <c r="K158" i="7" s="1"/>
  <c r="G158" i="7"/>
  <c r="I158" i="7" s="1"/>
  <c r="J158" i="7" s="1"/>
  <c r="F158" i="7"/>
  <c r="E158" i="7"/>
  <c r="H157" i="7"/>
  <c r="K157" i="7" s="1"/>
  <c r="G157" i="7"/>
  <c r="I157" i="7" s="1"/>
  <c r="J157" i="7" s="1"/>
  <c r="F157" i="7"/>
  <c r="E157" i="7"/>
  <c r="G156" i="7"/>
  <c r="I156" i="7" s="1"/>
  <c r="J156" i="7" s="1"/>
  <c r="F156" i="7"/>
  <c r="E156" i="7"/>
  <c r="H156" i="7"/>
  <c r="K156" i="7" s="1"/>
  <c r="F155" i="7"/>
  <c r="G155" i="7"/>
  <c r="I155" i="7" s="1"/>
  <c r="J155" i="7" s="1"/>
  <c r="H155" i="7"/>
  <c r="K155" i="7" s="1"/>
  <c r="E155" i="7"/>
  <c r="G154" i="7"/>
  <c r="I154" i="7" s="1"/>
  <c r="J154" i="7" s="1"/>
  <c r="F154" i="7"/>
  <c r="E154" i="7"/>
  <c r="H154" i="7"/>
  <c r="K154" i="7" s="1"/>
  <c r="E153" i="7"/>
  <c r="H153" i="7"/>
  <c r="K153" i="7" s="1"/>
  <c r="G153" i="7"/>
  <c r="I153" i="7" s="1"/>
  <c r="J153" i="7" s="1"/>
  <c r="F153" i="7"/>
  <c r="F152" i="7"/>
  <c r="H152" i="7"/>
  <c r="K152" i="7" s="1"/>
  <c r="G152" i="7"/>
  <c r="I152" i="7" s="1"/>
  <c r="J152" i="7" s="1"/>
  <c r="E152" i="7"/>
  <c r="H151" i="7"/>
  <c r="K151" i="7" s="1"/>
  <c r="G151" i="7"/>
  <c r="I151" i="7" s="1"/>
  <c r="J151" i="7" s="1"/>
  <c r="F151" i="7"/>
  <c r="E151" i="7"/>
  <c r="E150" i="7"/>
  <c r="H150" i="7"/>
  <c r="K150" i="7" s="1"/>
  <c r="G150" i="7"/>
  <c r="I150" i="7" s="1"/>
  <c r="J150" i="7" s="1"/>
  <c r="F150" i="7"/>
  <c r="F149" i="7"/>
  <c r="G149" i="7"/>
  <c r="H149" i="7"/>
  <c r="K149" i="7" s="1"/>
  <c r="E149" i="7"/>
  <c r="H148" i="7"/>
  <c r="K148" i="7" s="1"/>
  <c r="G148" i="7"/>
  <c r="F148" i="7"/>
  <c r="E148" i="7"/>
  <c r="H147" i="7"/>
  <c r="K147" i="7" s="1"/>
  <c r="G147" i="7"/>
  <c r="F147" i="7"/>
  <c r="E147" i="7"/>
  <c r="E146" i="7"/>
  <c r="H146" i="7"/>
  <c r="K146" i="7" s="1"/>
  <c r="G146" i="7"/>
  <c r="F146" i="7"/>
  <c r="H145" i="7"/>
  <c r="K145" i="7" s="1"/>
  <c r="G145" i="7"/>
  <c r="I145" i="7" s="1"/>
  <c r="J145" i="7" s="1"/>
  <c r="F145" i="7"/>
  <c r="E145" i="7"/>
  <c r="F144" i="7"/>
  <c r="G144" i="7"/>
  <c r="I144" i="7" s="1"/>
  <c r="J144" i="7" s="1"/>
  <c r="E144" i="7"/>
  <c r="H144" i="7"/>
  <c r="K144" i="7" s="1"/>
  <c r="E143" i="7"/>
  <c r="F143" i="7"/>
  <c r="H143" i="7"/>
  <c r="K143" i="7" s="1"/>
  <c r="G143" i="7"/>
  <c r="I143" i="7" s="1"/>
  <c r="J143" i="7" s="1"/>
  <c r="G142" i="7"/>
  <c r="I142" i="7" s="1"/>
  <c r="J142" i="7" s="1"/>
  <c r="F142" i="7"/>
  <c r="E142" i="7"/>
  <c r="H142" i="7"/>
  <c r="K142" i="7" s="1"/>
  <c r="H141" i="7"/>
  <c r="K141" i="7" s="1"/>
  <c r="G141" i="7"/>
  <c r="I141" i="7" s="1"/>
  <c r="J141" i="7" s="1"/>
  <c r="F141" i="7"/>
  <c r="E141" i="7"/>
  <c r="E140" i="7"/>
  <c r="H140" i="7"/>
  <c r="K140" i="7" s="1"/>
  <c r="G140" i="7"/>
  <c r="I140" i="7" s="1"/>
  <c r="J140" i="7" s="1"/>
  <c r="F140" i="7"/>
  <c r="H139" i="7"/>
  <c r="K139" i="7" s="1"/>
  <c r="G139" i="7"/>
  <c r="I139" i="7" s="1"/>
  <c r="J139" i="7" s="1"/>
  <c r="F139" i="7"/>
  <c r="E139" i="7"/>
  <c r="G138" i="7"/>
  <c r="I138" i="7" s="1"/>
  <c r="J138" i="7" s="1"/>
  <c r="F138" i="7"/>
  <c r="E138" i="7"/>
  <c r="H138" i="7"/>
  <c r="K138" i="7" s="1"/>
  <c r="H137" i="7"/>
  <c r="K137" i="7" s="1"/>
  <c r="G137" i="7"/>
  <c r="I137" i="7" s="1"/>
  <c r="J137" i="7" s="1"/>
  <c r="F137" i="7"/>
  <c r="E137" i="7"/>
  <c r="G136" i="7"/>
  <c r="I136" i="7" s="1"/>
  <c r="J136" i="7" s="1"/>
  <c r="F136" i="7"/>
  <c r="E136" i="7"/>
  <c r="H136" i="7"/>
  <c r="K136" i="7" s="1"/>
  <c r="H135" i="7"/>
  <c r="K135" i="7" s="1"/>
  <c r="G135" i="7"/>
  <c r="I135" i="7" s="1"/>
  <c r="J135" i="7" s="1"/>
  <c r="F135" i="7"/>
  <c r="E135" i="7"/>
  <c r="H134" i="7"/>
  <c r="K134" i="7" s="1"/>
  <c r="G134" i="7"/>
  <c r="I134" i="7" s="1"/>
  <c r="J134" i="7" s="1"/>
  <c r="F134" i="7"/>
  <c r="E134" i="7"/>
  <c r="H133" i="7"/>
  <c r="K133" i="7" s="1"/>
  <c r="G133" i="7"/>
  <c r="I133" i="7" s="1"/>
  <c r="J133" i="7" s="1"/>
  <c r="F133" i="7"/>
  <c r="E133" i="7"/>
  <c r="H132" i="7"/>
  <c r="K132" i="7" s="1"/>
  <c r="G132" i="7"/>
  <c r="I132" i="7" s="1"/>
  <c r="J132" i="7" s="1"/>
  <c r="F132" i="7"/>
  <c r="E132" i="7"/>
  <c r="H131" i="7"/>
  <c r="K131" i="7" s="1"/>
  <c r="G131" i="7"/>
  <c r="I131" i="7" s="1"/>
  <c r="J131" i="7" s="1"/>
  <c r="F131" i="7"/>
  <c r="E131" i="7"/>
  <c r="H130" i="7"/>
  <c r="K130" i="7" s="1"/>
  <c r="G130" i="7"/>
  <c r="I130" i="7" s="1"/>
  <c r="J130" i="7" s="1"/>
  <c r="F130" i="7"/>
  <c r="E130" i="7"/>
  <c r="F129" i="7"/>
  <c r="E129" i="7"/>
  <c r="G129" i="7"/>
  <c r="I129" i="7" s="1"/>
  <c r="J129" i="7" s="1"/>
  <c r="H129" i="7"/>
  <c r="K129" i="7" s="1"/>
  <c r="H128" i="7"/>
  <c r="K128" i="7" s="1"/>
  <c r="G128" i="7"/>
  <c r="I128" i="7" s="1"/>
  <c r="J128" i="7" s="1"/>
  <c r="F128" i="7"/>
  <c r="E128" i="7"/>
  <c r="G127" i="7"/>
  <c r="I127" i="7" s="1"/>
  <c r="J127" i="7" s="1"/>
  <c r="F127" i="7"/>
  <c r="E127" i="7"/>
  <c r="H127" i="7"/>
  <c r="K127" i="7" s="1"/>
  <c r="H126" i="7"/>
  <c r="K126" i="7" s="1"/>
  <c r="G126" i="7"/>
  <c r="I126" i="7" s="1"/>
  <c r="J126" i="7" s="1"/>
  <c r="F126" i="7"/>
  <c r="E126" i="7"/>
  <c r="G125" i="7"/>
  <c r="I125" i="7" s="1"/>
  <c r="J125" i="7" s="1"/>
  <c r="H125" i="7"/>
  <c r="K125" i="7" s="1"/>
  <c r="F125" i="7"/>
  <c r="E125" i="7"/>
  <c r="G124" i="7"/>
  <c r="I124" i="7" s="1"/>
  <c r="J124" i="7" s="1"/>
  <c r="F124" i="7"/>
  <c r="E124" i="7"/>
  <c r="H124" i="7"/>
  <c r="K124" i="7" s="1"/>
  <c r="H123" i="7"/>
  <c r="K123" i="7" s="1"/>
  <c r="G123" i="7"/>
  <c r="I123" i="7" s="1"/>
  <c r="J123" i="7" s="1"/>
  <c r="F123" i="7"/>
  <c r="E123" i="7"/>
  <c r="G122" i="7"/>
  <c r="I122" i="7" s="1"/>
  <c r="J122" i="7" s="1"/>
  <c r="F122" i="7"/>
  <c r="E122" i="7"/>
  <c r="H122" i="7"/>
  <c r="K122" i="7" s="1"/>
  <c r="E121" i="7"/>
  <c r="H121" i="7"/>
  <c r="K121" i="7" s="1"/>
  <c r="G121" i="7"/>
  <c r="I121" i="7" s="1"/>
  <c r="J121" i="7" s="1"/>
  <c r="F121" i="7"/>
  <c r="H120" i="7"/>
  <c r="K120" i="7" s="1"/>
  <c r="G120" i="7"/>
  <c r="I120" i="7" s="1"/>
  <c r="J120" i="7" s="1"/>
  <c r="F120" i="7"/>
  <c r="E120" i="7"/>
  <c r="H119" i="7"/>
  <c r="K119" i="7" s="1"/>
  <c r="G119" i="7"/>
  <c r="I119" i="7" s="1"/>
  <c r="J119" i="7" s="1"/>
  <c r="F119" i="7"/>
  <c r="E119" i="7"/>
  <c r="H118" i="7"/>
  <c r="K118" i="7" s="1"/>
  <c r="G118" i="7"/>
  <c r="I118" i="7" s="1"/>
  <c r="J118" i="7" s="1"/>
  <c r="F118" i="7"/>
  <c r="E118" i="7"/>
  <c r="H117" i="7"/>
  <c r="K117" i="7" s="1"/>
  <c r="G117" i="7"/>
  <c r="I117" i="7" s="1"/>
  <c r="J117" i="7" s="1"/>
  <c r="F117" i="7"/>
  <c r="E117" i="7"/>
  <c r="H116" i="7"/>
  <c r="K116" i="7" s="1"/>
  <c r="G116" i="7"/>
  <c r="I116" i="7" s="1"/>
  <c r="J116" i="7" s="1"/>
  <c r="F116" i="7"/>
  <c r="E116" i="7"/>
  <c r="G115" i="7"/>
  <c r="I115" i="7" s="1"/>
  <c r="J115" i="7" s="1"/>
  <c r="F115" i="7"/>
  <c r="E115" i="7"/>
  <c r="H115" i="7"/>
  <c r="K115" i="7" s="1"/>
  <c r="H114" i="7"/>
  <c r="K114" i="7" s="1"/>
  <c r="G114" i="7"/>
  <c r="I114" i="7" s="1"/>
  <c r="J114" i="7" s="1"/>
  <c r="F114" i="7"/>
  <c r="E114" i="7"/>
  <c r="G113" i="7"/>
  <c r="I113" i="7" s="1"/>
  <c r="J113" i="7" s="1"/>
  <c r="F113" i="7"/>
  <c r="E113" i="7"/>
  <c r="H113" i="7"/>
  <c r="K113" i="7" s="1"/>
  <c r="G112" i="7"/>
  <c r="I112" i="7" s="1"/>
  <c r="J112" i="7" s="1"/>
  <c r="H112" i="7"/>
  <c r="K112" i="7" s="1"/>
  <c r="F112" i="7"/>
  <c r="E112" i="7"/>
  <c r="H111" i="7"/>
  <c r="K111" i="7" s="1"/>
  <c r="G111" i="7"/>
  <c r="I111" i="7" s="1"/>
  <c r="J111" i="7" s="1"/>
  <c r="F111" i="7"/>
  <c r="E111" i="7"/>
  <c r="G110" i="7"/>
  <c r="I110" i="7" s="1"/>
  <c r="J110" i="7" s="1"/>
  <c r="H110" i="7"/>
  <c r="K110" i="7" s="1"/>
  <c r="F110" i="7"/>
  <c r="E110" i="7"/>
  <c r="H109" i="7"/>
  <c r="K109" i="7" s="1"/>
  <c r="G109" i="7"/>
  <c r="I109" i="7" s="1"/>
  <c r="J109" i="7" s="1"/>
  <c r="F109" i="7"/>
  <c r="E109" i="7"/>
  <c r="G108" i="7"/>
  <c r="I108" i="7" s="1"/>
  <c r="J108" i="7" s="1"/>
  <c r="F108" i="7"/>
  <c r="E108" i="7"/>
  <c r="H108" i="7"/>
  <c r="K108" i="7" s="1"/>
  <c r="H107" i="7"/>
  <c r="K107" i="7" s="1"/>
  <c r="G107" i="7"/>
  <c r="F107" i="7"/>
  <c r="E107" i="7"/>
  <c r="G106" i="7"/>
  <c r="F106" i="7"/>
  <c r="E106" i="7"/>
  <c r="H106" i="7"/>
  <c r="K106" i="7" s="1"/>
  <c r="H105" i="7"/>
  <c r="K105" i="7" s="1"/>
  <c r="G105" i="7"/>
  <c r="F105" i="7"/>
  <c r="E105" i="7"/>
  <c r="H104" i="7"/>
  <c r="K104" i="7" s="1"/>
  <c r="G104" i="7"/>
  <c r="F104" i="7"/>
  <c r="E104" i="7"/>
  <c r="E103" i="7"/>
  <c r="H103" i="7"/>
  <c r="K103" i="7" s="1"/>
  <c r="G103" i="7"/>
  <c r="F103" i="7"/>
  <c r="F102" i="7"/>
  <c r="G102" i="7"/>
  <c r="H102" i="7"/>
  <c r="K102" i="7" s="1"/>
  <c r="E102" i="7"/>
  <c r="H101" i="7"/>
  <c r="K101" i="7" s="1"/>
  <c r="G101" i="7"/>
  <c r="F101" i="7"/>
  <c r="E101" i="7"/>
  <c r="H100" i="7"/>
  <c r="K100" i="7" s="1"/>
  <c r="G100" i="7"/>
  <c r="F100" i="7"/>
  <c r="E100" i="7"/>
  <c r="H99" i="7"/>
  <c r="K99" i="7" s="1"/>
  <c r="G99" i="7"/>
  <c r="F99" i="7"/>
  <c r="E99" i="7"/>
  <c r="F98" i="7"/>
  <c r="E98" i="7"/>
  <c r="H98" i="7"/>
  <c r="K98" i="7" s="1"/>
  <c r="G98" i="7"/>
  <c r="F97" i="7"/>
  <c r="G97" i="7"/>
  <c r="I97" i="7" s="1"/>
  <c r="J97" i="7" s="1"/>
  <c r="E97" i="7"/>
  <c r="H97" i="7"/>
  <c r="K97" i="7" s="1"/>
  <c r="G96" i="7"/>
  <c r="I96" i="7" s="1"/>
  <c r="J96" i="7" s="1"/>
  <c r="F96" i="7"/>
  <c r="E96" i="7"/>
  <c r="H96" i="7"/>
  <c r="K96" i="7" s="1"/>
  <c r="H95" i="7"/>
  <c r="K95" i="7" s="1"/>
  <c r="G95" i="7"/>
  <c r="I95" i="7" s="1"/>
  <c r="J95" i="7" s="1"/>
  <c r="F95" i="7"/>
  <c r="E95" i="7"/>
  <c r="E94" i="7"/>
  <c r="H94" i="7"/>
  <c r="K94" i="7" s="1"/>
  <c r="G94" i="7"/>
  <c r="I94" i="7" s="1"/>
  <c r="J94" i="7" s="1"/>
  <c r="F94" i="7"/>
  <c r="G93" i="7"/>
  <c r="I93" i="7" s="1"/>
  <c r="J93" i="7" s="1"/>
  <c r="H93" i="7"/>
  <c r="K93" i="7" s="1"/>
  <c r="F93" i="7"/>
  <c r="E93" i="7"/>
  <c r="G92" i="7"/>
  <c r="I92" i="7" s="1"/>
  <c r="J92" i="7" s="1"/>
  <c r="F92" i="7"/>
  <c r="E92" i="7"/>
  <c r="H92" i="7"/>
  <c r="K92" i="7" s="1"/>
  <c r="H91" i="7"/>
  <c r="K91" i="7" s="1"/>
  <c r="G91" i="7"/>
  <c r="I91" i="7" s="1"/>
  <c r="J91" i="7" s="1"/>
  <c r="F91" i="7"/>
  <c r="E91" i="7"/>
  <c r="G90" i="7"/>
  <c r="I90" i="7" s="1"/>
  <c r="J90" i="7" s="1"/>
  <c r="F90" i="7"/>
  <c r="E90" i="7"/>
  <c r="H90" i="7"/>
  <c r="K90" i="7" s="1"/>
  <c r="E89" i="7"/>
  <c r="H89" i="7"/>
  <c r="K89" i="7" s="1"/>
  <c r="G89" i="7"/>
  <c r="I89" i="7" s="1"/>
  <c r="J89" i="7" s="1"/>
  <c r="F89" i="7"/>
  <c r="H88" i="7"/>
  <c r="K88" i="7" s="1"/>
  <c r="G88" i="7"/>
  <c r="I88" i="7" s="1"/>
  <c r="J88" i="7" s="1"/>
  <c r="F88" i="7"/>
  <c r="E88" i="7"/>
  <c r="H87" i="7"/>
  <c r="K87" i="7" s="1"/>
  <c r="G87" i="7"/>
  <c r="F87" i="7"/>
  <c r="E87" i="7"/>
  <c r="H86" i="7"/>
  <c r="K86" i="7" s="1"/>
  <c r="G86" i="7"/>
  <c r="F86" i="7"/>
  <c r="E86" i="7"/>
  <c r="H85" i="7"/>
  <c r="K85" i="7" s="1"/>
  <c r="G85" i="7"/>
  <c r="I85" i="7" s="1"/>
  <c r="J85" i="7" s="1"/>
  <c r="F85" i="7"/>
  <c r="E85" i="7"/>
  <c r="H84" i="7"/>
  <c r="K84" i="7" s="1"/>
  <c r="G84" i="7"/>
  <c r="I84" i="7" s="1"/>
  <c r="J84" i="7" s="1"/>
  <c r="F84" i="7"/>
  <c r="E84" i="7"/>
  <c r="G83" i="7"/>
  <c r="I83" i="7" s="1"/>
  <c r="J83" i="7" s="1"/>
  <c r="E83" i="7"/>
  <c r="F83" i="7"/>
  <c r="H83" i="7"/>
  <c r="K83" i="7" s="1"/>
  <c r="E82" i="7"/>
  <c r="H82" i="7"/>
  <c r="K82" i="7" s="1"/>
  <c r="G82" i="7"/>
  <c r="I82" i="7" s="1"/>
  <c r="J82" i="7" s="1"/>
  <c r="F82" i="7"/>
  <c r="G81" i="7"/>
  <c r="I81" i="7" s="1"/>
  <c r="J81" i="7" s="1"/>
  <c r="F81" i="7"/>
  <c r="E81" i="7"/>
  <c r="H81" i="7"/>
  <c r="K81" i="7" s="1"/>
  <c r="G80" i="7"/>
  <c r="I80" i="7" s="1"/>
  <c r="J80" i="7" s="1"/>
  <c r="H80" i="7"/>
  <c r="K80" i="7" s="1"/>
  <c r="F80" i="7"/>
  <c r="E80" i="7"/>
  <c r="H79" i="7"/>
  <c r="K79" i="7" s="1"/>
  <c r="G79" i="7"/>
  <c r="I79" i="7" s="1"/>
  <c r="J79" i="7" s="1"/>
  <c r="F79" i="7"/>
  <c r="E79" i="7"/>
  <c r="G78" i="7"/>
  <c r="I78" i="7" s="1"/>
  <c r="J78" i="7" s="1"/>
  <c r="H78" i="7"/>
  <c r="K78" i="7" s="1"/>
  <c r="F78" i="7"/>
  <c r="E78" i="7"/>
  <c r="H77" i="7"/>
  <c r="K77" i="7" s="1"/>
  <c r="G77" i="7"/>
  <c r="I77" i="7" s="1"/>
  <c r="J77" i="7" s="1"/>
  <c r="F77" i="7"/>
  <c r="E77" i="7"/>
  <c r="H76" i="7"/>
  <c r="K76" i="7" s="1"/>
  <c r="G76" i="7"/>
  <c r="I76" i="7" s="1"/>
  <c r="J76" i="7" s="1"/>
  <c r="F76" i="7"/>
  <c r="E76" i="7"/>
  <c r="G75" i="7"/>
  <c r="I75" i="7" s="1"/>
  <c r="J75" i="7" s="1"/>
  <c r="F75" i="7"/>
  <c r="E75" i="7"/>
  <c r="H75" i="7"/>
  <c r="K75" i="7" s="1"/>
  <c r="H74" i="7"/>
  <c r="K74" i="7" s="1"/>
  <c r="G74" i="7"/>
  <c r="I74" i="7" s="1"/>
  <c r="J74" i="7" s="1"/>
  <c r="F74" i="7"/>
  <c r="E74" i="7"/>
  <c r="F73" i="7"/>
  <c r="H73" i="7"/>
  <c r="K73" i="7" s="1"/>
  <c r="G73" i="7"/>
  <c r="I73" i="7" s="1"/>
  <c r="J73" i="7" s="1"/>
  <c r="H72" i="7"/>
  <c r="K72" i="7" s="1"/>
  <c r="G72" i="7"/>
  <c r="I72" i="7" s="1"/>
  <c r="J72" i="7" s="1"/>
  <c r="F72" i="7"/>
  <c r="H71" i="7"/>
  <c r="K71" i="7" s="1"/>
  <c r="G71" i="7"/>
  <c r="I71" i="7" s="1"/>
  <c r="J71" i="7" s="1"/>
  <c r="F71" i="7"/>
  <c r="H70" i="7"/>
  <c r="K70" i="7" s="1"/>
  <c r="G70" i="7"/>
  <c r="I70" i="7" s="1"/>
  <c r="J70" i="7" s="1"/>
  <c r="F70" i="7"/>
  <c r="F69" i="7"/>
  <c r="H69" i="7"/>
  <c r="K69" i="7" s="1"/>
  <c r="G69" i="7"/>
  <c r="I69" i="7" s="1"/>
  <c r="J69" i="7" s="1"/>
  <c r="H68" i="7"/>
  <c r="K68" i="7" s="1"/>
  <c r="F68" i="7"/>
  <c r="G68" i="7"/>
  <c r="I68" i="7" s="1"/>
  <c r="J68" i="7" s="1"/>
  <c r="F67" i="7"/>
  <c r="H67" i="7"/>
  <c r="K67" i="7" s="1"/>
  <c r="G67" i="7"/>
  <c r="I67" i="7" s="1"/>
  <c r="J67" i="7" s="1"/>
  <c r="H66" i="7"/>
  <c r="K66" i="7" s="1"/>
  <c r="G66" i="7"/>
  <c r="I66" i="7" s="1"/>
  <c r="J66" i="7" s="1"/>
  <c r="F66" i="7"/>
  <c r="H65" i="7"/>
  <c r="K65" i="7" s="1"/>
  <c r="G65" i="7"/>
  <c r="I65" i="7" s="1"/>
  <c r="J65" i="7" s="1"/>
  <c r="F65" i="7"/>
  <c r="H64" i="7"/>
  <c r="K64" i="7" s="1"/>
  <c r="G64" i="7"/>
  <c r="F64" i="7"/>
  <c r="H63" i="7"/>
  <c r="K63" i="7" s="1"/>
  <c r="G63" i="7"/>
  <c r="F63" i="7"/>
  <c r="F62" i="7"/>
  <c r="G62" i="7"/>
  <c r="H62" i="7"/>
  <c r="K62" i="7" s="1"/>
  <c r="G61" i="7"/>
  <c r="I61" i="7" s="1"/>
  <c r="J61" i="7" s="1"/>
  <c r="F61" i="7"/>
  <c r="H61" i="7"/>
  <c r="K61" i="7" s="1"/>
  <c r="F60" i="7"/>
  <c r="G60" i="7"/>
  <c r="I60" i="7" s="1"/>
  <c r="J60" i="7" s="1"/>
  <c r="H60" i="7"/>
  <c r="K60" i="7" s="1"/>
  <c r="F59" i="7"/>
  <c r="H59" i="7"/>
  <c r="K59" i="7" s="1"/>
  <c r="G59" i="7"/>
  <c r="I59" i="7" s="1"/>
  <c r="J59" i="7" s="1"/>
  <c r="H58" i="7"/>
  <c r="K58" i="7" s="1"/>
  <c r="G58" i="7"/>
  <c r="I58" i="7" s="1"/>
  <c r="J58" i="7" s="1"/>
  <c r="F58" i="7"/>
  <c r="H57" i="7"/>
  <c r="K57" i="7" s="1"/>
  <c r="G57" i="7"/>
  <c r="I57" i="7" s="1"/>
  <c r="J57" i="7" s="1"/>
  <c r="F57" i="7"/>
  <c r="G56" i="7"/>
  <c r="I56" i="7" s="1"/>
  <c r="J56" i="7" s="1"/>
  <c r="H56" i="7"/>
  <c r="K56" i="7" s="1"/>
  <c r="F56" i="7"/>
  <c r="G55" i="7"/>
  <c r="I55" i="7" s="1"/>
  <c r="J55" i="7" s="1"/>
  <c r="H55" i="7"/>
  <c r="K55" i="7" s="1"/>
  <c r="F55" i="7"/>
  <c r="F54" i="7"/>
  <c r="H54" i="7"/>
  <c r="K54" i="7" s="1"/>
  <c r="G54" i="7"/>
  <c r="I54" i="7" s="1"/>
  <c r="J54" i="7" s="1"/>
  <c r="H53" i="7"/>
  <c r="K53" i="7" s="1"/>
  <c r="G53" i="7"/>
  <c r="I53" i="7" s="1"/>
  <c r="J53" i="7" s="1"/>
  <c r="F53" i="7"/>
  <c r="H52" i="7"/>
  <c r="K52" i="7" s="1"/>
  <c r="G52" i="7"/>
  <c r="I52" i="7" s="1"/>
  <c r="J52" i="7" s="1"/>
  <c r="F52" i="7"/>
  <c r="F51" i="7"/>
  <c r="H51" i="7"/>
  <c r="K51" i="7" s="1"/>
  <c r="G51" i="7"/>
  <c r="I51" i="7" s="1"/>
  <c r="J51" i="7" s="1"/>
  <c r="H50" i="7"/>
  <c r="K50" i="7" s="1"/>
  <c r="G50" i="7"/>
  <c r="I50" i="7" s="1"/>
  <c r="J50" i="7" s="1"/>
  <c r="F50" i="7"/>
  <c r="H49" i="7"/>
  <c r="K49" i="7" s="1"/>
  <c r="G49" i="7"/>
  <c r="I49" i="7" s="1"/>
  <c r="J49" i="7" s="1"/>
  <c r="F49" i="7"/>
  <c r="E49" i="7"/>
  <c r="G48" i="7"/>
  <c r="I48" i="7" s="1"/>
  <c r="J48" i="7" s="1"/>
  <c r="E48" i="7"/>
  <c r="F48" i="7"/>
  <c r="H48" i="7"/>
  <c r="K48" i="7" s="1"/>
  <c r="E47" i="7"/>
  <c r="F47" i="7"/>
  <c r="G47" i="7"/>
  <c r="I47" i="7" s="1"/>
  <c r="J47" i="7" s="1"/>
  <c r="H47" i="7"/>
  <c r="K47" i="7" s="1"/>
  <c r="G46" i="7"/>
  <c r="I46" i="7" s="1"/>
  <c r="J46" i="7" s="1"/>
  <c r="H46" i="7"/>
  <c r="K46" i="7" s="1"/>
  <c r="F46" i="7"/>
  <c r="E46" i="7"/>
  <c r="H45" i="7"/>
  <c r="K45" i="7" s="1"/>
  <c r="G45" i="7"/>
  <c r="I45" i="7" s="1"/>
  <c r="J45" i="7" s="1"/>
  <c r="F45" i="7"/>
  <c r="E45" i="7"/>
  <c r="E44" i="7"/>
  <c r="H44" i="7"/>
  <c r="K44" i="7" s="1"/>
  <c r="G44" i="7"/>
  <c r="I44" i="7" s="1"/>
  <c r="J44" i="7" s="1"/>
  <c r="F44" i="7"/>
  <c r="E43" i="7"/>
  <c r="F43" i="7"/>
  <c r="G43" i="7"/>
  <c r="I43" i="7" s="1"/>
  <c r="J43" i="7" s="1"/>
  <c r="H43" i="7"/>
  <c r="K43" i="7" s="1"/>
  <c r="F42" i="7"/>
  <c r="G42" i="7"/>
  <c r="I42" i="7" s="1"/>
  <c r="J42" i="7" s="1"/>
  <c r="H42" i="7"/>
  <c r="K42" i="7" s="1"/>
  <c r="E42" i="7"/>
  <c r="E41" i="7"/>
  <c r="H41" i="7"/>
  <c r="K41" i="7" s="1"/>
  <c r="G41" i="7"/>
  <c r="I41" i="7" s="1"/>
  <c r="J41" i="7" s="1"/>
  <c r="F41" i="7"/>
  <c r="G40" i="7"/>
  <c r="I40" i="7" s="1"/>
  <c r="J40" i="7" s="1"/>
  <c r="H40" i="7"/>
  <c r="K40" i="7" s="1"/>
  <c r="F40" i="7"/>
  <c r="E40" i="7"/>
  <c r="H39" i="7"/>
  <c r="K39" i="7" s="1"/>
  <c r="G39" i="7"/>
  <c r="I39" i="7" s="1"/>
  <c r="J39" i="7" s="1"/>
  <c r="F39" i="7"/>
  <c r="E39" i="7"/>
  <c r="H38" i="7"/>
  <c r="K38" i="7" s="1"/>
  <c r="G38" i="7"/>
  <c r="I38" i="7" s="1"/>
  <c r="J38" i="7" s="1"/>
  <c r="F38" i="7"/>
  <c r="E38" i="7"/>
  <c r="H37" i="7"/>
  <c r="K37" i="7" s="1"/>
  <c r="G37" i="7"/>
  <c r="I37" i="7" s="1"/>
  <c r="J37" i="7" s="1"/>
  <c r="F37" i="7"/>
  <c r="E37" i="7"/>
  <c r="H36" i="7"/>
  <c r="K36" i="7" s="1"/>
  <c r="G36" i="7"/>
  <c r="I36" i="7" s="1"/>
  <c r="J36" i="7" s="1"/>
  <c r="F36" i="7"/>
  <c r="E36" i="7"/>
  <c r="H35" i="7"/>
  <c r="K35" i="7" s="1"/>
  <c r="G35" i="7"/>
  <c r="I35" i="7" s="1"/>
  <c r="J35" i="7" s="1"/>
  <c r="F35" i="7"/>
  <c r="E35" i="7"/>
  <c r="E34" i="7"/>
  <c r="F34" i="7"/>
  <c r="G34" i="7"/>
  <c r="I34" i="7" s="1"/>
  <c r="J34" i="7" s="1"/>
  <c r="H34" i="7"/>
  <c r="K34" i="7" s="1"/>
  <c r="E33" i="7"/>
  <c r="F33" i="7"/>
  <c r="G33" i="7"/>
  <c r="I33" i="7" s="1"/>
  <c r="J33" i="7" s="1"/>
  <c r="H33" i="7"/>
  <c r="K33" i="7" s="1"/>
  <c r="H32" i="7"/>
  <c r="K32" i="7" s="1"/>
  <c r="G32" i="7"/>
  <c r="I32" i="7" s="1"/>
  <c r="J32" i="7" s="1"/>
  <c r="F32" i="7"/>
  <c r="E32" i="7"/>
  <c r="H31" i="7"/>
  <c r="K31" i="7" s="1"/>
  <c r="G31" i="7"/>
  <c r="I31" i="7" s="1"/>
  <c r="J31" i="7" s="1"/>
  <c r="F31" i="7"/>
  <c r="E31" i="7"/>
  <c r="H30" i="7"/>
  <c r="K30" i="7" s="1"/>
  <c r="G30" i="7"/>
  <c r="I30" i="7" s="1"/>
  <c r="J30" i="7" s="1"/>
  <c r="F30" i="7"/>
  <c r="E30" i="7"/>
  <c r="H29" i="7"/>
  <c r="K29" i="7" s="1"/>
  <c r="G29" i="7"/>
  <c r="I29" i="7" s="1"/>
  <c r="J29" i="7" s="1"/>
  <c r="F29" i="7"/>
  <c r="E29" i="7"/>
  <c r="H28" i="7"/>
  <c r="K28" i="7" s="1"/>
  <c r="G28" i="7"/>
  <c r="I28" i="7" s="1"/>
  <c r="J28" i="7" s="1"/>
  <c r="F28" i="7"/>
  <c r="E28" i="7"/>
  <c r="H27" i="7"/>
  <c r="K27" i="7" s="1"/>
  <c r="G27" i="7"/>
  <c r="I27" i="7" s="1"/>
  <c r="J27" i="7" s="1"/>
  <c r="F27" i="7"/>
  <c r="E27" i="7"/>
  <c r="H26" i="7"/>
  <c r="K26" i="7" s="1"/>
  <c r="G26" i="7"/>
  <c r="I26" i="7" s="1"/>
  <c r="J26" i="7" s="1"/>
  <c r="F26" i="7"/>
  <c r="E26" i="7"/>
  <c r="H25" i="7"/>
  <c r="K25" i="7" s="1"/>
  <c r="G25" i="7"/>
  <c r="I25" i="7" s="1"/>
  <c r="J25" i="7" s="1"/>
  <c r="F25" i="7"/>
  <c r="E25" i="7"/>
  <c r="H24" i="7"/>
  <c r="K24" i="7" s="1"/>
  <c r="G24" i="7"/>
  <c r="I24" i="7" s="1"/>
  <c r="J24" i="7" s="1"/>
  <c r="F24" i="7"/>
  <c r="E24" i="7"/>
  <c r="H23" i="7"/>
  <c r="K23" i="7" s="1"/>
  <c r="G23" i="7"/>
  <c r="I23" i="7" s="1"/>
  <c r="J23" i="7" s="1"/>
  <c r="F23" i="7"/>
  <c r="E23" i="7"/>
  <c r="H22" i="7"/>
  <c r="K22" i="7" s="1"/>
  <c r="G22" i="7"/>
  <c r="I22" i="7" s="1"/>
  <c r="J22" i="7" s="1"/>
  <c r="F22" i="7"/>
  <c r="E22" i="7"/>
  <c r="H21" i="7"/>
  <c r="K21" i="7" s="1"/>
  <c r="G21" i="7"/>
  <c r="I21" i="7" s="1"/>
  <c r="J21" i="7" s="1"/>
  <c r="F21" i="7"/>
  <c r="E21" i="7"/>
  <c r="G20" i="7"/>
  <c r="I20" i="7" s="1"/>
  <c r="J20" i="7" s="1"/>
  <c r="H20" i="7"/>
  <c r="K20" i="7" s="1"/>
  <c r="F20" i="7"/>
  <c r="E20" i="7"/>
  <c r="G19" i="7"/>
  <c r="I19" i="7" s="1"/>
  <c r="J19" i="7" s="1"/>
  <c r="H19" i="7"/>
  <c r="K19" i="7" s="1"/>
  <c r="F19" i="7"/>
  <c r="E19" i="7"/>
  <c r="E18" i="7"/>
  <c r="H18" i="7"/>
  <c r="K18" i="7" s="1"/>
  <c r="G18" i="7"/>
  <c r="I18" i="7" s="1"/>
  <c r="J18" i="7" s="1"/>
  <c r="F18" i="7"/>
  <c r="H17" i="7"/>
  <c r="K17" i="7" s="1"/>
  <c r="G17" i="7"/>
  <c r="I17" i="7" s="1"/>
  <c r="J17" i="7" s="1"/>
  <c r="F17" i="7"/>
  <c r="E17" i="7"/>
  <c r="H16" i="7"/>
  <c r="K16" i="7" s="1"/>
  <c r="E16" i="7"/>
  <c r="F16" i="7"/>
  <c r="G16" i="7"/>
  <c r="I16" i="7" s="1"/>
  <c r="J16" i="7" s="1"/>
  <c r="G15" i="7"/>
  <c r="I15" i="7" s="1"/>
  <c r="J15" i="7" s="1"/>
  <c r="E15" i="7"/>
  <c r="F15" i="7"/>
  <c r="H15" i="7"/>
  <c r="K15" i="7" s="1"/>
  <c r="H14" i="7"/>
  <c r="K14" i="7" s="1"/>
  <c r="G14" i="7"/>
  <c r="I14" i="7" s="1"/>
  <c r="J14" i="7" s="1"/>
  <c r="F14" i="7"/>
  <c r="E14" i="7"/>
  <c r="H13" i="7"/>
  <c r="K13" i="7" s="1"/>
  <c r="G13" i="7"/>
  <c r="I13" i="7" s="1"/>
  <c r="J13" i="7" s="1"/>
  <c r="F13" i="7"/>
  <c r="E13" i="7"/>
  <c r="H12" i="7"/>
  <c r="K12" i="7" s="1"/>
  <c r="G12" i="7"/>
  <c r="I12" i="7" s="1"/>
  <c r="J12" i="7" s="1"/>
  <c r="F12" i="7"/>
  <c r="E12" i="7"/>
  <c r="E11" i="7"/>
  <c r="H11" i="7"/>
  <c r="K11" i="7" s="1"/>
  <c r="G11" i="7"/>
  <c r="I11" i="7" s="1"/>
  <c r="J11" i="7" s="1"/>
  <c r="F11" i="7"/>
  <c r="H10" i="7"/>
  <c r="K10" i="7" s="1"/>
  <c r="G10" i="7"/>
  <c r="I10" i="7" s="1"/>
  <c r="J10" i="7" s="1"/>
  <c r="F10" i="7"/>
  <c r="E10" i="7"/>
  <c r="E9" i="7"/>
  <c r="H9" i="7"/>
  <c r="K9" i="7" s="1"/>
  <c r="G9" i="7"/>
  <c r="I9" i="7" s="1"/>
  <c r="J9" i="7" s="1"/>
  <c r="F9" i="7"/>
  <c r="E8" i="7"/>
  <c r="H8" i="7"/>
  <c r="K8" i="7" s="1"/>
  <c r="G8" i="7"/>
  <c r="I8" i="7" s="1"/>
  <c r="J8" i="7" s="1"/>
  <c r="F8" i="7"/>
  <c r="H7" i="7"/>
  <c r="K7" i="7" s="1"/>
  <c r="G7" i="7"/>
  <c r="I7" i="7" s="1"/>
  <c r="J7" i="7" s="1"/>
  <c r="F7" i="7"/>
  <c r="E7" i="7"/>
  <c r="G6" i="7"/>
  <c r="I6" i="7" s="1"/>
  <c r="J6" i="7" s="1"/>
  <c r="H6" i="7"/>
  <c r="K6" i="7" s="1"/>
  <c r="F6" i="7"/>
  <c r="E6" i="7"/>
  <c r="H5" i="7"/>
  <c r="K5" i="7" s="1"/>
  <c r="G5" i="7"/>
  <c r="I5" i="7" s="1"/>
  <c r="J5" i="7" s="1"/>
  <c r="F5" i="7"/>
  <c r="E5" i="7"/>
  <c r="H4" i="7"/>
  <c r="K4" i="7" s="1"/>
  <c r="G4" i="7"/>
  <c r="I4" i="7" s="1"/>
  <c r="J4" i="7" s="1"/>
  <c r="F4" i="7"/>
  <c r="E4" i="7"/>
  <c r="H3" i="7"/>
  <c r="K3" i="7" s="1"/>
  <c r="G3" i="7"/>
  <c r="I3" i="7" s="1"/>
  <c r="J3" i="7" s="1"/>
  <c r="F3" i="7"/>
  <c r="E3" i="7"/>
  <c r="E2" i="7"/>
  <c r="F2" i="7"/>
  <c r="H2" i="7"/>
  <c r="G2" i="7"/>
  <c r="AI76" i="1"/>
  <c r="B9" i="5"/>
  <c r="AI59" i="1"/>
  <c r="B8" i="5"/>
  <c r="AI42" i="1"/>
  <c r="B7" i="5"/>
  <c r="AI25" i="1"/>
  <c r="B6" i="5"/>
  <c r="B10" i="5" s="1"/>
  <c r="E5" i="1"/>
  <c r="G5" i="1"/>
  <c r="B18" i="5"/>
  <c r="S76" i="2"/>
  <c r="S59" i="2"/>
  <c r="B17" i="5"/>
  <c r="S42" i="2"/>
  <c r="B16" i="5"/>
  <c r="B15" i="5"/>
  <c r="B19" i="5" s="1"/>
  <c r="S25" i="2"/>
  <c r="I1314" i="7" l="1"/>
  <c r="J1314" i="7" s="1"/>
  <c r="K2" i="7"/>
  <c r="N5" i="6"/>
  <c r="I969" i="7"/>
  <c r="J969" i="7" s="1"/>
  <c r="I2" i="7"/>
  <c r="J2" i="7" s="1"/>
  <c r="I1159" i="7"/>
  <c r="I693" i="7"/>
  <c r="J693" i="7" s="1"/>
  <c r="I1363" i="7"/>
  <c r="J1363" i="7" s="1"/>
  <c r="I1204" i="7"/>
  <c r="I1199" i="7"/>
  <c r="I1156" i="7"/>
  <c r="J1156" i="7" s="1"/>
  <c r="I699" i="7"/>
  <c r="J699" i="7" s="1"/>
  <c r="I615" i="7"/>
  <c r="J615" i="7" s="1"/>
  <c r="I1362" i="7"/>
  <c r="I1361" i="7"/>
  <c r="J1361" i="7" s="1"/>
  <c r="I1360" i="7"/>
  <c r="J1360" i="7" s="1"/>
  <c r="I1359" i="7"/>
  <c r="J1359" i="7" s="1"/>
  <c r="I1358" i="7"/>
  <c r="J1358" i="7" s="1"/>
  <c r="I1357" i="7"/>
  <c r="I1356" i="7"/>
  <c r="I1355" i="7"/>
  <c r="J1355" i="7" s="1"/>
  <c r="I1354" i="7"/>
  <c r="J1354" i="7" s="1"/>
  <c r="I1203" i="7"/>
  <c r="J1203" i="7" s="1"/>
  <c r="I1198" i="7"/>
  <c r="J1198" i="7" s="1"/>
  <c r="I1194" i="7"/>
  <c r="I1160" i="7"/>
  <c r="J1160" i="7" s="1"/>
  <c r="I1154" i="7"/>
  <c r="J1154" i="7" s="1"/>
  <c r="I690" i="7"/>
  <c r="J690" i="7" s="1"/>
  <c r="I1287" i="7"/>
  <c r="I1286" i="7"/>
  <c r="I1285" i="7"/>
  <c r="J1285" i="7" s="1"/>
  <c r="I1284" i="7"/>
  <c r="J1284" i="7" s="1"/>
  <c r="I1283" i="7"/>
  <c r="I1282" i="7"/>
  <c r="J1282" i="7" s="1"/>
  <c r="I1281" i="7"/>
  <c r="J1281" i="7" s="1"/>
  <c r="I1280" i="7"/>
  <c r="I1279" i="7"/>
  <c r="I1278" i="7"/>
  <c r="J1278" i="7" s="1"/>
  <c r="I1277" i="7"/>
  <c r="J1277" i="7" s="1"/>
  <c r="I1276" i="7"/>
  <c r="I1275" i="7"/>
  <c r="J1275" i="7" s="1"/>
  <c r="I1274" i="7"/>
  <c r="J1274" i="7" s="1"/>
  <c r="I1245" i="7"/>
  <c r="I1244" i="7"/>
  <c r="J1244" i="7" s="1"/>
  <c r="I1243" i="7"/>
  <c r="J1243" i="7" s="1"/>
  <c r="I1242" i="7"/>
  <c r="J1242" i="7" s="1"/>
  <c r="I1241" i="7"/>
  <c r="J1241" i="7" s="1"/>
  <c r="I1240" i="7"/>
  <c r="J1240" i="7" s="1"/>
  <c r="I1239" i="7"/>
  <c r="J1239" i="7" s="1"/>
  <c r="I1238" i="7"/>
  <c r="J1238" i="7" s="1"/>
  <c r="I1237" i="7"/>
  <c r="J1237" i="7" s="1"/>
  <c r="I1236" i="7"/>
  <c r="I1235" i="7"/>
  <c r="J1235" i="7" s="1"/>
  <c r="I1234" i="7"/>
  <c r="J1234" i="7" s="1"/>
  <c r="I1202" i="7"/>
  <c r="J1202" i="7" s="1"/>
  <c r="I1200" i="7"/>
  <c r="I1195" i="7"/>
  <c r="J1195" i="7" s="1"/>
  <c r="I1162" i="7"/>
  <c r="I1155" i="7"/>
  <c r="I626" i="7"/>
  <c r="I1131" i="7"/>
  <c r="J1131" i="7" s="1"/>
  <c r="I1130" i="7"/>
  <c r="J1130" i="7" s="1"/>
  <c r="K1119" i="7"/>
  <c r="I1119" i="7"/>
  <c r="J1119" i="7" s="1"/>
  <c r="I1118" i="7"/>
  <c r="K1118" i="7"/>
  <c r="I1108" i="7"/>
  <c r="I1107" i="7"/>
  <c r="I1106" i="7"/>
  <c r="I1101" i="7"/>
  <c r="J1101" i="7" s="1"/>
  <c r="I1100" i="7"/>
  <c r="I1099" i="7"/>
  <c r="J1099" i="7" s="1"/>
  <c r="I1098" i="7"/>
  <c r="J1098" i="7" s="1"/>
  <c r="I1097" i="7"/>
  <c r="J1097" i="7" s="1"/>
  <c r="I1096" i="7"/>
  <c r="I1095" i="7"/>
  <c r="I1094" i="7"/>
  <c r="I1065" i="7"/>
  <c r="I1064" i="7"/>
  <c r="J1064" i="7" s="1"/>
  <c r="I691" i="7"/>
  <c r="J691" i="7" s="1"/>
  <c r="I1063" i="7"/>
  <c r="J1063" i="7" s="1"/>
  <c r="I1062" i="7"/>
  <c r="J1062" i="7" s="1"/>
  <c r="I1061" i="7"/>
  <c r="J1061" i="7" s="1"/>
  <c r="I1060" i="7"/>
  <c r="J1060" i="7" s="1"/>
  <c r="I1059" i="7"/>
  <c r="J1059" i="7" s="1"/>
  <c r="I1058" i="7"/>
  <c r="J1058" i="7" s="1"/>
  <c r="I1036" i="7"/>
  <c r="I1035" i="7"/>
  <c r="J1035" i="7" s="1"/>
  <c r="I1034" i="7"/>
  <c r="I1022" i="7"/>
  <c r="I1011" i="7"/>
  <c r="I1010" i="7"/>
  <c r="I1004" i="7"/>
  <c r="J1004" i="7" s="1"/>
  <c r="I1003" i="7"/>
  <c r="J1003" i="7" s="1"/>
  <c r="I1002" i="7"/>
  <c r="J1002" i="7" s="1"/>
  <c r="I1001" i="7"/>
  <c r="J1001" i="7" s="1"/>
  <c r="I1000" i="7"/>
  <c r="J1000" i="7" s="1"/>
  <c r="I999" i="7"/>
  <c r="J999" i="7" s="1"/>
  <c r="I998" i="7"/>
  <c r="J998" i="7" s="1"/>
  <c r="I993" i="7"/>
  <c r="J993" i="7" s="1"/>
  <c r="I992" i="7"/>
  <c r="J992" i="7" s="1"/>
  <c r="I991" i="7"/>
  <c r="J991" i="7" s="1"/>
  <c r="I990" i="7"/>
  <c r="J990" i="7" s="1"/>
  <c r="I916" i="7"/>
  <c r="I915" i="7"/>
  <c r="I914" i="7"/>
  <c r="I746" i="7"/>
  <c r="J746" i="7" s="1"/>
  <c r="I736" i="7"/>
  <c r="I722" i="7"/>
  <c r="I712" i="7"/>
  <c r="J712" i="7" s="1"/>
  <c r="I710" i="7"/>
  <c r="I698" i="7"/>
  <c r="J698" i="7" s="1"/>
  <c r="I989" i="7"/>
  <c r="J989" i="7" s="1"/>
  <c r="I988" i="7"/>
  <c r="J988" i="7" s="1"/>
  <c r="I987" i="7"/>
  <c r="J987" i="7" s="1"/>
  <c r="I986" i="7"/>
  <c r="J986" i="7" s="1"/>
  <c r="I979" i="7"/>
  <c r="J979" i="7" s="1"/>
  <c r="I978" i="7"/>
  <c r="J978" i="7" s="1"/>
  <c r="I977" i="7"/>
  <c r="J977" i="7" s="1"/>
  <c r="I976" i="7"/>
  <c r="J976" i="7" s="1"/>
  <c r="I975" i="7"/>
  <c r="J975" i="7" s="1"/>
  <c r="I974" i="7"/>
  <c r="J974" i="7" s="1"/>
  <c r="I970" i="7"/>
  <c r="J970" i="7" s="1"/>
  <c r="I968" i="7"/>
  <c r="J968" i="7" s="1"/>
  <c r="I967" i="7"/>
  <c r="I966" i="7"/>
  <c r="J966" i="7" s="1"/>
  <c r="I965" i="7"/>
  <c r="J965" i="7" s="1"/>
  <c r="I964" i="7"/>
  <c r="J964" i="7" s="1"/>
  <c r="I963" i="7"/>
  <c r="J963" i="7" s="1"/>
  <c r="I962" i="7"/>
  <c r="J962" i="7" s="1"/>
  <c r="I939" i="7"/>
  <c r="J939" i="7" s="1"/>
  <c r="I938" i="7"/>
  <c r="J938" i="7" s="1"/>
  <c r="I735" i="7"/>
  <c r="I723" i="7"/>
  <c r="I714" i="7"/>
  <c r="I711" i="7"/>
  <c r="J711" i="7" s="1"/>
  <c r="I700" i="7"/>
  <c r="J700" i="7" s="1"/>
  <c r="I688" i="7"/>
  <c r="I874" i="7"/>
  <c r="I873" i="7"/>
  <c r="J873" i="7" s="1"/>
  <c r="I872" i="7"/>
  <c r="J872" i="7" s="1"/>
  <c r="I871" i="7"/>
  <c r="J871" i="7" s="1"/>
  <c r="I870" i="7"/>
  <c r="J870" i="7" s="1"/>
  <c r="I869" i="7"/>
  <c r="J869" i="7" s="1"/>
  <c r="I868" i="7"/>
  <c r="J868" i="7" s="1"/>
  <c r="I867" i="7"/>
  <c r="J867" i="7" s="1"/>
  <c r="I866" i="7"/>
  <c r="J866" i="7" s="1"/>
  <c r="I778" i="7"/>
  <c r="J778" i="7" s="1"/>
  <c r="I777" i="7"/>
  <c r="J777" i="7" s="1"/>
  <c r="I775" i="7"/>
  <c r="J775" i="7" s="1"/>
  <c r="I774" i="7"/>
  <c r="J774" i="7" s="1"/>
  <c r="I773" i="7"/>
  <c r="J773" i="7" s="1"/>
  <c r="I772" i="7"/>
  <c r="J772" i="7" s="1"/>
  <c r="I771" i="7"/>
  <c r="J771" i="7" s="1"/>
  <c r="I770" i="7"/>
  <c r="I759" i="7"/>
  <c r="J759" i="7" s="1"/>
  <c r="I779" i="7"/>
  <c r="J779" i="7" s="1"/>
  <c r="I776" i="7"/>
  <c r="J776" i="7" s="1"/>
  <c r="I747" i="7"/>
  <c r="J747" i="7" s="1"/>
  <c r="I734" i="7"/>
  <c r="I724" i="7"/>
  <c r="J724" i="7" s="1"/>
  <c r="I713" i="7"/>
  <c r="J713" i="7" s="1"/>
  <c r="I694" i="7"/>
  <c r="I687" i="7"/>
  <c r="J687" i="7" s="1"/>
  <c r="I686" i="7"/>
  <c r="I678" i="7"/>
  <c r="I677" i="7"/>
  <c r="J677" i="7" s="1"/>
  <c r="I676" i="7"/>
  <c r="J676" i="7" s="1"/>
  <c r="I675" i="7"/>
  <c r="J675" i="7" s="1"/>
  <c r="I674" i="7"/>
  <c r="K662" i="7"/>
  <c r="I662" i="7"/>
  <c r="J662" i="7" s="1"/>
  <c r="I650" i="7"/>
  <c r="J650" i="7" s="1"/>
  <c r="K650" i="7"/>
  <c r="I638" i="7"/>
  <c r="I555" i="7"/>
  <c r="J555" i="7" s="1"/>
  <c r="I554" i="7"/>
  <c r="I518" i="7"/>
  <c r="I511" i="7"/>
  <c r="J511" i="7" s="1"/>
  <c r="I510" i="7"/>
  <c r="J510" i="7" s="1"/>
  <c r="I508" i="7"/>
  <c r="J508" i="7" s="1"/>
  <c r="I506" i="7"/>
  <c r="I502" i="7"/>
  <c r="J502" i="7" s="1"/>
  <c r="I501" i="7"/>
  <c r="J501" i="7" s="1"/>
  <c r="I499" i="7"/>
  <c r="J499" i="7" s="1"/>
  <c r="I497" i="7"/>
  <c r="J497" i="7" s="1"/>
  <c r="I496" i="7"/>
  <c r="J496" i="7" s="1"/>
  <c r="I495" i="7"/>
  <c r="J495" i="7" s="1"/>
  <c r="I494" i="7"/>
  <c r="J494" i="7" s="1"/>
  <c r="I492" i="7"/>
  <c r="J492" i="7" s="1"/>
  <c r="I491" i="7"/>
  <c r="J491" i="7" s="1"/>
  <c r="I490" i="7"/>
  <c r="J490" i="7" s="1"/>
  <c r="I489" i="7"/>
  <c r="J489" i="7" s="1"/>
  <c r="I488" i="7"/>
  <c r="J488" i="7" s="1"/>
  <c r="I487" i="7"/>
  <c r="J487" i="7" s="1"/>
  <c r="I486" i="7"/>
  <c r="J486" i="7" s="1"/>
  <c r="I485" i="7"/>
  <c r="J485" i="7" s="1"/>
  <c r="I484" i="7"/>
  <c r="J484" i="7" s="1"/>
  <c r="I482" i="7"/>
  <c r="J482" i="7" s="1"/>
  <c r="I375" i="7"/>
  <c r="J375" i="7" s="1"/>
  <c r="I367" i="7"/>
  <c r="J367" i="7" s="1"/>
  <c r="I364" i="7"/>
  <c r="J364" i="7" s="1"/>
  <c r="I345" i="7"/>
  <c r="J345" i="7" s="1"/>
  <c r="I342" i="7"/>
  <c r="J342" i="7" s="1"/>
  <c r="I339" i="7"/>
  <c r="J339" i="7" s="1"/>
  <c r="I525" i="7"/>
  <c r="J525" i="7" s="1"/>
  <c r="I524" i="7"/>
  <c r="J524" i="7" s="1"/>
  <c r="I523" i="7"/>
  <c r="J523" i="7" s="1"/>
  <c r="I522" i="7"/>
  <c r="J522" i="7" s="1"/>
  <c r="I521" i="7"/>
  <c r="J521" i="7" s="1"/>
  <c r="I520" i="7"/>
  <c r="J520" i="7" s="1"/>
  <c r="I519" i="7"/>
  <c r="J519" i="7" s="1"/>
  <c r="I512" i="7"/>
  <c r="J512" i="7" s="1"/>
  <c r="I509" i="7"/>
  <c r="J509" i="7" s="1"/>
  <c r="I507" i="7"/>
  <c r="J507" i="7" s="1"/>
  <c r="I503" i="7"/>
  <c r="J503" i="7" s="1"/>
  <c r="I500" i="7"/>
  <c r="J500" i="7" s="1"/>
  <c r="I498" i="7"/>
  <c r="J498" i="7" s="1"/>
  <c r="I483" i="7"/>
  <c r="J483" i="7" s="1"/>
  <c r="I470" i="7"/>
  <c r="I374" i="7"/>
  <c r="I365" i="7"/>
  <c r="I362" i="7"/>
  <c r="I343" i="7"/>
  <c r="J343" i="7" s="1"/>
  <c r="I340" i="7"/>
  <c r="J340" i="7" s="1"/>
  <c r="I458" i="7"/>
  <c r="I446" i="7"/>
  <c r="I434" i="7"/>
  <c r="I376" i="7"/>
  <c r="I366" i="7"/>
  <c r="J366" i="7" s="1"/>
  <c r="I363" i="7"/>
  <c r="J363" i="7" s="1"/>
  <c r="I344" i="7"/>
  <c r="J344" i="7" s="1"/>
  <c r="I341" i="7"/>
  <c r="I338" i="7"/>
  <c r="I305" i="7"/>
  <c r="J305" i="7" s="1"/>
  <c r="I304" i="7"/>
  <c r="J304" i="7" s="1"/>
  <c r="I303" i="7"/>
  <c r="J303" i="7" s="1"/>
  <c r="I302" i="7"/>
  <c r="I298" i="7"/>
  <c r="J298" i="7" s="1"/>
  <c r="I297" i="7"/>
  <c r="J297" i="7" s="1"/>
  <c r="I296" i="7"/>
  <c r="J296" i="7" s="1"/>
  <c r="I295" i="7"/>
  <c r="J295" i="7" s="1"/>
  <c r="I294" i="7"/>
  <c r="J294" i="7" s="1"/>
  <c r="I293" i="7"/>
  <c r="J293" i="7" s="1"/>
  <c r="I292" i="7"/>
  <c r="J292" i="7" s="1"/>
  <c r="I291" i="7"/>
  <c r="J291" i="7" s="1"/>
  <c r="I290" i="7"/>
  <c r="J290" i="7" s="1"/>
  <c r="I278" i="7"/>
  <c r="K266" i="7"/>
  <c r="I266" i="7"/>
  <c r="I254" i="7"/>
  <c r="I243" i="7"/>
  <c r="I242" i="7"/>
  <c r="I187" i="7"/>
  <c r="J187" i="7" s="1"/>
  <c r="I186" i="7"/>
  <c r="J186" i="7" s="1"/>
  <c r="I185" i="7"/>
  <c r="J185" i="7" s="1"/>
  <c r="I184" i="7"/>
  <c r="J184" i="7" s="1"/>
  <c r="I183" i="7"/>
  <c r="J183" i="7" s="1"/>
  <c r="I182" i="7"/>
  <c r="I175" i="7"/>
  <c r="J175" i="7" s="1"/>
  <c r="I174" i="7"/>
  <c r="J174" i="7" s="1"/>
  <c r="I173" i="7"/>
  <c r="J173" i="7" s="1"/>
  <c r="I172" i="7"/>
  <c r="J172" i="7" s="1"/>
  <c r="I171" i="7"/>
  <c r="J171" i="7" s="1"/>
  <c r="I170" i="7"/>
  <c r="I1158" i="7"/>
  <c r="I627" i="7"/>
  <c r="I149" i="7"/>
  <c r="J149" i="7" s="1"/>
  <c r="I148" i="7"/>
  <c r="I147" i="7"/>
  <c r="J147" i="7" s="1"/>
  <c r="I146" i="7"/>
  <c r="I107" i="7"/>
  <c r="J107" i="7" s="1"/>
  <c r="I106" i="7"/>
  <c r="J106" i="7" s="1"/>
  <c r="I105" i="7"/>
  <c r="J105" i="7" s="1"/>
  <c r="I104" i="7"/>
  <c r="J104" i="7" s="1"/>
  <c r="I103" i="7"/>
  <c r="J103" i="7" s="1"/>
  <c r="I102" i="7"/>
  <c r="J102" i="7" s="1"/>
  <c r="I101" i="7"/>
  <c r="J101" i="7" s="1"/>
  <c r="I100" i="7"/>
  <c r="J100" i="7" s="1"/>
  <c r="I99" i="7"/>
  <c r="J99" i="7" s="1"/>
  <c r="I98" i="7"/>
  <c r="I87" i="7"/>
  <c r="I86" i="7"/>
  <c r="I1201" i="7"/>
  <c r="J1201" i="7" s="1"/>
  <c r="I1197" i="7"/>
  <c r="I1161" i="7"/>
  <c r="I701" i="7"/>
  <c r="J701" i="7" s="1"/>
  <c r="I692" i="7"/>
  <c r="J692" i="7" s="1"/>
  <c r="I64" i="7"/>
  <c r="I63" i="7"/>
  <c r="I62" i="7"/>
  <c r="I1205" i="7"/>
  <c r="I1196" i="7"/>
  <c r="I1157" i="7"/>
  <c r="I689" i="7"/>
  <c r="J689" i="7" s="1"/>
  <c r="I614" i="7"/>
  <c r="J1280" i="7" l="1"/>
  <c r="A162" i="6"/>
  <c r="B162" i="6"/>
  <c r="C162" i="6"/>
  <c r="D162" i="6"/>
  <c r="E162" i="6"/>
  <c r="A163" i="6"/>
  <c r="B163" i="6"/>
  <c r="C163" i="6"/>
  <c r="D163" i="6"/>
  <c r="E163" i="6"/>
  <c r="A164" i="6"/>
  <c r="B164" i="6"/>
  <c r="C164" i="6"/>
  <c r="D164" i="6"/>
  <c r="E164" i="6"/>
  <c r="A165" i="6"/>
  <c r="B165" i="6"/>
  <c r="C165" i="6"/>
  <c r="D165" i="6"/>
  <c r="E165" i="6"/>
  <c r="A166" i="6"/>
  <c r="B166" i="6"/>
  <c r="C166" i="6"/>
  <c r="D166" i="6"/>
  <c r="E166" i="6"/>
  <c r="A167" i="6"/>
  <c r="B167" i="6"/>
  <c r="C167" i="6"/>
  <c r="D167" i="6"/>
  <c r="E167" i="6"/>
  <c r="A168" i="6"/>
  <c r="B168" i="6"/>
  <c r="C168" i="6"/>
  <c r="D168" i="6"/>
  <c r="E168" i="6"/>
  <c r="A169" i="6"/>
  <c r="B169" i="6"/>
  <c r="C169" i="6"/>
  <c r="D169" i="6"/>
  <c r="E169" i="6"/>
  <c r="A170" i="6"/>
  <c r="B170" i="6"/>
  <c r="C170" i="6"/>
  <c r="D170" i="6"/>
  <c r="E170" i="6"/>
  <c r="A171" i="6"/>
  <c r="B171" i="6"/>
  <c r="C171" i="6"/>
  <c r="D171" i="6"/>
  <c r="E171" i="6"/>
  <c r="A172" i="6"/>
  <c r="B172" i="6"/>
  <c r="C172" i="6"/>
  <c r="D172" i="6"/>
  <c r="E172" i="6"/>
  <c r="A173" i="6"/>
  <c r="B173" i="6"/>
  <c r="C173" i="6"/>
  <c r="D173" i="6"/>
  <c r="E173" i="6"/>
  <c r="A174" i="6"/>
  <c r="B174" i="6"/>
  <c r="C174" i="6"/>
  <c r="D174" i="6"/>
  <c r="E174" i="6"/>
  <c r="A175" i="6"/>
  <c r="B175" i="6"/>
  <c r="C175" i="6"/>
  <c r="D175" i="6"/>
  <c r="E175" i="6"/>
  <c r="A176" i="6"/>
  <c r="B176" i="6"/>
  <c r="C176" i="6"/>
  <c r="D176" i="6"/>
  <c r="E176" i="6"/>
  <c r="A177" i="6"/>
  <c r="B177" i="6"/>
  <c r="C177" i="6"/>
  <c r="D177" i="6"/>
  <c r="E177" i="6"/>
  <c r="A178" i="6"/>
  <c r="B178" i="6"/>
  <c r="C178" i="6"/>
  <c r="D178" i="6"/>
  <c r="E178" i="6"/>
  <c r="A179" i="6"/>
  <c r="B179" i="6"/>
  <c r="C179" i="6"/>
  <c r="D179" i="6"/>
  <c r="E179" i="6"/>
  <c r="A180" i="6"/>
  <c r="B180" i="6"/>
  <c r="C180" i="6"/>
  <c r="D180" i="6"/>
  <c r="E180" i="6"/>
  <c r="A181" i="6"/>
  <c r="B181" i="6"/>
  <c r="C181" i="6"/>
  <c r="D181" i="6"/>
  <c r="E181" i="6"/>
  <c r="A182" i="6"/>
  <c r="B182" i="6"/>
  <c r="C182" i="6"/>
  <c r="D182" i="6"/>
  <c r="E182" i="6"/>
  <c r="A183" i="6"/>
  <c r="B183" i="6"/>
  <c r="C183" i="6"/>
  <c r="D183" i="6"/>
  <c r="E183" i="6"/>
  <c r="A184" i="6"/>
  <c r="B184" i="6"/>
  <c r="C184" i="6"/>
  <c r="D184" i="6"/>
  <c r="E184" i="6"/>
  <c r="A185" i="6"/>
  <c r="B185" i="6"/>
  <c r="C185" i="6"/>
  <c r="D185" i="6"/>
  <c r="E185" i="6"/>
  <c r="A186" i="6"/>
  <c r="B186" i="6"/>
  <c r="C186" i="6"/>
  <c r="D186" i="6"/>
  <c r="E186" i="6"/>
  <c r="A187" i="6"/>
  <c r="B187" i="6"/>
  <c r="C187" i="6"/>
  <c r="D187" i="6"/>
  <c r="E187" i="6"/>
  <c r="A188" i="6"/>
  <c r="B188" i="6"/>
  <c r="C188" i="6"/>
  <c r="D188" i="6"/>
  <c r="E188" i="6"/>
  <c r="A189" i="6"/>
  <c r="B189" i="6"/>
  <c r="C189" i="6"/>
  <c r="D189" i="6"/>
  <c r="E189" i="6"/>
  <c r="A190" i="6"/>
  <c r="B190" i="6"/>
  <c r="C190" i="6"/>
  <c r="D190" i="6"/>
  <c r="E190" i="6"/>
  <c r="A191" i="6"/>
  <c r="B191" i="6"/>
  <c r="C191" i="6"/>
  <c r="D191" i="6"/>
  <c r="E191" i="6"/>
  <c r="J1159" i="7"/>
  <c r="J1204" i="7"/>
  <c r="J1199" i="7"/>
  <c r="J1362" i="7"/>
  <c r="J916" i="7"/>
  <c r="J1357" i="7"/>
  <c r="J1356" i="7"/>
  <c r="J1283" i="7"/>
  <c r="J1279" i="7"/>
  <c r="J1236" i="7"/>
  <c r="J1200" i="7"/>
  <c r="J1162" i="7"/>
  <c r="J1155" i="7"/>
  <c r="J626" i="7"/>
  <c r="J1095" i="7"/>
  <c r="J1036" i="7"/>
  <c r="J1118" i="7"/>
  <c r="J1108" i="7"/>
  <c r="J1107" i="7"/>
  <c r="J1106" i="7"/>
  <c r="J1100" i="7"/>
  <c r="J1096" i="7"/>
  <c r="J1034" i="7"/>
  <c r="J1094" i="7"/>
  <c r="J1065" i="7"/>
  <c r="J1011" i="7"/>
  <c r="J1010" i="7"/>
  <c r="J914" i="7"/>
  <c r="J736" i="7"/>
  <c r="J722" i="7"/>
  <c r="J967" i="7"/>
  <c r="J735" i="7"/>
  <c r="J723" i="7"/>
  <c r="J688" i="7"/>
  <c r="J874" i="7"/>
  <c r="J614" i="7"/>
  <c r="J710" i="7"/>
  <c r="J714" i="7"/>
  <c r="J1157" i="7"/>
  <c r="J770" i="7"/>
  <c r="J734" i="7"/>
  <c r="J694" i="7"/>
  <c r="J518" i="7"/>
  <c r="J146" i="7"/>
  <c r="J1196" i="7"/>
  <c r="J1286" i="7"/>
  <c r="J686" i="7"/>
  <c r="J678" i="7"/>
  <c r="J674" i="7"/>
  <c r="J638" i="7"/>
  <c r="J554" i="7"/>
  <c r="J170" i="7"/>
  <c r="J62" i="7"/>
  <c r="J506" i="7"/>
  <c r="J365" i="7"/>
  <c r="J362" i="7"/>
  <c r="J338" i="7"/>
  <c r="J254" i="7"/>
  <c r="J1158" i="7"/>
  <c r="J63" i="7"/>
  <c r="J1194" i="7"/>
  <c r="J470" i="7"/>
  <c r="J374" i="7"/>
  <c r="J341" i="7"/>
  <c r="J278" i="7"/>
  <c r="J182" i="7"/>
  <c r="J64" i="7"/>
  <c r="J1022" i="7"/>
  <c r="J458" i="7"/>
  <c r="J446" i="7"/>
  <c r="J434" i="7"/>
  <c r="J376" i="7"/>
  <c r="J302" i="7"/>
  <c r="J243" i="7"/>
  <c r="J627" i="7"/>
  <c r="J1205" i="7"/>
  <c r="J1287" i="7"/>
  <c r="J915" i="7"/>
  <c r="J266" i="7"/>
  <c r="J1161" i="7"/>
  <c r="J242" i="7"/>
  <c r="J1197" i="7"/>
  <c r="J148" i="7"/>
  <c r="J98" i="7"/>
  <c r="J1245" i="7"/>
  <c r="J87" i="7"/>
  <c r="J86" i="7"/>
  <c r="J1276" i="7"/>
  <c r="A20" i="6" l="1"/>
  <c r="A21" i="6"/>
  <c r="A22" i="6"/>
  <c r="A23" i="6"/>
  <c r="A26" i="6"/>
  <c r="A27" i="6"/>
  <c r="A28" i="6"/>
  <c r="A43" i="6"/>
  <c r="A46" i="6"/>
  <c r="A49" i="6"/>
  <c r="A92" i="6"/>
  <c r="A97" i="6"/>
  <c r="A102" i="6"/>
  <c r="A147" i="6"/>
  <c r="A153" i="6"/>
  <c r="A157" i="6"/>
  <c r="A8" i="6"/>
  <c r="A12" i="6"/>
  <c r="A17" i="6"/>
  <c r="A24" i="6"/>
  <c r="A30" i="6"/>
  <c r="A31" i="6"/>
  <c r="A32" i="6"/>
  <c r="A33" i="6"/>
  <c r="A34" i="6"/>
  <c r="A35" i="6"/>
  <c r="A36" i="6"/>
  <c r="A37" i="6"/>
  <c r="A38" i="6"/>
  <c r="A39" i="6"/>
  <c r="A10" i="6"/>
  <c r="A13" i="6"/>
  <c r="A14" i="6"/>
  <c r="A45" i="6"/>
  <c r="A48" i="6"/>
  <c r="A51" i="6"/>
  <c r="A52" i="6"/>
  <c r="A53" i="6"/>
  <c r="A54" i="6"/>
  <c r="A55" i="6"/>
  <c r="A56" i="6"/>
  <c r="A57" i="6"/>
  <c r="A58" i="6"/>
  <c r="A59" i="6"/>
  <c r="A128" i="6"/>
  <c r="A132" i="6"/>
  <c r="A136" i="6"/>
  <c r="A140" i="6"/>
  <c r="A143" i="6"/>
  <c r="A47" i="6"/>
  <c r="A99" i="6"/>
  <c r="A145"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 i="6"/>
  <c r="A16" i="6"/>
  <c r="A18" i="6"/>
  <c r="A19" i="6"/>
  <c r="A29" i="6"/>
  <c r="A40" i="6"/>
  <c r="A115" i="6"/>
  <c r="A119" i="6"/>
  <c r="A122" i="6"/>
  <c r="A125" i="6"/>
  <c r="A129" i="6"/>
  <c r="A135" i="6"/>
  <c r="A139" i="6"/>
  <c r="A11" i="6"/>
  <c r="A50" i="6"/>
  <c r="A100" i="6"/>
  <c r="A41" i="6"/>
  <c r="A42" i="6"/>
  <c r="A44" i="6"/>
  <c r="A93" i="6"/>
  <c r="A96" i="6"/>
  <c r="A98" i="6"/>
  <c r="A103" i="6"/>
  <c r="A104" i="6"/>
  <c r="A105" i="6"/>
  <c r="A106" i="6"/>
  <c r="A107" i="6"/>
  <c r="A108" i="6"/>
  <c r="A109" i="6"/>
  <c r="A110" i="6"/>
  <c r="A111" i="6"/>
  <c r="A112" i="6"/>
  <c r="A113" i="6"/>
  <c r="A114" i="6"/>
  <c r="A116" i="6"/>
  <c r="A121" i="6"/>
  <c r="A124" i="6"/>
  <c r="A126" i="6"/>
  <c r="A130" i="6"/>
  <c r="A133" i="6"/>
  <c r="A137" i="6"/>
  <c r="A141" i="6"/>
  <c r="A15" i="6"/>
  <c r="A94" i="6"/>
  <c r="A101" i="6"/>
  <c r="A117" i="6"/>
  <c r="A118" i="6"/>
  <c r="A120" i="6"/>
  <c r="A123" i="6"/>
  <c r="A127" i="6"/>
  <c r="A131" i="6"/>
  <c r="A134" i="6"/>
  <c r="A138" i="6"/>
  <c r="A142" i="6"/>
  <c r="A25" i="6"/>
  <c r="A95" i="6"/>
  <c r="A144" i="6"/>
  <c r="A146" i="6"/>
  <c r="A148" i="6"/>
  <c r="A149" i="6"/>
  <c r="A150" i="6"/>
  <c r="A151" i="6"/>
  <c r="A152" i="6"/>
  <c r="A154" i="6"/>
  <c r="A155" i="6"/>
  <c r="A156" i="6"/>
  <c r="H20" i="6" l="1"/>
  <c r="F20" i="6"/>
  <c r="M20" i="6"/>
  <c r="E20" i="6"/>
  <c r="B20" i="6"/>
  <c r="N20" i="6"/>
  <c r="J20" i="6"/>
  <c r="G20" i="6"/>
  <c r="L20" i="6"/>
  <c r="C20" i="6"/>
  <c r="I20" i="6"/>
  <c r="D20" i="6"/>
  <c r="J21" i="6"/>
  <c r="E21" i="6"/>
  <c r="L21" i="6"/>
  <c r="G21" i="6"/>
  <c r="B21" i="6"/>
  <c r="N21" i="6"/>
  <c r="H21" i="6"/>
  <c r="D21" i="6"/>
  <c r="M21" i="6"/>
  <c r="I21" i="6"/>
  <c r="F21" i="6"/>
  <c r="C21" i="6"/>
  <c r="M22" i="6"/>
  <c r="H22" i="6"/>
  <c r="D22" i="6"/>
  <c r="L22" i="6"/>
  <c r="G22" i="6"/>
  <c r="B22" i="6"/>
  <c r="I22" i="6"/>
  <c r="E22" i="6"/>
  <c r="C22" i="6"/>
  <c r="N22" i="6"/>
  <c r="J22" i="6"/>
  <c r="F22" i="6"/>
  <c r="I23" i="6"/>
  <c r="F23" i="6"/>
  <c r="C23" i="6"/>
  <c r="E23" i="6"/>
  <c r="M23" i="6"/>
  <c r="J23" i="6"/>
  <c r="H23" i="6"/>
  <c r="B23" i="6"/>
  <c r="N23" i="6"/>
  <c r="L23" i="6"/>
  <c r="G23" i="6"/>
  <c r="D23" i="6"/>
  <c r="N26" i="6"/>
  <c r="J26" i="6"/>
  <c r="D26" i="6"/>
  <c r="M26" i="6"/>
  <c r="G26" i="6"/>
  <c r="E26" i="6"/>
  <c r="L26" i="6"/>
  <c r="H26" i="6"/>
  <c r="B26" i="6"/>
  <c r="I26" i="6"/>
  <c r="F26" i="6"/>
  <c r="C26" i="6"/>
  <c r="L27" i="6"/>
  <c r="H27" i="6"/>
  <c r="E27" i="6"/>
  <c r="B27" i="6"/>
  <c r="N27" i="6"/>
  <c r="M27" i="6"/>
  <c r="I27" i="6"/>
  <c r="D27" i="6"/>
  <c r="J27" i="6"/>
  <c r="F27" i="6"/>
  <c r="G27" i="6"/>
  <c r="C27" i="6"/>
  <c r="M28" i="6"/>
  <c r="F28" i="6"/>
  <c r="C28" i="6"/>
  <c r="I28" i="6"/>
  <c r="D28" i="6"/>
  <c r="H28" i="6"/>
  <c r="B28" i="6"/>
  <c r="L28" i="6"/>
  <c r="E28" i="6"/>
  <c r="N28" i="6"/>
  <c r="J28" i="6"/>
  <c r="G28" i="6"/>
  <c r="J43" i="6"/>
  <c r="F43" i="6"/>
  <c r="C43" i="6"/>
  <c r="M43" i="6"/>
  <c r="L43" i="6"/>
  <c r="I43" i="6"/>
  <c r="G43" i="6"/>
  <c r="D43" i="6"/>
  <c r="B43" i="6"/>
  <c r="N43" i="6"/>
  <c r="H43" i="6"/>
  <c r="E43" i="6"/>
  <c r="H46" i="6"/>
  <c r="G46" i="6"/>
  <c r="D46" i="6"/>
  <c r="B46" i="6"/>
  <c r="F46" i="6"/>
  <c r="E46" i="6"/>
  <c r="C46" i="6"/>
  <c r="M46" i="6"/>
  <c r="J46" i="6"/>
  <c r="N46" i="6"/>
  <c r="L46" i="6"/>
  <c r="I46" i="6"/>
  <c r="H49" i="6"/>
  <c r="B49" i="6"/>
  <c r="N49" i="6"/>
  <c r="J49" i="6"/>
  <c r="I49" i="6"/>
  <c r="F49" i="6"/>
  <c r="D49" i="6"/>
  <c r="L49" i="6"/>
  <c r="G49" i="6"/>
  <c r="C49" i="6"/>
  <c r="M49" i="6"/>
  <c r="E49" i="6"/>
  <c r="L92" i="6"/>
  <c r="H92" i="6"/>
  <c r="C92" i="6"/>
  <c r="B92" i="6"/>
  <c r="J92" i="6"/>
  <c r="G92" i="6"/>
  <c r="D92" i="6"/>
  <c r="N92" i="6"/>
  <c r="M92" i="6"/>
  <c r="I92" i="6"/>
  <c r="F92" i="6"/>
  <c r="E92" i="6"/>
  <c r="M97" i="6"/>
  <c r="K97" i="6"/>
  <c r="I97" i="6"/>
  <c r="F97" i="6"/>
  <c r="C97" i="6"/>
  <c r="J97" i="6"/>
  <c r="H97" i="6"/>
  <c r="E97" i="6"/>
  <c r="D97" i="6"/>
  <c r="B97" i="6"/>
  <c r="N97" i="6"/>
  <c r="L97" i="6"/>
  <c r="G97" i="6"/>
  <c r="E102" i="6"/>
  <c r="B102" i="6"/>
  <c r="N102" i="6"/>
  <c r="M102" i="6"/>
  <c r="L102" i="6"/>
  <c r="K102" i="6"/>
  <c r="J102" i="6"/>
  <c r="I102" i="6"/>
  <c r="H102" i="6"/>
  <c r="G102" i="6"/>
  <c r="F102" i="6"/>
  <c r="C102" i="6"/>
  <c r="D102" i="6"/>
  <c r="N147" i="6"/>
  <c r="M147" i="6"/>
  <c r="L147" i="6"/>
  <c r="K147" i="6"/>
  <c r="J147" i="6"/>
  <c r="I147" i="6"/>
  <c r="H147" i="6"/>
  <c r="F147" i="6"/>
  <c r="D147" i="6"/>
  <c r="B147" i="6"/>
  <c r="G147" i="6"/>
  <c r="E147" i="6"/>
  <c r="C147" i="6"/>
  <c r="L153" i="6"/>
  <c r="J153" i="6"/>
  <c r="H153" i="6"/>
  <c r="F153" i="6"/>
  <c r="E153" i="6"/>
  <c r="C153" i="6"/>
  <c r="B153" i="6"/>
  <c r="N153" i="6"/>
  <c r="M153" i="6"/>
  <c r="K153" i="6"/>
  <c r="I153" i="6"/>
  <c r="G153" i="6"/>
  <c r="D153" i="6"/>
  <c r="M157" i="6"/>
  <c r="L157" i="6"/>
  <c r="J157" i="6"/>
  <c r="G157" i="6"/>
  <c r="E157" i="6"/>
  <c r="D157" i="6"/>
  <c r="B157" i="6"/>
  <c r="N157" i="6"/>
  <c r="K157" i="6"/>
  <c r="I157" i="6"/>
  <c r="H157" i="6"/>
  <c r="F157" i="6"/>
  <c r="C157" i="6"/>
  <c r="L8" i="6"/>
  <c r="H8" i="6"/>
  <c r="D8" i="6"/>
  <c r="N8" i="6"/>
  <c r="J8" i="6"/>
  <c r="E8" i="6"/>
  <c r="B8" i="6"/>
  <c r="M5" i="6"/>
  <c r="I8" i="6"/>
  <c r="F8" i="6"/>
  <c r="C8" i="6"/>
  <c r="M8" i="6"/>
  <c r="G8" i="6"/>
  <c r="I12" i="6"/>
  <c r="E12" i="6"/>
  <c r="L12" i="6"/>
  <c r="J12" i="6"/>
  <c r="F12" i="6"/>
  <c r="C12" i="6"/>
  <c r="M12" i="6"/>
  <c r="H12" i="6"/>
  <c r="D12" i="6"/>
  <c r="G12" i="6"/>
  <c r="B12" i="6"/>
  <c r="N12" i="6"/>
  <c r="M17" i="6"/>
  <c r="J17" i="6"/>
  <c r="F17" i="6"/>
  <c r="N17" i="6"/>
  <c r="G17" i="6"/>
  <c r="E17" i="6"/>
  <c r="B17" i="6"/>
  <c r="I17" i="6"/>
  <c r="C17" i="6"/>
  <c r="L17" i="6"/>
  <c r="H17" i="6"/>
  <c r="D17" i="6"/>
  <c r="L24" i="6"/>
  <c r="J24" i="6"/>
  <c r="F24" i="6"/>
  <c r="D24" i="6"/>
  <c r="I24" i="6"/>
  <c r="E24" i="6"/>
  <c r="C24" i="6"/>
  <c r="M24" i="6"/>
  <c r="H24" i="6"/>
  <c r="B24" i="6"/>
  <c r="N24" i="6"/>
  <c r="G24" i="6"/>
  <c r="C30" i="6"/>
  <c r="B30" i="6"/>
  <c r="D30" i="6"/>
  <c r="N30" i="6"/>
  <c r="M30" i="6"/>
  <c r="L30" i="6"/>
  <c r="J30" i="6"/>
  <c r="I30" i="6"/>
  <c r="H30" i="6"/>
  <c r="G30" i="6"/>
  <c r="F30" i="6"/>
  <c r="E30" i="6"/>
  <c r="N31" i="6"/>
  <c r="M31" i="6"/>
  <c r="L31" i="6"/>
  <c r="J31" i="6"/>
  <c r="I31" i="6"/>
  <c r="H31" i="6"/>
  <c r="G31" i="6"/>
  <c r="F31" i="6"/>
  <c r="E31" i="6"/>
  <c r="D31" i="6"/>
  <c r="C31" i="6"/>
  <c r="B31" i="6"/>
  <c r="N32" i="6"/>
  <c r="M32" i="6"/>
  <c r="L32" i="6"/>
  <c r="J32" i="6"/>
  <c r="I32" i="6"/>
  <c r="H32" i="6"/>
  <c r="G32" i="6"/>
  <c r="F32" i="6"/>
  <c r="E32" i="6"/>
  <c r="D32" i="6"/>
  <c r="C32" i="6"/>
  <c r="B32" i="6"/>
  <c r="N33" i="6"/>
  <c r="M33" i="6"/>
  <c r="L33" i="6"/>
  <c r="J33" i="6"/>
  <c r="I33" i="6"/>
  <c r="H33" i="6"/>
  <c r="G33" i="6"/>
  <c r="F33" i="6"/>
  <c r="E33" i="6"/>
  <c r="D33" i="6"/>
  <c r="C33" i="6"/>
  <c r="B33" i="6"/>
  <c r="N34" i="6"/>
  <c r="M34" i="6"/>
  <c r="L34" i="6"/>
  <c r="J34" i="6"/>
  <c r="I34" i="6"/>
  <c r="H34" i="6"/>
  <c r="G34" i="6"/>
  <c r="F34" i="6"/>
  <c r="E34" i="6"/>
  <c r="D34" i="6"/>
  <c r="C34" i="6"/>
  <c r="B34" i="6"/>
  <c r="N35" i="6"/>
  <c r="M35" i="6"/>
  <c r="L35" i="6"/>
  <c r="J35" i="6"/>
  <c r="I35" i="6"/>
  <c r="H35" i="6"/>
  <c r="G35" i="6"/>
  <c r="F35" i="6"/>
  <c r="E35" i="6"/>
  <c r="D35" i="6"/>
  <c r="C35" i="6"/>
  <c r="B35" i="6"/>
  <c r="N36" i="6"/>
  <c r="M36" i="6"/>
  <c r="L36" i="6"/>
  <c r="J36" i="6"/>
  <c r="I36" i="6"/>
  <c r="H36" i="6"/>
  <c r="G36" i="6"/>
  <c r="F36" i="6"/>
  <c r="E36" i="6"/>
  <c r="D36" i="6"/>
  <c r="C36" i="6"/>
  <c r="B36" i="6"/>
  <c r="N37" i="6"/>
  <c r="M37" i="6"/>
  <c r="L37" i="6"/>
  <c r="J37" i="6"/>
  <c r="I37" i="6"/>
  <c r="H37" i="6"/>
  <c r="G37" i="6"/>
  <c r="F37" i="6"/>
  <c r="E37" i="6"/>
  <c r="D37" i="6"/>
  <c r="C37" i="6"/>
  <c r="B37" i="6"/>
  <c r="N38" i="6"/>
  <c r="M38" i="6"/>
  <c r="L38" i="6"/>
  <c r="J38" i="6"/>
  <c r="I38" i="6"/>
  <c r="H38" i="6"/>
  <c r="G38" i="6"/>
  <c r="F38" i="6"/>
  <c r="E38" i="6"/>
  <c r="D38" i="6"/>
  <c r="C38" i="6"/>
  <c r="B38" i="6"/>
  <c r="N39" i="6"/>
  <c r="L39" i="6"/>
  <c r="M39" i="6"/>
  <c r="J39" i="6"/>
  <c r="I39" i="6"/>
  <c r="H39" i="6"/>
  <c r="G39" i="6"/>
  <c r="F39" i="6"/>
  <c r="E39" i="6"/>
  <c r="D39" i="6"/>
  <c r="C39" i="6"/>
  <c r="B39" i="6"/>
  <c r="G10" i="6"/>
  <c r="N10" i="6"/>
  <c r="E10" i="6"/>
  <c r="H10" i="6"/>
  <c r="D10" i="6"/>
  <c r="M10" i="6"/>
  <c r="J10" i="6"/>
  <c r="F10" i="6"/>
  <c r="B10" i="6"/>
  <c r="L10" i="6"/>
  <c r="I10" i="6"/>
  <c r="C10" i="6"/>
  <c r="G13" i="6"/>
  <c r="L13" i="6"/>
  <c r="F13" i="6"/>
  <c r="D13" i="6"/>
  <c r="M13" i="6"/>
  <c r="H13" i="6"/>
  <c r="C13" i="6"/>
  <c r="N13" i="6"/>
  <c r="J13" i="6"/>
  <c r="E13" i="6"/>
  <c r="I13" i="6"/>
  <c r="B13" i="6"/>
  <c r="K13" i="6" s="1"/>
  <c r="J14" i="6"/>
  <c r="D14" i="6"/>
  <c r="L14" i="6"/>
  <c r="F14" i="6"/>
  <c r="G14" i="6"/>
  <c r="B14" i="6"/>
  <c r="M14" i="6"/>
  <c r="I14" i="6"/>
  <c r="E14" i="6"/>
  <c r="N14" i="6"/>
  <c r="H14" i="6"/>
  <c r="C14" i="6"/>
  <c r="I45" i="6"/>
  <c r="D45" i="6"/>
  <c r="N45" i="6"/>
  <c r="F45" i="6"/>
  <c r="B45" i="6"/>
  <c r="L45" i="6"/>
  <c r="H45" i="6"/>
  <c r="M45" i="6"/>
  <c r="J45" i="6"/>
  <c r="G45" i="6"/>
  <c r="E45" i="6"/>
  <c r="C45" i="6"/>
  <c r="L48" i="6"/>
  <c r="H48" i="6"/>
  <c r="D48" i="6"/>
  <c r="N48" i="6"/>
  <c r="I48" i="6"/>
  <c r="G48" i="6"/>
  <c r="E48" i="6"/>
  <c r="B48" i="6"/>
  <c r="M48" i="6"/>
  <c r="J48" i="6"/>
  <c r="F48" i="6"/>
  <c r="C48" i="6"/>
  <c r="G51" i="6"/>
  <c r="B51" i="6"/>
  <c r="F51" i="6"/>
  <c r="C51" i="6"/>
  <c r="H51" i="6"/>
  <c r="D51" i="6"/>
  <c r="N51" i="6"/>
  <c r="M51" i="6"/>
  <c r="L51" i="6"/>
  <c r="J51" i="6"/>
  <c r="I51" i="6"/>
  <c r="E51" i="6"/>
  <c r="N52" i="6"/>
  <c r="M52" i="6"/>
  <c r="L52" i="6"/>
  <c r="J52" i="6"/>
  <c r="I52" i="6"/>
  <c r="H52" i="6"/>
  <c r="G52" i="6"/>
  <c r="F52" i="6"/>
  <c r="E52" i="6"/>
  <c r="D52" i="6"/>
  <c r="C52" i="6"/>
  <c r="B52" i="6"/>
  <c r="N53" i="6"/>
  <c r="M53" i="6"/>
  <c r="L53" i="6"/>
  <c r="J53" i="6"/>
  <c r="I53" i="6"/>
  <c r="H53" i="6"/>
  <c r="G53" i="6"/>
  <c r="F53" i="6"/>
  <c r="E53" i="6"/>
  <c r="D53" i="6"/>
  <c r="C53" i="6"/>
  <c r="B53" i="6"/>
  <c r="N54" i="6"/>
  <c r="M54" i="6"/>
  <c r="L54" i="6"/>
  <c r="J54" i="6"/>
  <c r="I54" i="6"/>
  <c r="H54" i="6"/>
  <c r="G54" i="6"/>
  <c r="F54" i="6"/>
  <c r="E54" i="6"/>
  <c r="D54" i="6"/>
  <c r="C54" i="6"/>
  <c r="B54" i="6"/>
  <c r="N55" i="6"/>
  <c r="M55" i="6"/>
  <c r="L55" i="6"/>
  <c r="J55" i="6"/>
  <c r="I55" i="6"/>
  <c r="H55" i="6"/>
  <c r="G55" i="6"/>
  <c r="F55" i="6"/>
  <c r="E55" i="6"/>
  <c r="D55" i="6"/>
  <c r="C55" i="6"/>
  <c r="B55" i="6"/>
  <c r="N56" i="6"/>
  <c r="M56" i="6"/>
  <c r="L56" i="6"/>
  <c r="J56" i="6"/>
  <c r="I56" i="6"/>
  <c r="H56" i="6"/>
  <c r="G56" i="6"/>
  <c r="F56" i="6"/>
  <c r="E56" i="6"/>
  <c r="D56" i="6"/>
  <c r="C56" i="6"/>
  <c r="B56" i="6"/>
  <c r="N57" i="6"/>
  <c r="M57" i="6"/>
  <c r="L57" i="6"/>
  <c r="J57" i="6"/>
  <c r="I57" i="6"/>
  <c r="H57" i="6"/>
  <c r="G57" i="6"/>
  <c r="F57" i="6"/>
  <c r="E57" i="6"/>
  <c r="D57" i="6"/>
  <c r="C57" i="6"/>
  <c r="B57" i="6"/>
  <c r="N58" i="6"/>
  <c r="M58" i="6"/>
  <c r="L58" i="6"/>
  <c r="J58" i="6"/>
  <c r="I58" i="6"/>
  <c r="H58" i="6"/>
  <c r="G58" i="6"/>
  <c r="F58" i="6"/>
  <c r="E58" i="6"/>
  <c r="D58" i="6"/>
  <c r="C58" i="6"/>
  <c r="B58" i="6"/>
  <c r="N59" i="6"/>
  <c r="M59" i="6"/>
  <c r="L59" i="6"/>
  <c r="J59" i="6"/>
  <c r="I59" i="6"/>
  <c r="H59" i="6"/>
  <c r="G59" i="6"/>
  <c r="F59" i="6"/>
  <c r="E59" i="6"/>
  <c r="D59" i="6"/>
  <c r="C59" i="6"/>
  <c r="B59" i="6"/>
  <c r="N128" i="6"/>
  <c r="M128" i="6"/>
  <c r="L128" i="6"/>
  <c r="K128" i="6"/>
  <c r="J128" i="6"/>
  <c r="I128" i="6"/>
  <c r="H128" i="6"/>
  <c r="G128" i="6"/>
  <c r="F128" i="6"/>
  <c r="E128" i="6"/>
  <c r="D128" i="6"/>
  <c r="C128" i="6"/>
  <c r="B128" i="6"/>
  <c r="N132" i="6"/>
  <c r="M132" i="6"/>
  <c r="L132" i="6"/>
  <c r="K132" i="6"/>
  <c r="J132" i="6"/>
  <c r="I132" i="6"/>
  <c r="H132" i="6"/>
  <c r="G132" i="6"/>
  <c r="F132" i="6"/>
  <c r="E132" i="6"/>
  <c r="D132" i="6"/>
  <c r="C132" i="6"/>
  <c r="B132" i="6"/>
  <c r="N136" i="6"/>
  <c r="M136" i="6"/>
  <c r="L136" i="6"/>
  <c r="K136" i="6"/>
  <c r="J136" i="6"/>
  <c r="I136" i="6"/>
  <c r="H136" i="6"/>
  <c r="G136" i="6"/>
  <c r="F136" i="6"/>
  <c r="E136" i="6"/>
  <c r="D136" i="6"/>
  <c r="C136" i="6"/>
  <c r="B136" i="6"/>
  <c r="N140" i="6"/>
  <c r="M140" i="6"/>
  <c r="L140" i="6"/>
  <c r="K140" i="6"/>
  <c r="J140" i="6"/>
  <c r="I140" i="6"/>
  <c r="H140" i="6"/>
  <c r="G140" i="6"/>
  <c r="F140" i="6"/>
  <c r="E140" i="6"/>
  <c r="D140" i="6"/>
  <c r="C140" i="6"/>
  <c r="B140" i="6"/>
  <c r="N143" i="6"/>
  <c r="M143" i="6"/>
  <c r="J143" i="6"/>
  <c r="H143" i="6"/>
  <c r="L143" i="6"/>
  <c r="K143" i="6"/>
  <c r="I143" i="6"/>
  <c r="G143" i="6"/>
  <c r="F143" i="6"/>
  <c r="E143" i="6"/>
  <c r="D143" i="6"/>
  <c r="C143" i="6"/>
  <c r="B143" i="6"/>
  <c r="L47" i="6"/>
  <c r="J47" i="6"/>
  <c r="H47" i="6"/>
  <c r="E47" i="6"/>
  <c r="B47" i="6"/>
  <c r="I47" i="6"/>
  <c r="C47" i="6"/>
  <c r="M47" i="6"/>
  <c r="F47" i="6"/>
  <c r="N47" i="6"/>
  <c r="G47" i="6"/>
  <c r="D47" i="6"/>
  <c r="K47" i="6" s="1"/>
  <c r="L99" i="6"/>
  <c r="J99" i="6"/>
  <c r="G99" i="6"/>
  <c r="C99" i="6"/>
  <c r="N99" i="6"/>
  <c r="M99" i="6"/>
  <c r="K99" i="6"/>
  <c r="H99" i="6"/>
  <c r="F99" i="6"/>
  <c r="B99" i="6"/>
  <c r="I99" i="6"/>
  <c r="E99" i="6"/>
  <c r="D99" i="6"/>
  <c r="N145" i="6"/>
  <c r="K145" i="6"/>
  <c r="I145" i="6"/>
  <c r="H145" i="6"/>
  <c r="F145" i="6"/>
  <c r="D145" i="6"/>
  <c r="B145" i="6"/>
  <c r="M145" i="6"/>
  <c r="L145" i="6"/>
  <c r="J145" i="6"/>
  <c r="G145" i="6"/>
  <c r="E145" i="6"/>
  <c r="C145" i="6"/>
  <c r="N60" i="6"/>
  <c r="M60" i="6"/>
  <c r="L60" i="6"/>
  <c r="J60" i="6"/>
  <c r="I60" i="6"/>
  <c r="H60" i="6"/>
  <c r="G60" i="6"/>
  <c r="F60" i="6"/>
  <c r="E60" i="6"/>
  <c r="D60" i="6"/>
  <c r="C60" i="6"/>
  <c r="B60" i="6"/>
  <c r="N61" i="6"/>
  <c r="M61" i="6"/>
  <c r="L61" i="6"/>
  <c r="J61" i="6"/>
  <c r="I61" i="6"/>
  <c r="H61" i="6"/>
  <c r="G61" i="6"/>
  <c r="F61" i="6"/>
  <c r="E61" i="6"/>
  <c r="D61" i="6"/>
  <c r="C61" i="6"/>
  <c r="B61" i="6"/>
  <c r="N62" i="6"/>
  <c r="M62" i="6"/>
  <c r="L62" i="6"/>
  <c r="J62" i="6"/>
  <c r="I62" i="6"/>
  <c r="H62" i="6"/>
  <c r="G62" i="6"/>
  <c r="F62" i="6"/>
  <c r="E62" i="6"/>
  <c r="D62" i="6"/>
  <c r="C62" i="6"/>
  <c r="B62" i="6"/>
  <c r="N63" i="6"/>
  <c r="M63" i="6"/>
  <c r="L63" i="6"/>
  <c r="J63" i="6"/>
  <c r="I63" i="6"/>
  <c r="H63" i="6"/>
  <c r="G63" i="6"/>
  <c r="F63" i="6"/>
  <c r="E63" i="6"/>
  <c r="D63" i="6"/>
  <c r="C63" i="6"/>
  <c r="B63" i="6"/>
  <c r="K63" i="6" s="1"/>
  <c r="N64" i="6"/>
  <c r="M64" i="6"/>
  <c r="L64" i="6"/>
  <c r="J64" i="6"/>
  <c r="I64" i="6"/>
  <c r="H64" i="6"/>
  <c r="G64" i="6"/>
  <c r="F64" i="6"/>
  <c r="E64" i="6"/>
  <c r="D64" i="6"/>
  <c r="C64" i="6"/>
  <c r="B64" i="6"/>
  <c r="N65" i="6"/>
  <c r="M65" i="6"/>
  <c r="L65" i="6"/>
  <c r="J65" i="6"/>
  <c r="I65" i="6"/>
  <c r="H65" i="6"/>
  <c r="G65" i="6"/>
  <c r="F65" i="6"/>
  <c r="E65" i="6"/>
  <c r="D65" i="6"/>
  <c r="C65" i="6"/>
  <c r="B65" i="6"/>
  <c r="N66" i="6"/>
  <c r="M66" i="6"/>
  <c r="L66" i="6"/>
  <c r="J66" i="6"/>
  <c r="I66" i="6"/>
  <c r="H66" i="6"/>
  <c r="G66" i="6"/>
  <c r="F66" i="6"/>
  <c r="E66" i="6"/>
  <c r="D66" i="6"/>
  <c r="C66" i="6"/>
  <c r="B66" i="6"/>
  <c r="N67" i="6"/>
  <c r="M67" i="6"/>
  <c r="L67" i="6"/>
  <c r="J67" i="6"/>
  <c r="I67" i="6"/>
  <c r="H67" i="6"/>
  <c r="G67" i="6"/>
  <c r="F67" i="6"/>
  <c r="E67" i="6"/>
  <c r="D67" i="6"/>
  <c r="C67" i="6"/>
  <c r="B67" i="6"/>
  <c r="N68" i="6"/>
  <c r="M68" i="6"/>
  <c r="L68" i="6"/>
  <c r="J68" i="6"/>
  <c r="I68" i="6"/>
  <c r="H68" i="6"/>
  <c r="G68" i="6"/>
  <c r="F68" i="6"/>
  <c r="E68" i="6"/>
  <c r="D68" i="6"/>
  <c r="C68" i="6"/>
  <c r="B68" i="6"/>
  <c r="N69" i="6"/>
  <c r="M69" i="6"/>
  <c r="L69" i="6"/>
  <c r="J69" i="6"/>
  <c r="I69" i="6"/>
  <c r="H69" i="6"/>
  <c r="G69" i="6"/>
  <c r="F69" i="6"/>
  <c r="E69" i="6"/>
  <c r="D69" i="6"/>
  <c r="C69" i="6"/>
  <c r="B69" i="6"/>
  <c r="K69" i="6" s="1"/>
  <c r="N70" i="6"/>
  <c r="M70" i="6"/>
  <c r="L70" i="6"/>
  <c r="J70" i="6"/>
  <c r="I70" i="6"/>
  <c r="H70" i="6"/>
  <c r="G70" i="6"/>
  <c r="F70" i="6"/>
  <c r="E70" i="6"/>
  <c r="D70" i="6"/>
  <c r="C70" i="6"/>
  <c r="B70" i="6"/>
  <c r="N71" i="6"/>
  <c r="M71" i="6"/>
  <c r="L71" i="6"/>
  <c r="J71" i="6"/>
  <c r="I71" i="6"/>
  <c r="H71" i="6"/>
  <c r="G71" i="6"/>
  <c r="F71" i="6"/>
  <c r="E71" i="6"/>
  <c r="D71" i="6"/>
  <c r="C71" i="6"/>
  <c r="B71" i="6"/>
  <c r="N72" i="6"/>
  <c r="M72" i="6"/>
  <c r="L72" i="6"/>
  <c r="J72" i="6"/>
  <c r="I72" i="6"/>
  <c r="H72" i="6"/>
  <c r="G72" i="6"/>
  <c r="F72" i="6"/>
  <c r="E72" i="6"/>
  <c r="D72" i="6"/>
  <c r="C72" i="6"/>
  <c r="B72" i="6"/>
  <c r="N73" i="6"/>
  <c r="M73" i="6"/>
  <c r="L73" i="6"/>
  <c r="J73" i="6"/>
  <c r="I73" i="6"/>
  <c r="H73" i="6"/>
  <c r="G73" i="6"/>
  <c r="F73" i="6"/>
  <c r="E73" i="6"/>
  <c r="D73" i="6"/>
  <c r="C73" i="6"/>
  <c r="B73" i="6"/>
  <c r="N74" i="6"/>
  <c r="M74" i="6"/>
  <c r="L74" i="6"/>
  <c r="J74" i="6"/>
  <c r="I74" i="6"/>
  <c r="H74" i="6"/>
  <c r="G74" i="6"/>
  <c r="F74" i="6"/>
  <c r="E74" i="6"/>
  <c r="D74" i="6"/>
  <c r="C74" i="6"/>
  <c r="B74" i="6"/>
  <c r="N75" i="6"/>
  <c r="M75" i="6"/>
  <c r="L75" i="6"/>
  <c r="J75" i="6"/>
  <c r="I75" i="6"/>
  <c r="H75" i="6"/>
  <c r="G75" i="6"/>
  <c r="F75" i="6"/>
  <c r="E75" i="6"/>
  <c r="D75" i="6"/>
  <c r="C75" i="6"/>
  <c r="B75" i="6"/>
  <c r="N76" i="6"/>
  <c r="M76" i="6"/>
  <c r="L76" i="6"/>
  <c r="J76" i="6"/>
  <c r="I76" i="6"/>
  <c r="H76" i="6"/>
  <c r="G76" i="6"/>
  <c r="F76" i="6"/>
  <c r="E76" i="6"/>
  <c r="D76" i="6"/>
  <c r="C76" i="6"/>
  <c r="B76" i="6"/>
  <c r="N77" i="6"/>
  <c r="M77" i="6"/>
  <c r="L77" i="6"/>
  <c r="J77" i="6"/>
  <c r="I77" i="6"/>
  <c r="H77" i="6"/>
  <c r="G77" i="6"/>
  <c r="F77" i="6"/>
  <c r="E77" i="6"/>
  <c r="D77" i="6"/>
  <c r="C77" i="6"/>
  <c r="B77" i="6"/>
  <c r="N78" i="6"/>
  <c r="M78" i="6"/>
  <c r="L78" i="6"/>
  <c r="J78" i="6"/>
  <c r="I78" i="6"/>
  <c r="H78" i="6"/>
  <c r="G78" i="6"/>
  <c r="F78" i="6"/>
  <c r="E78" i="6"/>
  <c r="D78" i="6"/>
  <c r="C78" i="6"/>
  <c r="B78" i="6"/>
  <c r="N79" i="6"/>
  <c r="M79" i="6"/>
  <c r="L79" i="6"/>
  <c r="J79" i="6"/>
  <c r="I79" i="6"/>
  <c r="H79" i="6"/>
  <c r="G79" i="6"/>
  <c r="F79" i="6"/>
  <c r="E79" i="6"/>
  <c r="D79" i="6"/>
  <c r="C79" i="6"/>
  <c r="B79" i="6"/>
  <c r="N80" i="6"/>
  <c r="M80" i="6"/>
  <c r="L80" i="6"/>
  <c r="J80" i="6"/>
  <c r="I80" i="6"/>
  <c r="H80" i="6"/>
  <c r="G80" i="6"/>
  <c r="F80" i="6"/>
  <c r="E80" i="6"/>
  <c r="D80" i="6"/>
  <c r="C80" i="6"/>
  <c r="B80" i="6"/>
  <c r="N81" i="6"/>
  <c r="M81" i="6"/>
  <c r="L81" i="6"/>
  <c r="J81" i="6"/>
  <c r="I81" i="6"/>
  <c r="H81" i="6"/>
  <c r="G81" i="6"/>
  <c r="F81" i="6"/>
  <c r="E81" i="6"/>
  <c r="D81" i="6"/>
  <c r="C81" i="6"/>
  <c r="B81" i="6"/>
  <c r="N82" i="6"/>
  <c r="M82" i="6"/>
  <c r="L82" i="6"/>
  <c r="J82" i="6"/>
  <c r="I82" i="6"/>
  <c r="H82" i="6"/>
  <c r="G82" i="6"/>
  <c r="F82" i="6"/>
  <c r="E82" i="6"/>
  <c r="D82" i="6"/>
  <c r="C82" i="6"/>
  <c r="B82" i="6"/>
  <c r="N83" i="6"/>
  <c r="M83" i="6"/>
  <c r="L83" i="6"/>
  <c r="J83" i="6"/>
  <c r="I83" i="6"/>
  <c r="H83" i="6"/>
  <c r="G83" i="6"/>
  <c r="F83" i="6"/>
  <c r="E83" i="6"/>
  <c r="D83" i="6"/>
  <c r="C83" i="6"/>
  <c r="B83" i="6"/>
  <c r="N84" i="6"/>
  <c r="M84" i="6"/>
  <c r="L84" i="6"/>
  <c r="J84" i="6"/>
  <c r="I84" i="6"/>
  <c r="H84" i="6"/>
  <c r="G84" i="6"/>
  <c r="F84" i="6"/>
  <c r="E84" i="6"/>
  <c r="D84" i="6"/>
  <c r="C84" i="6"/>
  <c r="B84" i="6"/>
  <c r="N85" i="6"/>
  <c r="M85" i="6"/>
  <c r="L85" i="6"/>
  <c r="J85" i="6"/>
  <c r="I85" i="6"/>
  <c r="H85" i="6"/>
  <c r="G85" i="6"/>
  <c r="F85" i="6"/>
  <c r="E85" i="6"/>
  <c r="D85" i="6"/>
  <c r="C85" i="6"/>
  <c r="B85" i="6"/>
  <c r="N86" i="6"/>
  <c r="M86" i="6"/>
  <c r="L86" i="6"/>
  <c r="J86" i="6"/>
  <c r="I86" i="6"/>
  <c r="H86" i="6"/>
  <c r="G86" i="6"/>
  <c r="F86" i="6"/>
  <c r="E86" i="6"/>
  <c r="D86" i="6"/>
  <c r="C86" i="6"/>
  <c r="B86" i="6"/>
  <c r="N87" i="6"/>
  <c r="M87" i="6"/>
  <c r="L87" i="6"/>
  <c r="J87" i="6"/>
  <c r="I87" i="6"/>
  <c r="H87" i="6"/>
  <c r="G87" i="6"/>
  <c r="F87" i="6"/>
  <c r="E87" i="6"/>
  <c r="D87" i="6"/>
  <c r="C87" i="6"/>
  <c r="B87" i="6"/>
  <c r="N88" i="6"/>
  <c r="M88" i="6"/>
  <c r="L88" i="6"/>
  <c r="J88" i="6"/>
  <c r="I88" i="6"/>
  <c r="H88" i="6"/>
  <c r="G88" i="6"/>
  <c r="F88" i="6"/>
  <c r="E88" i="6"/>
  <c r="D88" i="6"/>
  <c r="C88" i="6"/>
  <c r="B88" i="6"/>
  <c r="N89" i="6"/>
  <c r="M89" i="6"/>
  <c r="L89" i="6"/>
  <c r="J89" i="6"/>
  <c r="I89" i="6"/>
  <c r="H89" i="6"/>
  <c r="G89" i="6"/>
  <c r="F89" i="6"/>
  <c r="E89" i="6"/>
  <c r="D89" i="6"/>
  <c r="C89" i="6"/>
  <c r="B89" i="6"/>
  <c r="N90" i="6"/>
  <c r="M90" i="6"/>
  <c r="L90" i="6"/>
  <c r="J90" i="6"/>
  <c r="I90" i="6"/>
  <c r="H90" i="6"/>
  <c r="G90" i="6"/>
  <c r="F90" i="6"/>
  <c r="E90" i="6"/>
  <c r="D90" i="6"/>
  <c r="C90" i="6"/>
  <c r="B90" i="6"/>
  <c r="N91" i="6"/>
  <c r="L91" i="6"/>
  <c r="J91" i="6"/>
  <c r="M91" i="6"/>
  <c r="I91" i="6"/>
  <c r="H91" i="6"/>
  <c r="G91" i="6"/>
  <c r="F91" i="6"/>
  <c r="E91" i="6"/>
  <c r="D91" i="6"/>
  <c r="C91" i="6"/>
  <c r="B91" i="6"/>
  <c r="F9" i="6"/>
  <c r="B9" i="6"/>
  <c r="M9" i="6"/>
  <c r="D9" i="6"/>
  <c r="N9" i="6"/>
  <c r="J9" i="6"/>
  <c r="I9" i="6"/>
  <c r="C9" i="6"/>
  <c r="L9" i="6"/>
  <c r="G9" i="6"/>
  <c r="E9" i="6"/>
  <c r="H9" i="6"/>
  <c r="M16" i="6"/>
  <c r="H16" i="6"/>
  <c r="C16" i="6"/>
  <c r="E16" i="6"/>
  <c r="N16" i="6"/>
  <c r="J16" i="6"/>
  <c r="B16" i="6"/>
  <c r="L16" i="6"/>
  <c r="I16" i="6"/>
  <c r="G16" i="6"/>
  <c r="D16" i="6"/>
  <c r="F16" i="6"/>
  <c r="K16" i="6" s="1"/>
  <c r="N18" i="6"/>
  <c r="B18" i="6"/>
  <c r="I18" i="6"/>
  <c r="C18" i="6"/>
  <c r="L18" i="6"/>
  <c r="J18" i="6"/>
  <c r="E18" i="6"/>
  <c r="M18" i="6"/>
  <c r="H18" i="6"/>
  <c r="D18" i="6"/>
  <c r="G18" i="6"/>
  <c r="F18" i="6"/>
  <c r="L19" i="6"/>
  <c r="J19" i="6"/>
  <c r="C19" i="6"/>
  <c r="I19" i="6"/>
  <c r="E19" i="6"/>
  <c r="H19" i="6"/>
  <c r="D19" i="6"/>
  <c r="N19" i="6"/>
  <c r="F19" i="6"/>
  <c r="B19" i="6"/>
  <c r="M19" i="6"/>
  <c r="G19" i="6"/>
  <c r="M29" i="6"/>
  <c r="J29" i="6"/>
  <c r="I29" i="6"/>
  <c r="E29" i="6"/>
  <c r="C29" i="6"/>
  <c r="G29" i="6"/>
  <c r="N29" i="6"/>
  <c r="L29" i="6"/>
  <c r="H29" i="6"/>
  <c r="D29" i="6"/>
  <c r="B29" i="6"/>
  <c r="F29" i="6"/>
  <c r="N40" i="6"/>
  <c r="L40" i="6"/>
  <c r="G40" i="6"/>
  <c r="B40" i="6"/>
  <c r="M40" i="6"/>
  <c r="I40" i="6"/>
  <c r="F40" i="6"/>
  <c r="C40" i="6"/>
  <c r="J40" i="6"/>
  <c r="H40" i="6"/>
  <c r="E40" i="6"/>
  <c r="D40" i="6"/>
  <c r="N115" i="6"/>
  <c r="M115" i="6"/>
  <c r="L115" i="6"/>
  <c r="K115" i="6"/>
  <c r="J115" i="6"/>
  <c r="I115" i="6"/>
  <c r="H115" i="6"/>
  <c r="G115" i="6"/>
  <c r="F115" i="6"/>
  <c r="E115" i="6"/>
  <c r="D115" i="6"/>
  <c r="C115" i="6"/>
  <c r="B115" i="6"/>
  <c r="N119" i="6"/>
  <c r="M119" i="6"/>
  <c r="L119" i="6"/>
  <c r="K119" i="6"/>
  <c r="J119" i="6"/>
  <c r="I119" i="6"/>
  <c r="H119" i="6"/>
  <c r="G119" i="6"/>
  <c r="F119" i="6"/>
  <c r="E119" i="6"/>
  <c r="D119" i="6"/>
  <c r="C119" i="6"/>
  <c r="B119" i="6"/>
  <c r="N122" i="6"/>
  <c r="M122" i="6"/>
  <c r="L122" i="6"/>
  <c r="K122" i="6"/>
  <c r="J122" i="6"/>
  <c r="I122" i="6"/>
  <c r="H122" i="6"/>
  <c r="G122" i="6"/>
  <c r="F122" i="6"/>
  <c r="E122" i="6"/>
  <c r="D122" i="6"/>
  <c r="C122" i="6"/>
  <c r="B122" i="6"/>
  <c r="N125" i="6"/>
  <c r="M125" i="6"/>
  <c r="L125" i="6"/>
  <c r="K125" i="6"/>
  <c r="J125" i="6"/>
  <c r="I125" i="6"/>
  <c r="H125" i="6"/>
  <c r="G125" i="6"/>
  <c r="F125" i="6"/>
  <c r="E125" i="6"/>
  <c r="D125" i="6"/>
  <c r="C125" i="6"/>
  <c r="B125" i="6"/>
  <c r="N129" i="6"/>
  <c r="M129" i="6"/>
  <c r="L129" i="6"/>
  <c r="K129" i="6"/>
  <c r="J129" i="6"/>
  <c r="I129" i="6"/>
  <c r="H129" i="6"/>
  <c r="G129" i="6"/>
  <c r="F129" i="6"/>
  <c r="E129" i="6"/>
  <c r="D129" i="6"/>
  <c r="C129" i="6"/>
  <c r="B129" i="6"/>
  <c r="N135" i="6"/>
  <c r="M135" i="6"/>
  <c r="L135" i="6"/>
  <c r="K135" i="6"/>
  <c r="J135" i="6"/>
  <c r="I135" i="6"/>
  <c r="H135" i="6"/>
  <c r="G135" i="6"/>
  <c r="F135" i="6"/>
  <c r="E135" i="6"/>
  <c r="D135" i="6"/>
  <c r="C135" i="6"/>
  <c r="B135" i="6"/>
  <c r="N139" i="6"/>
  <c r="M139" i="6"/>
  <c r="L139" i="6"/>
  <c r="K139" i="6"/>
  <c r="J139" i="6"/>
  <c r="I139" i="6"/>
  <c r="H139" i="6"/>
  <c r="G139" i="6"/>
  <c r="F139" i="6"/>
  <c r="E139" i="6"/>
  <c r="D139" i="6"/>
  <c r="C139" i="6"/>
  <c r="B139" i="6"/>
  <c r="M11" i="6"/>
  <c r="J11" i="6"/>
  <c r="H11" i="6"/>
  <c r="C11" i="6"/>
  <c r="F11" i="6"/>
  <c r="B11" i="6"/>
  <c r="D11" i="6"/>
  <c r="N11" i="6"/>
  <c r="I11" i="6"/>
  <c r="L11" i="6"/>
  <c r="G11" i="6"/>
  <c r="E11" i="6"/>
  <c r="M50" i="6"/>
  <c r="I50" i="6"/>
  <c r="G50" i="6"/>
  <c r="B50" i="6"/>
  <c r="H50" i="6"/>
  <c r="E50" i="6"/>
  <c r="N50" i="6"/>
  <c r="J50" i="6"/>
  <c r="F50" i="6"/>
  <c r="C50" i="6"/>
  <c r="L50" i="6"/>
  <c r="D50" i="6"/>
  <c r="N100" i="6"/>
  <c r="I100" i="6"/>
  <c r="B100" i="6"/>
  <c r="M100" i="6"/>
  <c r="J100" i="6"/>
  <c r="H100" i="6"/>
  <c r="E100" i="6"/>
  <c r="C100" i="6"/>
  <c r="L100" i="6"/>
  <c r="K100" i="6"/>
  <c r="G100" i="6"/>
  <c r="F100" i="6"/>
  <c r="D100" i="6"/>
  <c r="M41" i="6"/>
  <c r="J41" i="6"/>
  <c r="G41" i="6"/>
  <c r="E41" i="6"/>
  <c r="B41" i="6"/>
  <c r="N41" i="6"/>
  <c r="L41" i="6"/>
  <c r="I41" i="6"/>
  <c r="F41" i="6"/>
  <c r="C41" i="6"/>
  <c r="H41" i="6"/>
  <c r="D41" i="6"/>
  <c r="M42" i="6"/>
  <c r="G42" i="6"/>
  <c r="D42" i="6"/>
  <c r="B42" i="6"/>
  <c r="I42" i="6"/>
  <c r="F42" i="6"/>
  <c r="C42" i="6"/>
  <c r="N42" i="6"/>
  <c r="L42" i="6"/>
  <c r="J42" i="6"/>
  <c r="H42" i="6"/>
  <c r="E42" i="6"/>
  <c r="J44" i="6"/>
  <c r="G44" i="6"/>
  <c r="B44" i="6"/>
  <c r="M44" i="6"/>
  <c r="F44" i="6"/>
  <c r="L44" i="6"/>
  <c r="H44" i="6"/>
  <c r="E44" i="6"/>
  <c r="C44" i="6"/>
  <c r="N44" i="6"/>
  <c r="I44" i="6"/>
  <c r="D44" i="6"/>
  <c r="N93" i="6"/>
  <c r="L93" i="6"/>
  <c r="J93" i="6"/>
  <c r="G93" i="6"/>
  <c r="E93" i="6"/>
  <c r="I93" i="6"/>
  <c r="F93" i="6"/>
  <c r="B93" i="6"/>
  <c r="M93" i="6"/>
  <c r="H93" i="6"/>
  <c r="D93" i="6"/>
  <c r="C93" i="6"/>
  <c r="H96" i="6"/>
  <c r="F96" i="6"/>
  <c r="B96" i="6"/>
  <c r="N96" i="6"/>
  <c r="L96" i="6"/>
  <c r="J96" i="6"/>
  <c r="G96" i="6"/>
  <c r="D96" i="6"/>
  <c r="M96" i="6"/>
  <c r="K96" i="6"/>
  <c r="I96" i="6"/>
  <c r="E96" i="6"/>
  <c r="C96" i="6"/>
  <c r="N98" i="6"/>
  <c r="L98" i="6"/>
  <c r="I98" i="6"/>
  <c r="F98" i="6"/>
  <c r="D98" i="6"/>
  <c r="J98" i="6"/>
  <c r="G98" i="6"/>
  <c r="E98" i="6"/>
  <c r="B98" i="6"/>
  <c r="M98" i="6"/>
  <c r="K98" i="6"/>
  <c r="H98" i="6"/>
  <c r="C98" i="6"/>
  <c r="N103" i="6"/>
  <c r="M103" i="6"/>
  <c r="L103" i="6"/>
  <c r="K103" i="6"/>
  <c r="J103" i="6"/>
  <c r="I103" i="6"/>
  <c r="H103" i="6"/>
  <c r="G103" i="6"/>
  <c r="F103" i="6"/>
  <c r="E103" i="6"/>
  <c r="D103" i="6"/>
  <c r="C103" i="6"/>
  <c r="B103" i="6"/>
  <c r="N104" i="6"/>
  <c r="M104" i="6"/>
  <c r="L104" i="6"/>
  <c r="K104" i="6"/>
  <c r="J104" i="6"/>
  <c r="I104" i="6"/>
  <c r="H104" i="6"/>
  <c r="G104" i="6"/>
  <c r="F104" i="6"/>
  <c r="E104" i="6"/>
  <c r="D104" i="6"/>
  <c r="C104" i="6"/>
  <c r="B104" i="6"/>
  <c r="N105" i="6"/>
  <c r="M105" i="6"/>
  <c r="L105" i="6"/>
  <c r="K105" i="6"/>
  <c r="J105" i="6"/>
  <c r="I105" i="6"/>
  <c r="H105" i="6"/>
  <c r="G105" i="6"/>
  <c r="F105" i="6"/>
  <c r="E105" i="6"/>
  <c r="D105" i="6"/>
  <c r="C105" i="6"/>
  <c r="B105" i="6"/>
  <c r="N106" i="6"/>
  <c r="M106" i="6"/>
  <c r="L106" i="6"/>
  <c r="K106" i="6"/>
  <c r="J106" i="6"/>
  <c r="I106" i="6"/>
  <c r="H106" i="6"/>
  <c r="G106" i="6"/>
  <c r="F106" i="6"/>
  <c r="E106" i="6"/>
  <c r="D106" i="6"/>
  <c r="C106" i="6"/>
  <c r="B106" i="6"/>
  <c r="N107" i="6"/>
  <c r="M107" i="6"/>
  <c r="L107" i="6"/>
  <c r="K107" i="6"/>
  <c r="J107" i="6"/>
  <c r="I107" i="6"/>
  <c r="H107" i="6"/>
  <c r="G107" i="6"/>
  <c r="F107" i="6"/>
  <c r="E107" i="6"/>
  <c r="D107" i="6"/>
  <c r="C107" i="6"/>
  <c r="B107" i="6"/>
  <c r="N108" i="6"/>
  <c r="M108" i="6"/>
  <c r="L108" i="6"/>
  <c r="K108" i="6"/>
  <c r="J108" i="6"/>
  <c r="I108" i="6"/>
  <c r="H108" i="6"/>
  <c r="G108" i="6"/>
  <c r="F108" i="6"/>
  <c r="E108" i="6"/>
  <c r="D108" i="6"/>
  <c r="C108" i="6"/>
  <c r="B108" i="6"/>
  <c r="N109" i="6"/>
  <c r="M109" i="6"/>
  <c r="L109" i="6"/>
  <c r="K109" i="6"/>
  <c r="J109" i="6"/>
  <c r="I109" i="6"/>
  <c r="H109" i="6"/>
  <c r="G109" i="6"/>
  <c r="F109" i="6"/>
  <c r="E109" i="6"/>
  <c r="D109" i="6"/>
  <c r="C109" i="6"/>
  <c r="B109" i="6"/>
  <c r="N110" i="6"/>
  <c r="M110" i="6"/>
  <c r="L110" i="6"/>
  <c r="K110" i="6"/>
  <c r="J110" i="6"/>
  <c r="I110" i="6"/>
  <c r="H110" i="6"/>
  <c r="G110" i="6"/>
  <c r="F110" i="6"/>
  <c r="E110" i="6"/>
  <c r="D110" i="6"/>
  <c r="C110" i="6"/>
  <c r="B110" i="6"/>
  <c r="N111" i="6"/>
  <c r="M111" i="6"/>
  <c r="L111" i="6"/>
  <c r="K111" i="6"/>
  <c r="J111" i="6"/>
  <c r="I111" i="6"/>
  <c r="H111" i="6"/>
  <c r="G111" i="6"/>
  <c r="F111" i="6"/>
  <c r="E111" i="6"/>
  <c r="D111" i="6"/>
  <c r="C111" i="6"/>
  <c r="B111" i="6"/>
  <c r="N112" i="6"/>
  <c r="M112" i="6"/>
  <c r="L112" i="6"/>
  <c r="K112" i="6"/>
  <c r="J112" i="6"/>
  <c r="I112" i="6"/>
  <c r="H112" i="6"/>
  <c r="G112" i="6"/>
  <c r="F112" i="6"/>
  <c r="E112" i="6"/>
  <c r="D112" i="6"/>
  <c r="C112" i="6"/>
  <c r="B112" i="6"/>
  <c r="N113" i="6"/>
  <c r="M113" i="6"/>
  <c r="L113" i="6"/>
  <c r="K113" i="6"/>
  <c r="J113" i="6"/>
  <c r="I113" i="6"/>
  <c r="H113" i="6"/>
  <c r="G113" i="6"/>
  <c r="F113" i="6"/>
  <c r="E113" i="6"/>
  <c r="D113" i="6"/>
  <c r="C113" i="6"/>
  <c r="B113" i="6"/>
  <c r="N114" i="6"/>
  <c r="M114" i="6"/>
  <c r="L114" i="6"/>
  <c r="K114" i="6"/>
  <c r="J114" i="6"/>
  <c r="I114" i="6"/>
  <c r="H114" i="6"/>
  <c r="G114" i="6"/>
  <c r="F114" i="6"/>
  <c r="E114" i="6"/>
  <c r="D114" i="6"/>
  <c r="C114" i="6"/>
  <c r="B114" i="6"/>
  <c r="N116" i="6"/>
  <c r="M116" i="6"/>
  <c r="L116" i="6"/>
  <c r="K116" i="6"/>
  <c r="J116" i="6"/>
  <c r="I116" i="6"/>
  <c r="H116" i="6"/>
  <c r="G116" i="6"/>
  <c r="F116" i="6"/>
  <c r="E116" i="6"/>
  <c r="D116" i="6"/>
  <c r="C116" i="6"/>
  <c r="B116" i="6"/>
  <c r="N121" i="6"/>
  <c r="M121" i="6"/>
  <c r="L121" i="6"/>
  <c r="K121" i="6"/>
  <c r="J121" i="6"/>
  <c r="I121" i="6"/>
  <c r="H121" i="6"/>
  <c r="G121" i="6"/>
  <c r="F121" i="6"/>
  <c r="E121" i="6"/>
  <c r="D121" i="6"/>
  <c r="C121" i="6"/>
  <c r="B121" i="6"/>
  <c r="N124" i="6"/>
  <c r="M124" i="6"/>
  <c r="L124" i="6"/>
  <c r="K124" i="6"/>
  <c r="J124" i="6"/>
  <c r="I124" i="6"/>
  <c r="H124" i="6"/>
  <c r="G124" i="6"/>
  <c r="F124" i="6"/>
  <c r="E124" i="6"/>
  <c r="D124" i="6"/>
  <c r="C124" i="6"/>
  <c r="B124" i="6"/>
  <c r="N126" i="6"/>
  <c r="M126" i="6"/>
  <c r="L126" i="6"/>
  <c r="K126" i="6"/>
  <c r="J126" i="6"/>
  <c r="I126" i="6"/>
  <c r="H126" i="6"/>
  <c r="G126" i="6"/>
  <c r="F126" i="6"/>
  <c r="E126" i="6"/>
  <c r="D126" i="6"/>
  <c r="C126" i="6"/>
  <c r="B126" i="6"/>
  <c r="N130" i="6"/>
  <c r="M130" i="6"/>
  <c r="L130" i="6"/>
  <c r="K130" i="6"/>
  <c r="J130" i="6"/>
  <c r="I130" i="6"/>
  <c r="H130" i="6"/>
  <c r="G130" i="6"/>
  <c r="F130" i="6"/>
  <c r="E130" i="6"/>
  <c r="D130" i="6"/>
  <c r="C130" i="6"/>
  <c r="B130" i="6"/>
  <c r="N133" i="6"/>
  <c r="M133" i="6"/>
  <c r="L133" i="6"/>
  <c r="K133" i="6"/>
  <c r="J133" i="6"/>
  <c r="I133" i="6"/>
  <c r="H133" i="6"/>
  <c r="G133" i="6"/>
  <c r="F133" i="6"/>
  <c r="E133" i="6"/>
  <c r="D133" i="6"/>
  <c r="C133" i="6"/>
  <c r="B133" i="6"/>
  <c r="N137" i="6"/>
  <c r="M137" i="6"/>
  <c r="L137" i="6"/>
  <c r="K137" i="6"/>
  <c r="J137" i="6"/>
  <c r="I137" i="6"/>
  <c r="H137" i="6"/>
  <c r="G137" i="6"/>
  <c r="F137" i="6"/>
  <c r="E137" i="6"/>
  <c r="D137" i="6"/>
  <c r="C137" i="6"/>
  <c r="B137" i="6"/>
  <c r="N141" i="6"/>
  <c r="M141" i="6"/>
  <c r="L141" i="6"/>
  <c r="K141" i="6"/>
  <c r="J141" i="6"/>
  <c r="I141" i="6"/>
  <c r="H141" i="6"/>
  <c r="G141" i="6"/>
  <c r="F141" i="6"/>
  <c r="E141" i="6"/>
  <c r="D141" i="6"/>
  <c r="C141" i="6"/>
  <c r="B141" i="6"/>
  <c r="I15" i="6"/>
  <c r="E15" i="6"/>
  <c r="M15" i="6"/>
  <c r="H15" i="6"/>
  <c r="F15" i="6"/>
  <c r="L15" i="6"/>
  <c r="C15" i="6"/>
  <c r="J15" i="6"/>
  <c r="D15" i="6"/>
  <c r="B15" i="6"/>
  <c r="N15" i="6"/>
  <c r="G15" i="6"/>
  <c r="N94" i="6"/>
  <c r="L94" i="6"/>
  <c r="J94" i="6"/>
  <c r="G94" i="6"/>
  <c r="B94" i="6"/>
  <c r="M94" i="6"/>
  <c r="H94" i="6"/>
  <c r="E94" i="6"/>
  <c r="C94" i="6"/>
  <c r="I94" i="6"/>
  <c r="F94" i="6"/>
  <c r="D94" i="6"/>
  <c r="N101" i="6"/>
  <c r="L101" i="6"/>
  <c r="J101" i="6"/>
  <c r="G101" i="6"/>
  <c r="C101" i="6"/>
  <c r="I101" i="6"/>
  <c r="F101" i="6"/>
  <c r="B101" i="6"/>
  <c r="M101" i="6"/>
  <c r="K101" i="6"/>
  <c r="H101" i="6"/>
  <c r="E101" i="6"/>
  <c r="D101" i="6"/>
  <c r="N117" i="6"/>
  <c r="M117" i="6"/>
  <c r="L117" i="6"/>
  <c r="K117" i="6"/>
  <c r="J117" i="6"/>
  <c r="I117" i="6"/>
  <c r="H117" i="6"/>
  <c r="G117" i="6"/>
  <c r="F117" i="6"/>
  <c r="E117" i="6"/>
  <c r="D117" i="6"/>
  <c r="C117" i="6"/>
  <c r="B117" i="6"/>
  <c r="N118" i="6"/>
  <c r="M118" i="6"/>
  <c r="L118" i="6"/>
  <c r="K118" i="6"/>
  <c r="J118" i="6"/>
  <c r="I118" i="6"/>
  <c r="H118" i="6"/>
  <c r="G118" i="6"/>
  <c r="F118" i="6"/>
  <c r="E118" i="6"/>
  <c r="D118" i="6"/>
  <c r="C118" i="6"/>
  <c r="B118" i="6"/>
  <c r="N120" i="6"/>
  <c r="M120" i="6"/>
  <c r="L120" i="6"/>
  <c r="K120" i="6"/>
  <c r="J120" i="6"/>
  <c r="I120" i="6"/>
  <c r="H120" i="6"/>
  <c r="G120" i="6"/>
  <c r="F120" i="6"/>
  <c r="E120" i="6"/>
  <c r="D120" i="6"/>
  <c r="C120" i="6"/>
  <c r="B120" i="6"/>
  <c r="N123" i="6"/>
  <c r="M123" i="6"/>
  <c r="L123" i="6"/>
  <c r="K123" i="6"/>
  <c r="J123" i="6"/>
  <c r="I123" i="6"/>
  <c r="H123" i="6"/>
  <c r="G123" i="6"/>
  <c r="F123" i="6"/>
  <c r="E123" i="6"/>
  <c r="D123" i="6"/>
  <c r="C123" i="6"/>
  <c r="B123" i="6"/>
  <c r="N127" i="6"/>
  <c r="M127" i="6"/>
  <c r="L127" i="6"/>
  <c r="K127" i="6"/>
  <c r="J127" i="6"/>
  <c r="I127" i="6"/>
  <c r="H127" i="6"/>
  <c r="G127" i="6"/>
  <c r="F127" i="6"/>
  <c r="E127" i="6"/>
  <c r="D127" i="6"/>
  <c r="C127" i="6"/>
  <c r="B127" i="6"/>
  <c r="N131" i="6"/>
  <c r="M131" i="6"/>
  <c r="L131" i="6"/>
  <c r="K131" i="6"/>
  <c r="J131" i="6"/>
  <c r="I131" i="6"/>
  <c r="H131" i="6"/>
  <c r="G131" i="6"/>
  <c r="F131" i="6"/>
  <c r="E131" i="6"/>
  <c r="D131" i="6"/>
  <c r="C131" i="6"/>
  <c r="B131" i="6"/>
  <c r="N134" i="6"/>
  <c r="M134" i="6"/>
  <c r="L134" i="6"/>
  <c r="K134" i="6"/>
  <c r="J134" i="6"/>
  <c r="I134" i="6"/>
  <c r="H134" i="6"/>
  <c r="G134" i="6"/>
  <c r="F134" i="6"/>
  <c r="E134" i="6"/>
  <c r="D134" i="6"/>
  <c r="C134" i="6"/>
  <c r="B134" i="6"/>
  <c r="N138" i="6"/>
  <c r="M138" i="6"/>
  <c r="L138" i="6"/>
  <c r="K138" i="6"/>
  <c r="J138" i="6"/>
  <c r="I138" i="6"/>
  <c r="H138" i="6"/>
  <c r="G138" i="6"/>
  <c r="F138" i="6"/>
  <c r="E138" i="6"/>
  <c r="D138" i="6"/>
  <c r="C138" i="6"/>
  <c r="B138" i="6"/>
  <c r="N142" i="6"/>
  <c r="M142" i="6"/>
  <c r="L142" i="6"/>
  <c r="K142" i="6"/>
  <c r="J142" i="6"/>
  <c r="I142" i="6"/>
  <c r="H142" i="6"/>
  <c r="G142" i="6"/>
  <c r="F142" i="6"/>
  <c r="E142" i="6"/>
  <c r="D142" i="6"/>
  <c r="C142" i="6"/>
  <c r="B142" i="6"/>
  <c r="N25" i="6"/>
  <c r="L25" i="6"/>
  <c r="I25" i="6"/>
  <c r="G25" i="6"/>
  <c r="C25" i="6"/>
  <c r="J25" i="6"/>
  <c r="F25" i="6"/>
  <c r="D25" i="6"/>
  <c r="B25" i="6"/>
  <c r="M25" i="6"/>
  <c r="H25" i="6"/>
  <c r="E25" i="6"/>
  <c r="J95" i="6"/>
  <c r="G95" i="6"/>
  <c r="C95" i="6"/>
  <c r="M95" i="6"/>
  <c r="I95" i="6"/>
  <c r="D95" i="6"/>
  <c r="B95" i="6"/>
  <c r="N95" i="6"/>
  <c r="L95" i="6"/>
  <c r="H95" i="6"/>
  <c r="F95" i="6"/>
  <c r="E95" i="6"/>
  <c r="N144" i="6"/>
  <c r="M144" i="6"/>
  <c r="J144" i="6"/>
  <c r="H144" i="6"/>
  <c r="F144" i="6"/>
  <c r="E144" i="6"/>
  <c r="C144" i="6"/>
  <c r="B144" i="6"/>
  <c r="L144" i="6"/>
  <c r="K144" i="6"/>
  <c r="I144" i="6"/>
  <c r="G144" i="6"/>
  <c r="D144" i="6"/>
  <c r="L146" i="6"/>
  <c r="I146" i="6"/>
  <c r="G146" i="6"/>
  <c r="D146" i="6"/>
  <c r="B146" i="6"/>
  <c r="N146" i="6"/>
  <c r="M146" i="6"/>
  <c r="K146" i="6"/>
  <c r="J146" i="6"/>
  <c r="H146" i="6"/>
  <c r="F146" i="6"/>
  <c r="E146" i="6"/>
  <c r="C146" i="6"/>
  <c r="N148" i="6"/>
  <c r="M148" i="6"/>
  <c r="L148" i="6"/>
  <c r="K148" i="6"/>
  <c r="J148" i="6"/>
  <c r="I148" i="6"/>
  <c r="H148" i="6"/>
  <c r="G148" i="6"/>
  <c r="F148" i="6"/>
  <c r="E148" i="6"/>
  <c r="D148" i="6"/>
  <c r="C148" i="6"/>
  <c r="B148" i="6"/>
  <c r="N149" i="6"/>
  <c r="M149" i="6"/>
  <c r="L149" i="6"/>
  <c r="K149" i="6"/>
  <c r="J149" i="6"/>
  <c r="I149" i="6"/>
  <c r="H149" i="6"/>
  <c r="G149" i="6"/>
  <c r="F149" i="6"/>
  <c r="E149" i="6"/>
  <c r="D149" i="6"/>
  <c r="C149" i="6"/>
  <c r="B149" i="6"/>
  <c r="N150" i="6"/>
  <c r="M150" i="6"/>
  <c r="J150" i="6"/>
  <c r="I150" i="6"/>
  <c r="G150" i="6"/>
  <c r="F150" i="6"/>
  <c r="D150" i="6"/>
  <c r="B150" i="6"/>
  <c r="L150" i="6"/>
  <c r="K150" i="6"/>
  <c r="H150" i="6"/>
  <c r="E150" i="6"/>
  <c r="C150" i="6"/>
  <c r="N151" i="6"/>
  <c r="L151" i="6"/>
  <c r="J151" i="6"/>
  <c r="H151" i="6"/>
  <c r="F151" i="6"/>
  <c r="D151" i="6"/>
  <c r="M151" i="6"/>
  <c r="K151" i="6"/>
  <c r="I151" i="6"/>
  <c r="G151" i="6"/>
  <c r="E151" i="6"/>
  <c r="C151" i="6"/>
  <c r="B151" i="6"/>
  <c r="J152" i="6"/>
  <c r="H152" i="6"/>
  <c r="F152" i="6"/>
  <c r="E152" i="6"/>
  <c r="B152" i="6"/>
  <c r="N152" i="6"/>
  <c r="M152" i="6"/>
  <c r="L152" i="6"/>
  <c r="K152" i="6"/>
  <c r="I152" i="6"/>
  <c r="G152" i="6"/>
  <c r="D152" i="6"/>
  <c r="C152" i="6"/>
  <c r="N154" i="6"/>
  <c r="M154" i="6"/>
  <c r="K154" i="6"/>
  <c r="I154" i="6"/>
  <c r="G154" i="6"/>
  <c r="F154" i="6"/>
  <c r="D154" i="6"/>
  <c r="B154" i="6"/>
  <c r="L154" i="6"/>
  <c r="J154" i="6"/>
  <c r="H154" i="6"/>
  <c r="E154" i="6"/>
  <c r="C154" i="6"/>
  <c r="N155" i="6"/>
  <c r="M155" i="6"/>
  <c r="L155" i="6"/>
  <c r="K155" i="6"/>
  <c r="J155" i="6"/>
  <c r="I155" i="6"/>
  <c r="G155" i="6"/>
  <c r="E155" i="6"/>
  <c r="B155" i="6"/>
  <c r="H155" i="6"/>
  <c r="F155" i="6"/>
  <c r="D155" i="6"/>
  <c r="C155" i="6"/>
  <c r="N156" i="6"/>
  <c r="M156" i="6"/>
  <c r="L156" i="6"/>
  <c r="K156" i="6"/>
  <c r="J156" i="6"/>
  <c r="I156" i="6"/>
  <c r="H156" i="6"/>
  <c r="G156" i="6"/>
  <c r="F156" i="6"/>
  <c r="E156" i="6"/>
  <c r="D156" i="6"/>
  <c r="C156" i="6"/>
  <c r="B156" i="6"/>
  <c r="K33" i="6" l="1"/>
  <c r="K62" i="6"/>
  <c r="K65" i="6"/>
  <c r="K9" i="6"/>
  <c r="K35" i="6"/>
  <c r="K49" i="6"/>
  <c r="K8" i="6"/>
  <c r="K80" i="6"/>
  <c r="K85" i="6"/>
  <c r="K86" i="6"/>
  <c r="K87" i="6"/>
  <c r="K15" i="6"/>
  <c r="K84" i="6"/>
  <c r="K61" i="6"/>
  <c r="K70" i="6"/>
  <c r="K71" i="6"/>
  <c r="K54" i="6"/>
  <c r="K36" i="6"/>
  <c r="K34" i="6"/>
  <c r="K91" i="6"/>
  <c r="K81" i="6"/>
  <c r="K21" i="6"/>
  <c r="K55" i="6"/>
  <c r="K56" i="6"/>
  <c r="K58" i="6"/>
  <c r="K74" i="6"/>
  <c r="K12" i="6"/>
  <c r="K89" i="6"/>
  <c r="K68" i="6"/>
  <c r="K83" i="6"/>
  <c r="K88" i="6"/>
  <c r="K59" i="6"/>
  <c r="K30" i="6"/>
  <c r="K37" i="6"/>
  <c r="K67" i="6"/>
  <c r="K22" i="6"/>
  <c r="K23" i="6"/>
  <c r="K27" i="6"/>
  <c r="K29" i="6"/>
  <c r="K46" i="6"/>
  <c r="K92" i="6"/>
  <c r="K17" i="6"/>
  <c r="K32" i="6"/>
  <c r="K73" i="6"/>
  <c r="K10" i="6"/>
  <c r="K14" i="6"/>
  <c r="K45" i="6"/>
  <c r="K48" i="6"/>
  <c r="K53" i="6"/>
  <c r="K60" i="6"/>
  <c r="K64" i="6"/>
  <c r="K72" i="6"/>
  <c r="K90" i="6"/>
  <c r="K18" i="6"/>
  <c r="K11" i="6"/>
  <c r="K50" i="6"/>
  <c r="K41" i="6"/>
  <c r="K42" i="6"/>
  <c r="K52" i="6"/>
  <c r="K44" i="6"/>
  <c r="K93" i="6"/>
  <c r="K95" i="6"/>
  <c r="K26" i="6"/>
  <c r="K31" i="6"/>
  <c r="K25" i="6"/>
  <c r="K94" i="6"/>
  <c r="K39" i="6"/>
  <c r="K79" i="6"/>
  <c r="K40" i="6"/>
  <c r="K82" i="6"/>
  <c r="K19" i="6"/>
  <c r="K28" i="6"/>
  <c r="K24" i="6"/>
  <c r="K57" i="6"/>
  <c r="K66" i="6"/>
  <c r="K75" i="6"/>
  <c r="K76" i="6"/>
  <c r="K78" i="6"/>
  <c r="K20" i="6"/>
  <c r="K43" i="6"/>
  <c r="K38" i="6"/>
  <c r="K51" i="6"/>
  <c r="K77" i="6"/>
  <c r="K5" i="6"/>
  <c r="H5" i="6"/>
  <c r="D5" i="6"/>
  <c r="J5" i="6"/>
  <c r="E5" i="6"/>
  <c r="B5" i="6"/>
  <c r="I5" i="6"/>
  <c r="F5" i="6"/>
  <c r="C5" i="6"/>
  <c r="L5" i="6"/>
  <c r="G5" i="6"/>
  <c r="O5" i="1" l="1"/>
  <c r="A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N30" authorId="0" shapeId="0" xr:uid="{00000000-0006-0000-0000-000001000000}">
      <text>
        <r>
          <rPr>
            <sz val="10"/>
            <rFont val="Arial"/>
            <family val="2"/>
          </rPr>
          <t>Customer-owned — Vida.  Logged on the Ready Models tab (Customer-Owned Equipment table).</t>
        </r>
      </text>
    </comment>
    <comment ref="AE33" authorId="0" shapeId="0" xr:uid="{00000000-0006-0000-0000-000006000000}">
      <text>
        <r>
          <rPr>
            <sz val="10"/>
            <rFont val="Arial"/>
            <family val="2"/>
          </rPr>
          <t>INCOMPLETE SERIAL — Excel converted this entry to a number when it was typed, so digits past the 15th were lost. Please re-check the unit and retype the full serial. This column is now formatted as Text, so it will store correctly from here on.</t>
        </r>
      </text>
    </comment>
    <comment ref="O47" authorId="0" shapeId="0" xr:uid="{00000000-0006-0000-0000-000003000000}">
      <text>
        <r>
          <rPr>
            <sz val="10"/>
            <rFont val="Arial"/>
            <family val="2"/>
          </rPr>
          <t>INCOMPLETE SERIAL — Excel converted this entry to a number when it was typed, so digits past the 15th were lost. Please re-check the unit and retype the full serial. This column is now formatted as Text, so it will store correctly from here on.</t>
        </r>
      </text>
    </comment>
    <comment ref="N64" authorId="0" shapeId="0" xr:uid="{00000000-0006-0000-0000-000002000000}">
      <text>
        <r>
          <rPr>
            <sz val="10"/>
            <rFont val="Arial"/>
            <family val="2"/>
          </rPr>
          <t>Customer-owned — Baldi.  Logged on the Ready Models tab (Customer-Owned Equipment table).</t>
        </r>
      </text>
    </comment>
    <comment ref="O64" authorId="0" shapeId="0" xr:uid="{00000000-0006-0000-0000-000004000000}">
      <text>
        <r>
          <rPr>
            <sz val="10"/>
            <rFont val="Arial"/>
            <family val="2"/>
          </rPr>
          <t>INCOMPLETE SERIAL — Excel converted this entry to a number when it was typed, so digits past the 15th were lost. Please re-check the unit and retype the full serial. This column is now formatted as Text, so it will store correctly from here on.</t>
        </r>
      </text>
    </comment>
    <comment ref="P64" authorId="0" shapeId="0" xr:uid="{00000000-0006-0000-0000-000005000000}">
      <text>
        <r>
          <rPr>
            <sz val="10"/>
            <rFont val="Arial"/>
            <family val="2"/>
          </rPr>
          <t>Customer-owned — Kol Fac.  Logged on the Ready Models tab (Customer-Owned Equipment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64" authorId="0" shapeId="0" xr:uid="{00000000-0006-0000-0100-000001000000}">
      <text>
        <r>
          <rPr>
            <sz val="10"/>
            <rFont val="Arial"/>
            <family val="2"/>
          </rPr>
          <t>Customer-owned — Coco's.  Logged on the Ready Models tab (Customer-Owned Equipment table).</t>
        </r>
      </text>
    </comment>
    <comment ref="L65" authorId="0" shapeId="0" xr:uid="{00000000-0006-0000-0100-000002000000}">
      <text>
        <r>
          <rPr>
            <sz val="10"/>
            <rFont val="Arial"/>
            <family val="2"/>
          </rPr>
          <t>Customer-owned — Coco's.  Logged on the Ready Models tab (Customer-Owned Equipment table).</t>
        </r>
      </text>
    </comment>
  </commentList>
</comments>
</file>

<file path=xl/sharedStrings.xml><?xml version="1.0" encoding="utf-8"?>
<sst xmlns="http://schemas.openxmlformats.org/spreadsheetml/2006/main" count="5690" uniqueCount="1448">
  <si>
    <t>READY EQUIPMENT LOG  —  BARN · BACK RACK      (everything on these racks is READY TO USE)</t>
  </si>
  <si>
    <t>LOCATION: BARN.   HOW TO USE:  Each rack COLUMN below is one pallet (B–Q = 16 pallets).  Two pallets side by side = 1 SECTION (8 sections total).  Each section is 4 levels high and each slot holds ~12 pieces, so every level gives you 12 numbered lines per pallet.  Type the Model in the Model column and the unit Serial beside it.  To flag a customer-owned unit, put the customer in parentheses after the model — e.g.  Bunn ITCB (Coco’s).  The unit still counts toward the model total, and the customer is picked up automatically on the Ready Models tab.  ORANGE = Catering pallets (B–E).  PURPLE = Dispenser bay, Section S3 (pallets F &amp; G) on all four levels — dispensers are ACCESSORIES logged by QTY, tracked as their own KPI.</t>
  </si>
  <si>
    <t>LIVE COUNTS  —  updates as you add or remove equipment</t>
  </si>
  <si>
    <t>EQUIPMENT READY
(excl. dispensers)</t>
  </si>
  <si>
    <t>EQUIPMENT
CAPACITY</t>
  </si>
  <si>
    <t>OPEN
SLOTS</t>
  </si>
  <si>
    <t>RACK
FILL %</t>
  </si>
  <si>
    <t>CATERING AREA
UNITS (B–E)</t>
  </si>
  <si>
    <t>DISPENSER UNITS
(accessories, by qty)</t>
  </si>
  <si>
    <t>DISPENSER LINES
USED  (of 96)</t>
  </si>
  <si>
    <t>DISTINCT MODELS
READY (all racks)</t>
  </si>
  <si>
    <t>LEGEND:   ORANGE header/tint = CATERING pallets (B–E)      PURPLE header/tint = DISPENSER bay (Section S3, pallets F &amp; G, all 4 levels — accessories, logged by Qty, separate KPI)      BLUE header = general equipment      A filled Model cell turns GREEN = that unit is Ready to Use      A PINK serial cell = serial missing, or digits lost before the fix (hover for the note)      Slot ID = Pallet + Level, e.g. "H-L3".</t>
  </si>
  <si>
    <t>LEVEL 4  —  TOP          (16 pallets  ·  8 sections  ·  12 lines per slot)</t>
  </si>
  <si>
    <t>SECTION →</t>
  </si>
  <si>
    <t>S1 · PALLET B · L4  (CATERING)</t>
  </si>
  <si>
    <t>S1 · PALLET C · L4  (CATERING)</t>
  </si>
  <si>
    <t>S2 · PALLET D · L4  (CATERING)</t>
  </si>
  <si>
    <t>S2 · PALLET E · L4  (CATERING)</t>
  </si>
  <si>
    <t>S3 · PALLET F · L4  (DISPENSERS)</t>
  </si>
  <si>
    <t>S3 · PALLET G · L4  (DISPENSERS)</t>
  </si>
  <si>
    <t>S4 · PALLET H · L4</t>
  </si>
  <si>
    <t>S4 · PALLET I · L4</t>
  </si>
  <si>
    <t>S5 · PALLET J · L4</t>
  </si>
  <si>
    <t>S5 · PALLET K · L4</t>
  </si>
  <si>
    <t>S6 · PALLET L · L4</t>
  </si>
  <si>
    <t>S6 · PALLET M · L4</t>
  </si>
  <si>
    <t>S7 · PALLET N · L4</t>
  </si>
  <si>
    <t>S7 · PALLET O · L4</t>
  </si>
  <si>
    <t>S8 · PALLET P · L4</t>
  </si>
  <si>
    <t>S8 · PALLET Q · L4</t>
  </si>
  <si>
    <t>LINE #</t>
  </si>
  <si>
    <t>Equipment Model</t>
  </si>
  <si>
    <t>Serial #</t>
  </si>
  <si>
    <t>Dispenser / Accessory</t>
  </si>
  <si>
    <t>Qty</t>
  </si>
  <si>
    <t>LEVEL TOTAL
(equipment)</t>
  </si>
  <si>
    <t>Bunn TDO5</t>
  </si>
  <si>
    <t>Eversys Cameo c'2m</t>
  </si>
  <si>
    <t>0183330226105C0012</t>
  </si>
  <si>
    <t>Bunn G9-2T</t>
  </si>
  <si>
    <t>G951020201</t>
  </si>
  <si>
    <t>Bunn CWTF-APS Twin</t>
  </si>
  <si>
    <t>N/A</t>
  </si>
  <si>
    <t>Fetco 51H</t>
  </si>
  <si>
    <t>2996502A</t>
  </si>
  <si>
    <t>Fetco MBS-1221</t>
  </si>
  <si>
    <t>Bunn TDO4</t>
  </si>
  <si>
    <t>Eversys c'Fridge Beside</t>
  </si>
  <si>
    <t>0107460025057C0021</t>
  </si>
  <si>
    <t>G900064646</t>
  </si>
  <si>
    <t>3158401</t>
  </si>
  <si>
    <t>Bunn TDO3.5LP</t>
  </si>
  <si>
    <t>Bunn CWTF-TC Twin</t>
  </si>
  <si>
    <t>TWIN063686</t>
  </si>
  <si>
    <t>6948299</t>
  </si>
  <si>
    <t>TWIN063695</t>
  </si>
  <si>
    <t>07955803A</t>
  </si>
  <si>
    <t>G900047807</t>
  </si>
  <si>
    <t>20250416</t>
  </si>
  <si>
    <t>G900032562</t>
  </si>
  <si>
    <t>11365402A</t>
  </si>
  <si>
    <t>G900005989</t>
  </si>
  <si>
    <t>G900046418</t>
  </si>
  <si>
    <t>G900040890</t>
  </si>
  <si>
    <t>IN SLOT →</t>
  </si>
  <si>
    <t>/ 12</t>
  </si>
  <si>
    <t>LEVEL 3          (16 pallets  ·  8 sections  ·  12 lines per slot)</t>
  </si>
  <si>
    <t>S1 · PALLET B · L3  (CATERING)</t>
  </si>
  <si>
    <t>S1 · PALLET C · L3  (CATERING)</t>
  </si>
  <si>
    <t>S2 · PALLET D · L3  (CATERING)</t>
  </si>
  <si>
    <t>S2 · PALLET E · L3  (CATERING)</t>
  </si>
  <si>
    <t>S3 · PALLET F · L3  (DISPENSERS)</t>
  </si>
  <si>
    <t>S3 · PALLET G · L3  (DISPENSERS)</t>
  </si>
  <si>
    <t>S4 · PALLET H · L3</t>
  </si>
  <si>
    <t>S4 · PALLET I · L3</t>
  </si>
  <si>
    <t>S5 · PALLET J · L3</t>
  </si>
  <si>
    <t>S5 · PALLET K · L3</t>
  </si>
  <si>
    <t>S6 · PALLET L · L3</t>
  </si>
  <si>
    <t>S6 · PALLET M · L3</t>
  </si>
  <si>
    <t>S7 · PALLET N · L3</t>
  </si>
  <si>
    <t>S7 · PALLET O · L3</t>
  </si>
  <si>
    <t>S8 · PALLET P · L3</t>
  </si>
  <si>
    <t>S8 · PALLET Q · L3</t>
  </si>
  <si>
    <t>Fetco L4S-10</t>
  </si>
  <si>
    <t>Fetco L4D-10</t>
  </si>
  <si>
    <t>Eversys e'4s (Vida)</t>
  </si>
  <si>
    <t>Eversys Cameo c'2s</t>
  </si>
  <si>
    <t>0183130226090C0003</t>
  </si>
  <si>
    <t>Bunn Axiom-APS</t>
  </si>
  <si>
    <t>AXAP048950</t>
  </si>
  <si>
    <t>Bunn Axiom-15-2U1L</t>
  </si>
  <si>
    <t>AX00067024</t>
  </si>
  <si>
    <t>Fetco 2051e</t>
  </si>
  <si>
    <t>470102071577</t>
  </si>
  <si>
    <t>Fetco 1232 Plus</t>
  </si>
  <si>
    <t>12321B23006241064</t>
  </si>
  <si>
    <t>Fetco Twin Station</t>
  </si>
  <si>
    <t>AXAP028650</t>
  </si>
  <si>
    <t>AX00067031</t>
  </si>
  <si>
    <t>470105071605</t>
  </si>
  <si>
    <t>12321B22312252880</t>
  </si>
  <si>
    <t>AXAP028068</t>
  </si>
  <si>
    <t>AX00078697</t>
  </si>
  <si>
    <t>470140071828</t>
  </si>
  <si>
    <t>Fetco 52H</t>
  </si>
  <si>
    <t>30105258944</t>
  </si>
  <si>
    <t>AXAP051199</t>
  </si>
  <si>
    <t>Bunn CWTF-15-2U1L</t>
  </si>
  <si>
    <t>CWTF472186</t>
  </si>
  <si>
    <t>Fetco 1151 V+</t>
  </si>
  <si>
    <t>11515145245217675</t>
  </si>
  <si>
    <t>G9201362</t>
  </si>
  <si>
    <t>AXAP050695</t>
  </si>
  <si>
    <t>CWTF563341</t>
  </si>
  <si>
    <t>470112123156</t>
  </si>
  <si>
    <t>G900045131</t>
  </si>
  <si>
    <t>AXAP049761</t>
  </si>
  <si>
    <t>CWTF544341</t>
  </si>
  <si>
    <t>05482600</t>
  </si>
  <si>
    <t>AXAP058908</t>
  </si>
  <si>
    <t>AX00067025</t>
  </si>
  <si>
    <t>G900049473</t>
  </si>
  <si>
    <t>AXAP054421</t>
  </si>
  <si>
    <t>AXAP025208</t>
  </si>
  <si>
    <t>AXAP049092</t>
  </si>
  <si>
    <t>LEVEL 2          (16 pallets  ·  8 sections  ·  12 lines per slot)</t>
  </si>
  <si>
    <t>S1 · PALLET B · L2  (CATERING)</t>
  </si>
  <si>
    <t>S1 · PALLET C · L2  (CATERING)</t>
  </si>
  <si>
    <t>S2 · PALLET D · L2  (CATERING)</t>
  </si>
  <si>
    <t>S2 · PALLET E · L2  (CATERING)</t>
  </si>
  <si>
    <t>S3 · PALLET F · L2  (DISPENSERS)</t>
  </si>
  <si>
    <t>S3 · PALLET G · L2  (DISPENSERS)</t>
  </si>
  <si>
    <t>S4 · PALLET H · L2</t>
  </si>
  <si>
    <t>S4 · PALLET I · L2</t>
  </si>
  <si>
    <t>S5 · PALLET J · L2</t>
  </si>
  <si>
    <t>S5 · PALLET K · L2</t>
  </si>
  <si>
    <t>S6 · PALLET L · L2</t>
  </si>
  <si>
    <t>S6 · PALLET M · L2</t>
  </si>
  <si>
    <t>S7 · PALLET N · L2</t>
  </si>
  <si>
    <t>S7 · PALLET O · L2</t>
  </si>
  <si>
    <t>S8 · PALLET P · L2</t>
  </si>
  <si>
    <t>S8 · PALLET Q · L2</t>
  </si>
  <si>
    <t>Bunn TDON3.5</t>
  </si>
  <si>
    <t>Fetco L4D-15</t>
  </si>
  <si>
    <t>Eversys e'4m</t>
  </si>
  <si>
    <t>110710024283E0008</t>
  </si>
  <si>
    <t>Eversys e'4s ST X-Wide</t>
  </si>
  <si>
    <t>1166000250770</t>
  </si>
  <si>
    <t>AXAP028453</t>
  </si>
  <si>
    <t>Bunn TB3</t>
  </si>
  <si>
    <t>TU00250664</t>
  </si>
  <si>
    <t>Bunn ITCB</t>
  </si>
  <si>
    <t>ITCB077789</t>
  </si>
  <si>
    <t>Fetco 62H</t>
  </si>
  <si>
    <t>09239002A</t>
  </si>
  <si>
    <t>AXAP026839</t>
  </si>
  <si>
    <t>ITCB125298</t>
  </si>
  <si>
    <t>18050650279A</t>
  </si>
  <si>
    <t>G900003345</t>
  </si>
  <si>
    <t>AXAP098948</t>
  </si>
  <si>
    <t>TU00347329</t>
  </si>
  <si>
    <t>ITCB132589</t>
  </si>
  <si>
    <t>G900025272</t>
  </si>
  <si>
    <t>AXAP049086</t>
  </si>
  <si>
    <t>TU00347728</t>
  </si>
  <si>
    <t>ITCB152375</t>
  </si>
  <si>
    <t>G900057889</t>
  </si>
  <si>
    <t>AXAP024418</t>
  </si>
  <si>
    <t>TU00300412</t>
  </si>
  <si>
    <t>ITCB177231</t>
  </si>
  <si>
    <t>AXAP053501</t>
  </si>
  <si>
    <t>TU00294772</t>
  </si>
  <si>
    <t>ITCB089785</t>
  </si>
  <si>
    <t>AXAP037164</t>
  </si>
  <si>
    <t>TU0030653</t>
  </si>
  <si>
    <t>ITCB139185</t>
  </si>
  <si>
    <t>AXAP028484</t>
  </si>
  <si>
    <t>ITCB077719</t>
  </si>
  <si>
    <t>G900048144</t>
  </si>
  <si>
    <t>AXAP028324</t>
  </si>
  <si>
    <t>G900186939</t>
  </si>
  <si>
    <t>G901202015</t>
  </si>
  <si>
    <t>LEVEL 1  —  FLOOR          (16 pallets  ·  8 sections  ·  12 lines per slot)</t>
  </si>
  <si>
    <t>S1 · PALLET B · L1  (CATERING)</t>
  </si>
  <si>
    <t>S1 · PALLET C · L1  (CATERING)</t>
  </si>
  <si>
    <t>S2 · PALLET D · L1  (CATERING)</t>
  </si>
  <si>
    <t>S2 · PALLET E · L1  (CATERING)</t>
  </si>
  <si>
    <t>S3 · PALLET F · L1  (DISPENSERS)</t>
  </si>
  <si>
    <t>S3 · PALLET G · L1  (DISPENSERS)</t>
  </si>
  <si>
    <t>S4 · PALLET H · L1</t>
  </si>
  <si>
    <t>S4 · PALLET I · L1</t>
  </si>
  <si>
    <t>S5 · PALLET J · L1</t>
  </si>
  <si>
    <t>S5 · PALLET K · L1</t>
  </si>
  <si>
    <t>S6 · PALLET L · L1</t>
  </si>
  <si>
    <t>S6 · PALLET M · L1</t>
  </si>
  <si>
    <t>S7 · PALLET N · L1</t>
  </si>
  <si>
    <t>S7 · PALLET O · L1</t>
  </si>
  <si>
    <t>S8 · PALLET P · L1</t>
  </si>
  <si>
    <t>S8 · PALLET Q · L1</t>
  </si>
  <si>
    <t>Rancilio Classe 5 ST 1GR</t>
  </si>
  <si>
    <t>10456469</t>
  </si>
  <si>
    <t>BNP 1.9L Carafes</t>
  </si>
  <si>
    <t>Service Ideas 2.4 L Airpots</t>
  </si>
  <si>
    <t>Eversys e'4s (Baldi)</t>
  </si>
  <si>
    <t>110700026103E0015</t>
  </si>
  <si>
    <t>Eversys Cameo c'2s (Kol Fac)</t>
  </si>
  <si>
    <t>0183130226112C0010</t>
  </si>
  <si>
    <t>Fetco GR2.2</t>
  </si>
  <si>
    <t>Bunn FPG-2E</t>
  </si>
  <si>
    <t>LPG0080876</t>
  </si>
  <si>
    <t>TU00288599</t>
  </si>
  <si>
    <t>Bunn ITCB NS</t>
  </si>
  <si>
    <t>ITCB176258</t>
  </si>
  <si>
    <t>Rancilio Classe 5 Compact 220V</t>
  </si>
  <si>
    <t>10468446</t>
  </si>
  <si>
    <t>La Marzocco Swift Grinder</t>
  </si>
  <si>
    <t>6436</t>
  </si>
  <si>
    <t>10411127</t>
  </si>
  <si>
    <t>FCC 2L Carafes</t>
  </si>
  <si>
    <t>LPG0078933</t>
  </si>
  <si>
    <t>TU00289848</t>
  </si>
  <si>
    <t>ITCB175834</t>
  </si>
  <si>
    <t>Mazzer Super Jolly V Up E</t>
  </si>
  <si>
    <t>2602691</t>
  </si>
  <si>
    <t>Bunn ITB-DD</t>
  </si>
  <si>
    <t>ITB0065194</t>
  </si>
  <si>
    <t>300113077790</t>
  </si>
  <si>
    <t>Bunn LPG-2E</t>
  </si>
  <si>
    <t>LPG0072279</t>
  </si>
  <si>
    <t>TU00301348</t>
  </si>
  <si>
    <t>ITCB165495</t>
  </si>
  <si>
    <t>2602694</t>
  </si>
  <si>
    <t>Fetco 1251 Plus</t>
  </si>
  <si>
    <t>12511B23045259780</t>
  </si>
  <si>
    <t>740145078429</t>
  </si>
  <si>
    <t>LPG0072283</t>
  </si>
  <si>
    <t>TU00346691</t>
  </si>
  <si>
    <t>ITCB166931</t>
  </si>
  <si>
    <t>Fetco GR2.3</t>
  </si>
  <si>
    <t>300122066926A</t>
  </si>
  <si>
    <t>LPG0076567</t>
  </si>
  <si>
    <t>Bunn ITB-DD Sweet Brew</t>
  </si>
  <si>
    <t>ITB0062074</t>
  </si>
  <si>
    <t>LPG0029174</t>
  </si>
  <si>
    <t>LPG0045015</t>
  </si>
  <si>
    <t>LPG0053520</t>
  </si>
  <si>
    <t>Bunn H5X 120V</t>
  </si>
  <si>
    <t>HX00147221</t>
  </si>
  <si>
    <t>READY EQUIPMENT LOG  —  BARN · FRONT RACK      (everything on these racks is READY TO USE)</t>
  </si>
  <si>
    <t>LOCATION: BARN.   HOW TO USE:  This rack sits IN FRONT of the back rack (double-racked section) and mirrors back-rack pallets J–Q — 8 pallets / 4 sections, 4 levels high, 12 lines per slot.  Type the Model in the Model column and the unit Serial beside it.  To flag a customer-owned unit, put the customer in parentheses after the model — e.g.  Bunn ITCB (Coco’s).  The unit still counts toward the model total, and the customer is picked up automatically on the Ready Models tab.  Serial columns are formatted as Text so long serial numbers keep every digit.</t>
  </si>
  <si>
    <t>EQUIPMENT READY
on front rack</t>
  </si>
  <si>
    <t>SECTIONS
ON THIS RACK</t>
  </si>
  <si>
    <t>PALLETS
(J–Q)</t>
  </si>
  <si>
    <t>LEVELS
PER SECTION</t>
  </si>
  <si>
    <t>LINES PER
SLOT</t>
  </si>
  <si>
    <t>LEGEND:   BLUE header = general equipment      A filled Model cell turns GREEN = that unit is Ready to Use      A PINK serial cell = serial still missing      Slot ID = Pallet + Level, e.g. "M-L3".      Front-rack pallets sit directly in front of back-rack pallets of the same letter.      Customer-owned units are logged on the Ready Models tab.</t>
  </si>
  <si>
    <t>LEVEL 4  —  TOP          (8 pallets  ·  4 sections  ·  12 lines per slot)</t>
  </si>
  <si>
    <t>S1 · PALLET J · L4</t>
  </si>
  <si>
    <t>S1 · PALLET K · L4</t>
  </si>
  <si>
    <t>S2 · PALLET L · L4</t>
  </si>
  <si>
    <t>S2 · PALLET M · L4</t>
  </si>
  <si>
    <t>S3 · PALLET N · L4</t>
  </si>
  <si>
    <t>S3 · PALLET O · L4</t>
  </si>
  <si>
    <t>S4 · PALLET P · L4</t>
  </si>
  <si>
    <t>S4 · PALLET Q · L4</t>
  </si>
  <si>
    <t>LEVEL TOTAL</t>
  </si>
  <si>
    <t>Bunn G9-2</t>
  </si>
  <si>
    <t>G900055242</t>
  </si>
  <si>
    <t>G900107448</t>
  </si>
  <si>
    <t>G900029673</t>
  </si>
  <si>
    <t>G900006469</t>
  </si>
  <si>
    <t>G900046332</t>
  </si>
  <si>
    <t>G900057284</t>
  </si>
  <si>
    <t>LEVEL 3          (8 pallets  ·  4 sections  ·  12 lines per slot)</t>
  </si>
  <si>
    <t>S1 · PALLET J · L3</t>
  </si>
  <si>
    <t>S1 · PALLET K · L3</t>
  </si>
  <si>
    <t>S2 · PALLET L · L3</t>
  </si>
  <si>
    <t>S2 · PALLET M · L3</t>
  </si>
  <si>
    <t>S3 · PALLET N · L3</t>
  </si>
  <si>
    <t>S3 · PALLET O · L3</t>
  </si>
  <si>
    <t>S4 · PALLET P · L3</t>
  </si>
  <si>
    <t>S4 · PALLET Q · L3</t>
  </si>
  <si>
    <t>G900075324</t>
  </si>
  <si>
    <t>DeJongDuke Virtu</t>
  </si>
  <si>
    <t>2024021984901</t>
  </si>
  <si>
    <t>Bravilor Esprecious 22</t>
  </si>
  <si>
    <t>12211X11721231918</t>
  </si>
  <si>
    <t>G90000474</t>
  </si>
  <si>
    <t>WAT Water CT Sparkling 3202-200</t>
  </si>
  <si>
    <t>G900001858</t>
  </si>
  <si>
    <t>G900003290</t>
  </si>
  <si>
    <t>Bunn G9-1</t>
  </si>
  <si>
    <t>G900011600</t>
  </si>
  <si>
    <t>LEVEL 2          (8 pallets  ·  4 sections  ·  12 lines per slot)</t>
  </si>
  <si>
    <t>S1 · PALLET J · L2</t>
  </si>
  <si>
    <t>S1 · PALLET K · L2</t>
  </si>
  <si>
    <t>S2 · PALLET L · L2</t>
  </si>
  <si>
    <t>S2 · PALLET M · L2</t>
  </si>
  <si>
    <t>S3 · PALLET N · L2</t>
  </si>
  <si>
    <t>S3 · PALLET O · L2</t>
  </si>
  <si>
    <t>S4 · PALLET P · L2</t>
  </si>
  <si>
    <t>S4 · PALLET Q · L2</t>
  </si>
  <si>
    <t>G900046036</t>
  </si>
  <si>
    <t>AXAP049371</t>
  </si>
  <si>
    <t>TU00293697</t>
  </si>
  <si>
    <t>ITCB066212</t>
  </si>
  <si>
    <t>Bauhuas 2 Group</t>
  </si>
  <si>
    <t>160004355</t>
  </si>
  <si>
    <t>La Marzocco Strada 3AV</t>
  </si>
  <si>
    <t>ST004358</t>
  </si>
  <si>
    <t>Fetco 1132 V+</t>
  </si>
  <si>
    <t>11325221206857</t>
  </si>
  <si>
    <t>G900032427</t>
  </si>
  <si>
    <t>AXAP049074</t>
  </si>
  <si>
    <t>TU00225095</t>
  </si>
  <si>
    <t>ITCB087216</t>
  </si>
  <si>
    <t>La Marzocco Linea 2EE</t>
  </si>
  <si>
    <t>L042403</t>
  </si>
  <si>
    <t>11515141228188</t>
  </si>
  <si>
    <t>G900104243</t>
  </si>
  <si>
    <t>AXAP048045</t>
  </si>
  <si>
    <t>ITCB132883</t>
  </si>
  <si>
    <t>Fetco 1252 Plus</t>
  </si>
  <si>
    <t>1252UB23011257493</t>
  </si>
  <si>
    <t>G900045471</t>
  </si>
  <si>
    <t>AXAP028483</t>
  </si>
  <si>
    <t>TU00303206</t>
  </si>
  <si>
    <t>ITCB078292</t>
  </si>
  <si>
    <t>G900044774</t>
  </si>
  <si>
    <t>AXAP031358</t>
  </si>
  <si>
    <t>TU00312448</t>
  </si>
  <si>
    <t>ITCB155090</t>
  </si>
  <si>
    <t>Bunn G3</t>
  </si>
  <si>
    <t>G3152108</t>
  </si>
  <si>
    <t>AXAP049087</t>
  </si>
  <si>
    <t>TU00288241</t>
  </si>
  <si>
    <t>ITCB085820</t>
  </si>
  <si>
    <t>G300035983</t>
  </si>
  <si>
    <t>TU00223316</t>
  </si>
  <si>
    <t>ITCB103816</t>
  </si>
  <si>
    <t>G300078569</t>
  </si>
  <si>
    <t>G300080000</t>
  </si>
  <si>
    <t>LEVEL 1  —  FLOOR          (8 pallets  ·  4 sections  ·  12 lines per slot)</t>
  </si>
  <si>
    <t>S1 · PALLET J · L1</t>
  </si>
  <si>
    <t>S1 · PALLET K · L1</t>
  </si>
  <si>
    <t>S2 · PALLET L · L1</t>
  </si>
  <si>
    <t>S2 · PALLET M · L1</t>
  </si>
  <si>
    <t>S3 · PALLET N · L1</t>
  </si>
  <si>
    <t>S3 · PALLET O · L1</t>
  </si>
  <si>
    <t>S4 · PALLET P · L1</t>
  </si>
  <si>
    <t>S4 · PALLET Q · L1</t>
  </si>
  <si>
    <t>G900046833</t>
  </si>
  <si>
    <t>Bunn ICB Tall</t>
  </si>
  <si>
    <t>ICB0126980</t>
  </si>
  <si>
    <t>Victoria Arduino Leva 3</t>
  </si>
  <si>
    <t>12878</t>
  </si>
  <si>
    <t>La Marzocco Linea S 2AV (Coco's)</t>
  </si>
  <si>
    <t>29304</t>
  </si>
  <si>
    <t>G900036820</t>
  </si>
  <si>
    <t>Bunn ITB</t>
  </si>
  <si>
    <t>ITB0036643</t>
  </si>
  <si>
    <t>Faema E61 Legend S/2</t>
  </si>
  <si>
    <t>La Marzocco Swift Grinder (Coco's)</t>
  </si>
  <si>
    <t>9386</t>
  </si>
  <si>
    <t>630140228371</t>
  </si>
  <si>
    <t>G903312016</t>
  </si>
  <si>
    <t>Bunn ITCB Short</t>
  </si>
  <si>
    <t>ITCB003305</t>
  </si>
  <si>
    <t>Faema E61 Jubile A/1</t>
  </si>
  <si>
    <t>1247636</t>
  </si>
  <si>
    <t>G900067127</t>
  </si>
  <si>
    <t>ITCB013876</t>
  </si>
  <si>
    <t>G906073938</t>
  </si>
  <si>
    <t>ITCB018137</t>
  </si>
  <si>
    <t>ITCB083123</t>
  </si>
  <si>
    <t>Bunn TB3 Short</t>
  </si>
  <si>
    <t>Bunn G9-1T</t>
  </si>
  <si>
    <t>G900073343</t>
  </si>
  <si>
    <t>EQUIPMENT BY LOCATION  —  outside the Barn racks      (everything listed here is READY TO USE)</t>
  </si>
  <si>
    <t>HOW TO USE:  Five separate lists, one per location.  Enter the Equipment Name, its Serial Number, and the Qty.  Use one line per unit where you track serials; use Qty for anything you hold in bulk (leave Qty blank and it counts as 1).  Everything typed here rolls into the Ready Models totals automatically, under its own location column — no need to touch that tab.  OUT OF STATE covers anything staged outside Texas; use the Serial Number line as normal and note the state or site in the name if it helps you find it.  Customer-owned units work the same way here: put the customer in parentheses after the name, e.g.  Bunn ITCB (Coco’s).</t>
  </si>
  <si>
    <t>LIVE COUNTS  —  units held at each location</t>
  </si>
  <si>
    <t>FRONT LOBBY
UNITS</t>
  </si>
  <si>
    <t>SERVICE ROOM
UNITS</t>
  </si>
  <si>
    <t>PRODUCTION
UNITS</t>
  </si>
  <si>
    <t>TRAINING ROOM
UNITS</t>
  </si>
  <si>
    <t>OUT OF STATE
UNITS</t>
  </si>
  <si>
    <t>A blank Qty counts as 1 unit.  Lines are capped at 40 per location — say the word if a list needs more room.  Equipment Name has a dropdown of everything already known to the workbook; typing a brand-new name is fine and it will be added to Ready Models on its own.</t>
  </si>
  <si>
    <t>FRONT LOBBY</t>
  </si>
  <si>
    <t>SERVICE ROOM</t>
  </si>
  <si>
    <t>PRODUCTION</t>
  </si>
  <si>
    <t>TRAINING ROOM</t>
  </si>
  <si>
    <t>OUT OF STATE</t>
  </si>
  <si>
    <t>Equipment Name</t>
  </si>
  <si>
    <t>Serial Number</t>
  </si>
  <si>
    <t>G300003239</t>
  </si>
  <si>
    <t>Bunn H5X 220V</t>
  </si>
  <si>
    <t>HX00125853</t>
  </si>
  <si>
    <t>05804303A</t>
  </si>
  <si>
    <t>740113153011</t>
  </si>
  <si>
    <t>Bunn G2</t>
  </si>
  <si>
    <t>G200002189</t>
  </si>
  <si>
    <t>ITCB143274</t>
  </si>
  <si>
    <t>ITCB104656</t>
  </si>
  <si>
    <t>470148071861</t>
  </si>
  <si>
    <t>12511B2300529007</t>
  </si>
  <si>
    <t>Rancilio Classe 5 Compact 120v</t>
  </si>
  <si>
    <t>10410928</t>
  </si>
  <si>
    <t>Ditting KR1403</t>
  </si>
  <si>
    <t>25838</t>
  </si>
  <si>
    <t>Bunn Sure Immersion 220</t>
  </si>
  <si>
    <t>B2C0004800</t>
  </si>
  <si>
    <t>La Marzocco Wally</t>
  </si>
  <si>
    <t>WM001197</t>
  </si>
  <si>
    <t>Bunn CWTF-APS</t>
  </si>
  <si>
    <t>CWTF547351</t>
  </si>
  <si>
    <t>14466</t>
  </si>
  <si>
    <t>ITCB1736001</t>
  </si>
  <si>
    <t>La Marzocco Strada XT</t>
  </si>
  <si>
    <t>SR001304</t>
  </si>
  <si>
    <t>0116600022255E0004</t>
  </si>
  <si>
    <t>1063</t>
  </si>
  <si>
    <t>Mazzer Robur S E</t>
  </si>
  <si>
    <t>1928657</t>
  </si>
  <si>
    <t>La Marzocco Strada 2EP</t>
  </si>
  <si>
    <t>ST004299</t>
  </si>
  <si>
    <t>1168</t>
  </si>
  <si>
    <t>Mazzer Kony Doser</t>
  </si>
  <si>
    <t>0924004</t>
  </si>
  <si>
    <t>2109963</t>
  </si>
  <si>
    <t>Eversys Shotmaster CT</t>
  </si>
  <si>
    <t>0115390026159E0001</t>
  </si>
  <si>
    <t>1067</t>
  </si>
  <si>
    <t>1171694</t>
  </si>
  <si>
    <t>La Marzocco KB90 ABR</t>
  </si>
  <si>
    <t>KB000276</t>
  </si>
  <si>
    <t>0115390026159E0002</t>
  </si>
  <si>
    <t>24724</t>
  </si>
  <si>
    <t>4533-1</t>
  </si>
  <si>
    <t>Mazzer Super Jolly V Up Timer</t>
  </si>
  <si>
    <t>2403595</t>
  </si>
  <si>
    <t>1172</t>
  </si>
  <si>
    <t>1912045</t>
  </si>
  <si>
    <t>G300057356</t>
  </si>
  <si>
    <t>Frosty Factory 217A</t>
  </si>
  <si>
    <t>33713</t>
  </si>
  <si>
    <t>0110710023346E0004</t>
  </si>
  <si>
    <t>Eversys e'4s</t>
  </si>
  <si>
    <t>011700026065E0011</t>
  </si>
  <si>
    <t>Eversys Shotmaster S/Pro</t>
  </si>
  <si>
    <t>0116650021340E0001</t>
  </si>
  <si>
    <t>2403738</t>
  </si>
  <si>
    <t>Fetco MBS-1251</t>
  </si>
  <si>
    <t>125111A1172261546</t>
  </si>
  <si>
    <t>Bunn Nitron</t>
  </si>
  <si>
    <t>N2GM012751 / CLDD021918</t>
  </si>
  <si>
    <t>LINES USED →</t>
  </si>
  <si>
    <t>SA &amp; DALLAS WAREHOUSES  —  equipment and modules held off-site      (everything listed here is READY TO USE)</t>
  </si>
  <si>
    <t>HOW TO USE:  Same format as the Equipment by Location tab.  Each warehouse has two sections — EQUIPMENT and MODULES — and each takes an Equipment Name, its Serial Number, and a Qty.  Use one line per unit where you track serials; use Qty for anything held in bulk (leave Qty blank and it counts as 1).  Everything typed here rolls into the Ready Models totals automatically under its own warehouse column.  Modules are totalled separately from equipment, the same way dispensers are, so they never inflate the equipment count.  Customer-owned units work here too: put the customer in parentheses after the name, e.g.  Bunn ITCB (Coco’s).</t>
  </si>
  <si>
    <t>LIVE COUNTS  —  units held at each warehouse</t>
  </si>
  <si>
    <t>SAN ANTONIO
EQUIPMENT</t>
  </si>
  <si>
    <t>SAN ANTONIO
MODULES</t>
  </si>
  <si>
    <t>DALLAS
EQUIPMENT</t>
  </si>
  <si>
    <t>DALLAS
MODULES</t>
  </si>
  <si>
    <t>A blank Qty counts as 1 unit.  Each section holds 40 lines — say the word if one needs more room.  Equipment Name has a dropdown of everything already known to the workbook; typing a brand-new name is fine and it will be added to Ready Models on its own.</t>
  </si>
  <si>
    <t>SAN ANTONIO  —  EQUIPMENT</t>
  </si>
  <si>
    <t>SAN ANTONIO  —  MODULES</t>
  </si>
  <si>
    <t>DALLAS  —  EQUIPMENT</t>
  </si>
  <si>
    <t>DALLAS  —  MODULES</t>
  </si>
  <si>
    <t>Module Name</t>
  </si>
  <si>
    <t>ITCB105226</t>
  </si>
  <si>
    <t xml:space="preserve">1252UB2304923049233759  </t>
  </si>
  <si>
    <t>Mazzer Robur Automatic S</t>
  </si>
  <si>
    <t>2242353</t>
  </si>
  <si>
    <t>Mazzer Super Jolly Timer</t>
  </si>
  <si>
    <t>2403603</t>
  </si>
  <si>
    <t>G300037527</t>
  </si>
  <si>
    <t>LPG0077016</t>
  </si>
  <si>
    <t>G900046511</t>
  </si>
  <si>
    <t>HX00143258</t>
  </si>
  <si>
    <t>Bunn G1</t>
  </si>
  <si>
    <t>G100013007</t>
  </si>
  <si>
    <t>0099820023247C0024</t>
  </si>
  <si>
    <t>RACK MAP  —  BARN planogram overview (units in each slot)</t>
  </si>
  <si>
    <t>Each cell is one SLOT (pallet × level) and shows how many of its 12 lines are filled.  GREEN = full, AMBER = partly filled, GREY = empty.  Two pallets side by side = one section.  Orange headers = Catering (B–E).  Purple = Dispenser bay, Section S3 (pallets F &amp; G) on all four levels.  This map covers the BARN only — equipment in the Front Lobby, Service Room, Production and Training Room is on the Equipment by Location tab.</t>
  </si>
  <si>
    <t>BARN — BACK RACK   ·   8 sections / 16 pallets (B–Q)</t>
  </si>
  <si>
    <t>LEVEL ↓ / PALLET →</t>
  </si>
  <si>
    <t>B</t>
  </si>
  <si>
    <t>C</t>
  </si>
  <si>
    <t>D</t>
  </si>
  <si>
    <t>E</t>
  </si>
  <si>
    <t>F</t>
  </si>
  <si>
    <t>G</t>
  </si>
  <si>
    <t>H</t>
  </si>
  <si>
    <t>I</t>
  </si>
  <si>
    <t>J</t>
  </si>
  <si>
    <t>K</t>
  </si>
  <si>
    <t>L</t>
  </si>
  <si>
    <t>M</t>
  </si>
  <si>
    <t>N</t>
  </si>
  <si>
    <t>O</t>
  </si>
  <si>
    <t>P</t>
  </si>
  <si>
    <t>Q</t>
  </si>
  <si>
    <t>Level 4 (Top)</t>
  </si>
  <si>
    <t>Level 3</t>
  </si>
  <si>
    <t>Level 2</t>
  </si>
  <si>
    <t>Level 1 (Floor)</t>
  </si>
  <si>
    <t>PALLET TOTAL</t>
  </si>
  <si>
    <t>Sections: S1 = B+C, S2 = D+E (both CATERING) · S3 = F+G (DISPENSER bay, all 4 levels, accessories logged by qty) · S4 = H+I · S5 = J+K · S6 = L+M · S7 = N+O · S8 = P+Q.</t>
  </si>
  <si>
    <t>BARN — FRONT RACK   ·   4 sections / 8 pallets (J–Q), double-racked in front of the back rack</t>
  </si>
  <si>
    <t>Sections: S1 = J+K · S2 = L+M · S3 = N+O · S4 = P+Q.  This rack stands directly in front of back-rack pallets J–Q — pull from the front rack first.</t>
  </si>
  <si>
    <t>READY MODELS  —  total equipment ready, by model and location</t>
  </si>
  <si>
    <t>HOW TO USE:  This whole tab is automatic — there is nothing to type here.  The model list builds itself, in alphabetical order, from every entry across the Barn racks, the Equipment by Location tab and the SA &amp; Dallas Warehouses tab, so a model you add anywhere shows up here on its own.  Quantities are split by location and rolled into one total per model.  Dispensers (Section S3 in the Barn) and Modules (SA &amp; Dallas) are logged by QTY and are shown in their own columns, so they are held out of the equipment headline.  Put a customer in parentheses after a model name anywhere in the workbook — e.g.  Bunn ITCB (Coco’s) — and the unit still counts toward its model while the customer is captured in Notes and in the Customer-Owned Equipment table below.</t>
  </si>
  <si>
    <t>LIVE TOTALS  —  every location</t>
  </si>
  <si>
    <t>TOTAL EQUIPMENT READY
(all locations, excl. dispensers &amp; modules)</t>
  </si>
  <si>
    <t>BARN
BACK RACK</t>
  </si>
  <si>
    <t>BARN
FRONT RACK</t>
  </si>
  <si>
    <t>FRONT
LOBBY</t>
  </si>
  <si>
    <t>SERVICE
ROOM</t>
  </si>
  <si>
    <t>TRAINING
ROOM</t>
  </si>
  <si>
    <t>OUT OF
STATE</t>
  </si>
  <si>
    <t>SAN ANTONIO
(equip. only)</t>
  </si>
  <si>
    <t>DALLAS
(equip. only)</t>
  </si>
  <si>
    <t>DISPENSER UNITS
(accessories)</t>
  </si>
  <si>
    <t>MODULES
(SA + Dallas)</t>
  </si>
  <si>
    <t>DISTINCT
MODELS</t>
  </si>
  <si>
    <t>CUSTOMER-OWNED
UNITS</t>
  </si>
  <si>
    <t>Barn capacity:  back rack 672 equipment slots + 96 dispenser lines (Section S3);  front rack 384.  Front Lobby, Service Room, Production, Training Room and Out of State hold 40 lines each; SA and Dallas hold 40 equipment lines and 40 module lines each.</t>
  </si>
  <si>
    <t>Model</t>
  </si>
  <si>
    <t>Barn – Back Rack</t>
  </si>
  <si>
    <t>Barn – Front Rack</t>
  </si>
  <si>
    <t>Front Lobby</t>
  </si>
  <si>
    <t>Service Room</t>
  </si>
  <si>
    <t>Production</t>
  </si>
  <si>
    <t>Training Room</t>
  </si>
  <si>
    <t>Out of State</t>
  </si>
  <si>
    <t>San Antonio</t>
  </si>
  <si>
    <t>Dallas</t>
  </si>
  <si>
    <t>TOTAL READY</t>
  </si>
  <si>
    <t>of which:
Dispenser Units</t>
  </si>
  <si>
    <t>of which:
Modules</t>
  </si>
  <si>
    <t>Notes  (auto)</t>
  </si>
  <si>
    <t>CUSTOMER-OWNED EQUIPMENT  —  built automatically from any model entered with a customer in parentheses</t>
  </si>
  <si>
    <t>Customer</t>
  </si>
  <si>
    <t>Location</t>
  </si>
  <si>
    <t>Position</t>
  </si>
  <si>
    <t>This table fills itself in. To add a customer-owned unit, just type the model with the customer in parentheses on whichever tab it lives on.</t>
  </si>
  <si>
    <t>Type</t>
  </si>
  <si>
    <t>Raw entry</t>
  </si>
  <si>
    <t>Serial</t>
  </si>
  <si>
    <t>Model (clean)</t>
  </si>
  <si>
    <t>First?</t>
  </si>
  <si>
    <t>Rank</t>
  </si>
  <si>
    <t>Cust #</t>
  </si>
  <si>
    <t>AUTO-GENERATED — do not type in this sheet. It flattens every equipment line in the workbook so Ready Models can total by model.</t>
  </si>
  <si>
    <t>Barn - Back Rack</t>
  </si>
  <si>
    <t>Pallet B · L4 · line 1</t>
  </si>
  <si>
    <t>EQUIP</t>
  </si>
  <si>
    <t>Pallet B · L4 · line 2</t>
  </si>
  <si>
    <t>Pallet B · L4 · line 3</t>
  </si>
  <si>
    <t>Pallet B · L4 · line 4</t>
  </si>
  <si>
    <t>Pallet B · L4 · line 5</t>
  </si>
  <si>
    <t>Pallet B · L4 · line 6</t>
  </si>
  <si>
    <t>Pallet B · L4 · line 7</t>
  </si>
  <si>
    <t>Pallet B · L4 · line 8</t>
  </si>
  <si>
    <t>Pallet B · L4 · line 9</t>
  </si>
  <si>
    <t>Pallet B · L4 · line 10</t>
  </si>
  <si>
    <t>Pallet B · L4 · line 11</t>
  </si>
  <si>
    <t>Pallet B · L4 · line 12</t>
  </si>
  <si>
    <t>Pallet C · L4 · line 1</t>
  </si>
  <si>
    <t>Pallet C · L4 · line 2</t>
  </si>
  <si>
    <t>Pallet C · L4 · line 3</t>
  </si>
  <si>
    <t>Pallet C · L4 · line 4</t>
  </si>
  <si>
    <t>Pallet C · L4 · line 5</t>
  </si>
  <si>
    <t>Pallet C · L4 · line 6</t>
  </si>
  <si>
    <t>Pallet C · L4 · line 7</t>
  </si>
  <si>
    <t>Pallet C · L4 · line 8</t>
  </si>
  <si>
    <t>Pallet C · L4 · line 9</t>
  </si>
  <si>
    <t>Pallet C · L4 · line 10</t>
  </si>
  <si>
    <t>Pallet C · L4 · line 11</t>
  </si>
  <si>
    <t>Pallet C · L4 · line 12</t>
  </si>
  <si>
    <t>Pallet D · L4 · line 1</t>
  </si>
  <si>
    <t>Pallet D · L4 · line 2</t>
  </si>
  <si>
    <t>Pallet D · L4 · line 3</t>
  </si>
  <si>
    <t>Pallet D · L4 · line 4</t>
  </si>
  <si>
    <t>Pallet D · L4 · line 5</t>
  </si>
  <si>
    <t>Pallet D · L4 · line 6</t>
  </si>
  <si>
    <t>Pallet D · L4 · line 7</t>
  </si>
  <si>
    <t>Pallet D · L4 · line 8</t>
  </si>
  <si>
    <t>Pallet D · L4 · line 9</t>
  </si>
  <si>
    <t>Pallet D · L4 · line 10</t>
  </si>
  <si>
    <t>Pallet D · L4 · line 11</t>
  </si>
  <si>
    <t>Pallet D · L4 · line 12</t>
  </si>
  <si>
    <t>Pallet E · L4 · line 1</t>
  </si>
  <si>
    <t>Pallet E · L4 · line 2</t>
  </si>
  <si>
    <t>Pallet E · L4 · line 3</t>
  </si>
  <si>
    <t>Pallet E · L4 · line 4</t>
  </si>
  <si>
    <t>Pallet E · L4 · line 5</t>
  </si>
  <si>
    <t>Pallet E · L4 · line 6</t>
  </si>
  <si>
    <t>Pallet E · L4 · line 7</t>
  </si>
  <si>
    <t>Pallet E · L4 · line 8</t>
  </si>
  <si>
    <t>Pallet E · L4 · line 9</t>
  </si>
  <si>
    <t>Pallet E · L4 · line 10</t>
  </si>
  <si>
    <t>Pallet E · L4 · line 11</t>
  </si>
  <si>
    <t>Pallet E · L4 · line 12</t>
  </si>
  <si>
    <t>Pallet F · L4 · line 1</t>
  </si>
  <si>
    <t>DISP</t>
  </si>
  <si>
    <t>Pallet F · L4 · line 2</t>
  </si>
  <si>
    <t>Pallet F · L4 · line 3</t>
  </si>
  <si>
    <t>Pallet F · L4 · line 4</t>
  </si>
  <si>
    <t>Pallet F · L4 · line 5</t>
  </si>
  <si>
    <t>Pallet F · L4 · line 6</t>
  </si>
  <si>
    <t>Pallet F · L4 · line 7</t>
  </si>
  <si>
    <t>Pallet F · L4 · line 8</t>
  </si>
  <si>
    <t>Pallet F · L4 · line 9</t>
  </si>
  <si>
    <t>Pallet F · L4 · line 10</t>
  </si>
  <si>
    <t>Pallet F · L4 · line 11</t>
  </si>
  <si>
    <t>Pallet F · L4 · line 12</t>
  </si>
  <si>
    <t>Pallet G · L4 · line 1</t>
  </si>
  <si>
    <t>Pallet G · L4 · line 2</t>
  </si>
  <si>
    <t>Pallet G · L4 · line 3</t>
  </si>
  <si>
    <t>Pallet G · L4 · line 4</t>
  </si>
  <si>
    <t>Pallet G · L4 · line 5</t>
  </si>
  <si>
    <t>Pallet G · L4 · line 6</t>
  </si>
  <si>
    <t>Pallet G · L4 · line 7</t>
  </si>
  <si>
    <t>Pallet G · L4 · line 8</t>
  </si>
  <si>
    <t>Pallet G · L4 · line 9</t>
  </si>
  <si>
    <t>Pallet G · L4 · line 10</t>
  </si>
  <si>
    <t>Pallet G · L4 · line 11</t>
  </si>
  <si>
    <t>Pallet G · L4 · line 12</t>
  </si>
  <si>
    <t>Pallet H · L4 · line 1</t>
  </si>
  <si>
    <t>Pallet H · L4 · line 2</t>
  </si>
  <si>
    <t>Pallet H · L4 · line 3</t>
  </si>
  <si>
    <t>Pallet H · L4 · line 4</t>
  </si>
  <si>
    <t>Pallet H · L4 · line 5</t>
  </si>
  <si>
    <t>Pallet H · L4 · line 6</t>
  </si>
  <si>
    <t>Pallet H · L4 · line 7</t>
  </si>
  <si>
    <t>Pallet H · L4 · line 8</t>
  </si>
  <si>
    <t>Pallet H · L4 · line 9</t>
  </si>
  <si>
    <t>Pallet H · L4 · line 10</t>
  </si>
  <si>
    <t>Pallet H · L4 · line 11</t>
  </si>
  <si>
    <t>Pallet H · L4 · line 12</t>
  </si>
  <si>
    <t>Pallet I · L4 · line 1</t>
  </si>
  <si>
    <t>Pallet I · L4 · line 2</t>
  </si>
  <si>
    <t>Pallet I · L4 · line 3</t>
  </si>
  <si>
    <t>Pallet I · L4 · line 4</t>
  </si>
  <si>
    <t>Pallet I · L4 · line 5</t>
  </si>
  <si>
    <t>Pallet I · L4 · line 6</t>
  </si>
  <si>
    <t>Pallet I · L4 · line 7</t>
  </si>
  <si>
    <t>Pallet I · L4 · line 8</t>
  </si>
  <si>
    <t>Pallet I · L4 · line 9</t>
  </si>
  <si>
    <t>Pallet I · L4 · line 10</t>
  </si>
  <si>
    <t>Pallet I · L4 · line 11</t>
  </si>
  <si>
    <t>Pallet I · L4 · line 12</t>
  </si>
  <si>
    <t>Pallet J · L4 · line 1</t>
  </si>
  <si>
    <t>Pallet J · L4 · line 2</t>
  </si>
  <si>
    <t>Pallet J · L4 · line 3</t>
  </si>
  <si>
    <t>Pallet J · L4 · line 4</t>
  </si>
  <si>
    <t>Pallet J · L4 · line 5</t>
  </si>
  <si>
    <t>Pallet J · L4 · line 6</t>
  </si>
  <si>
    <t>Pallet J · L4 · line 7</t>
  </si>
  <si>
    <t>Pallet J · L4 · line 8</t>
  </si>
  <si>
    <t>Pallet J · L4 · line 9</t>
  </si>
  <si>
    <t>Pallet J · L4 · line 10</t>
  </si>
  <si>
    <t>Pallet J · L4 · line 11</t>
  </si>
  <si>
    <t>Pallet J · L4 · line 12</t>
  </si>
  <si>
    <t>Pallet K · L4 · line 1</t>
  </si>
  <si>
    <t>Pallet K · L4 · line 2</t>
  </si>
  <si>
    <t>Pallet K · L4 · line 3</t>
  </si>
  <si>
    <t>Pallet K · L4 · line 4</t>
  </si>
  <si>
    <t>Pallet K · L4 · line 5</t>
  </si>
  <si>
    <t>Pallet K · L4 · line 6</t>
  </si>
  <si>
    <t>Pallet K · L4 · line 7</t>
  </si>
  <si>
    <t>Pallet K · L4 · line 8</t>
  </si>
  <si>
    <t>Pallet K · L4 · line 9</t>
  </si>
  <si>
    <t>Pallet K · L4 · line 10</t>
  </si>
  <si>
    <t>Pallet K · L4 · line 11</t>
  </si>
  <si>
    <t>Pallet K · L4 · line 12</t>
  </si>
  <si>
    <t>Pallet L · L4 · line 1</t>
  </si>
  <si>
    <t>Pallet L · L4 · line 2</t>
  </si>
  <si>
    <t>Pallet L · L4 · line 3</t>
  </si>
  <si>
    <t>Pallet L · L4 · line 4</t>
  </si>
  <si>
    <t>Pallet L · L4 · line 5</t>
  </si>
  <si>
    <t>Pallet L · L4 · line 6</t>
  </si>
  <si>
    <t>Pallet L · L4 · line 7</t>
  </si>
  <si>
    <t>Pallet L · L4 · line 8</t>
  </si>
  <si>
    <t>Pallet L · L4 · line 9</t>
  </si>
  <si>
    <t>Pallet L · L4 · line 10</t>
  </si>
  <si>
    <t>Pallet L · L4 · line 11</t>
  </si>
  <si>
    <t>Pallet L · L4 · line 12</t>
  </si>
  <si>
    <t>Pallet M · L4 · line 1</t>
  </si>
  <si>
    <t>Pallet M · L4 · line 2</t>
  </si>
  <si>
    <t>Pallet M · L4 · line 3</t>
  </si>
  <si>
    <t>Pallet M · L4 · line 4</t>
  </si>
  <si>
    <t>Pallet M · L4 · line 5</t>
  </si>
  <si>
    <t>Pallet M · L4 · line 6</t>
  </si>
  <si>
    <t>Pallet M · L4 · line 7</t>
  </si>
  <si>
    <t>Pallet M · L4 · line 8</t>
  </si>
  <si>
    <t>Pallet M · L4 · line 9</t>
  </si>
  <si>
    <t>Pallet M · L4 · line 10</t>
  </si>
  <si>
    <t>Pallet M · L4 · line 11</t>
  </si>
  <si>
    <t>Pallet M · L4 · line 12</t>
  </si>
  <si>
    <t>Pallet N · L4 · line 1</t>
  </si>
  <si>
    <t>Pallet N · L4 · line 2</t>
  </si>
  <si>
    <t>Pallet N · L4 · line 3</t>
  </si>
  <si>
    <t>Pallet N · L4 · line 4</t>
  </si>
  <si>
    <t>Pallet N · L4 · line 5</t>
  </si>
  <si>
    <t>Pallet N · L4 · line 6</t>
  </si>
  <si>
    <t>Pallet N · L4 · line 7</t>
  </si>
  <si>
    <t>Pallet N · L4 · line 8</t>
  </si>
  <si>
    <t>Pallet N · L4 · line 9</t>
  </si>
  <si>
    <t>Pallet N · L4 · line 10</t>
  </si>
  <si>
    <t>Pallet N · L4 · line 11</t>
  </si>
  <si>
    <t>Pallet N · L4 · line 12</t>
  </si>
  <si>
    <t>Pallet O · L4 · line 1</t>
  </si>
  <si>
    <t>Pallet O · L4 · line 2</t>
  </si>
  <si>
    <t>Pallet O · L4 · line 3</t>
  </si>
  <si>
    <t>Pallet O · L4 · line 4</t>
  </si>
  <si>
    <t>Pallet O · L4 · line 5</t>
  </si>
  <si>
    <t>Pallet O · L4 · line 6</t>
  </si>
  <si>
    <t>Pallet O · L4 · line 7</t>
  </si>
  <si>
    <t>Pallet O · L4 · line 8</t>
  </si>
  <si>
    <t>Pallet O · L4 · line 9</t>
  </si>
  <si>
    <t>Pallet O · L4 · line 10</t>
  </si>
  <si>
    <t>Pallet O · L4 · line 11</t>
  </si>
  <si>
    <t>Pallet O · L4 · line 12</t>
  </si>
  <si>
    <t>Pallet P · L4 · line 1</t>
  </si>
  <si>
    <t>Pallet P · L4 · line 2</t>
  </si>
  <si>
    <t>Pallet P · L4 · line 3</t>
  </si>
  <si>
    <t>Pallet P · L4 · line 4</t>
  </si>
  <si>
    <t>Pallet P · L4 · line 5</t>
  </si>
  <si>
    <t>Pallet P · L4 · line 6</t>
  </si>
  <si>
    <t>Pallet P · L4 · line 7</t>
  </si>
  <si>
    <t>Pallet P · L4 · line 8</t>
  </si>
  <si>
    <t>Pallet P · L4 · line 9</t>
  </si>
  <si>
    <t>Pallet P · L4 · line 10</t>
  </si>
  <si>
    <t>Pallet P · L4 · line 11</t>
  </si>
  <si>
    <t>Pallet P · L4 · line 12</t>
  </si>
  <si>
    <t>Pallet Q · L4 · line 1</t>
  </si>
  <si>
    <t>Pallet Q · L4 · line 2</t>
  </si>
  <si>
    <t>Pallet Q · L4 · line 3</t>
  </si>
  <si>
    <t>Pallet Q · L4 · line 4</t>
  </si>
  <si>
    <t>Pallet Q · L4 · line 5</t>
  </si>
  <si>
    <t>Pallet Q · L4 · line 6</t>
  </si>
  <si>
    <t>Pallet Q · L4 · line 7</t>
  </si>
  <si>
    <t>Pallet Q · L4 · line 8</t>
  </si>
  <si>
    <t>Pallet Q · L4 · line 9</t>
  </si>
  <si>
    <t>Pallet Q · L4 · line 10</t>
  </si>
  <si>
    <t>Pallet Q · L4 · line 11</t>
  </si>
  <si>
    <t>Pallet Q · L4 · line 12</t>
  </si>
  <si>
    <t>Pallet B · L3 · line 1</t>
  </si>
  <si>
    <t>Pallet B · L3 · line 2</t>
  </si>
  <si>
    <t>Pallet B · L3 · line 3</t>
  </si>
  <si>
    <t>Pallet B · L3 · line 4</t>
  </si>
  <si>
    <t>Pallet B · L3 · line 5</t>
  </si>
  <si>
    <t>Pallet B · L3 · line 6</t>
  </si>
  <si>
    <t>Pallet B · L3 · line 7</t>
  </si>
  <si>
    <t>Pallet B · L3 · line 8</t>
  </si>
  <si>
    <t>Pallet B · L3 · line 9</t>
  </si>
  <si>
    <t>Pallet B · L3 · line 10</t>
  </si>
  <si>
    <t>Pallet B · L3 · line 11</t>
  </si>
  <si>
    <t>Pallet B · L3 · line 12</t>
  </si>
  <si>
    <t>Pallet C · L3 · line 1</t>
  </si>
  <si>
    <t>Pallet C · L3 · line 2</t>
  </si>
  <si>
    <t>Pallet C · L3 · line 3</t>
  </si>
  <si>
    <t>Pallet C · L3 · line 4</t>
  </si>
  <si>
    <t>Pallet C · L3 · line 5</t>
  </si>
  <si>
    <t>Pallet C · L3 · line 6</t>
  </si>
  <si>
    <t>Pallet C · L3 · line 7</t>
  </si>
  <si>
    <t>Pallet C · L3 · line 8</t>
  </si>
  <si>
    <t>Pallet C · L3 · line 9</t>
  </si>
  <si>
    <t>Pallet C · L3 · line 10</t>
  </si>
  <si>
    <t>Pallet C · L3 · line 11</t>
  </si>
  <si>
    <t>Pallet C · L3 · line 12</t>
  </si>
  <si>
    <t>Pallet D · L3 · line 1</t>
  </si>
  <si>
    <t>Pallet D · L3 · line 2</t>
  </si>
  <si>
    <t>Pallet D · L3 · line 3</t>
  </si>
  <si>
    <t>Pallet D · L3 · line 4</t>
  </si>
  <si>
    <t>Pallet D · L3 · line 5</t>
  </si>
  <si>
    <t>Pallet D · L3 · line 6</t>
  </si>
  <si>
    <t>Pallet D · L3 · line 7</t>
  </si>
  <si>
    <t>Pallet D · L3 · line 8</t>
  </si>
  <si>
    <t>Pallet D · L3 · line 9</t>
  </si>
  <si>
    <t>Pallet D · L3 · line 10</t>
  </si>
  <si>
    <t>Pallet D · L3 · line 11</t>
  </si>
  <si>
    <t>Pallet D · L3 · line 12</t>
  </si>
  <si>
    <t>Pallet E · L3 · line 1</t>
  </si>
  <si>
    <t>Pallet E · L3 · line 2</t>
  </si>
  <si>
    <t>Pallet E · L3 · line 3</t>
  </si>
  <si>
    <t>Pallet E · L3 · line 4</t>
  </si>
  <si>
    <t>Pallet E · L3 · line 5</t>
  </si>
  <si>
    <t>Pallet E · L3 · line 6</t>
  </si>
  <si>
    <t>Pallet E · L3 · line 7</t>
  </si>
  <si>
    <t>Pallet E · L3 · line 8</t>
  </si>
  <si>
    <t>Pallet E · L3 · line 9</t>
  </si>
  <si>
    <t>Pallet E · L3 · line 10</t>
  </si>
  <si>
    <t>Pallet E · L3 · line 11</t>
  </si>
  <si>
    <t>Pallet E · L3 · line 12</t>
  </si>
  <si>
    <t>Pallet F · L3 · line 1</t>
  </si>
  <si>
    <t>Pallet F · L3 · line 2</t>
  </si>
  <si>
    <t>Pallet F · L3 · line 3</t>
  </si>
  <si>
    <t>Pallet F · L3 · line 4</t>
  </si>
  <si>
    <t>Pallet F · L3 · line 5</t>
  </si>
  <si>
    <t>Pallet F · L3 · line 6</t>
  </si>
  <si>
    <t>Pallet F · L3 · line 7</t>
  </si>
  <si>
    <t>Pallet F · L3 · line 8</t>
  </si>
  <si>
    <t>Pallet F · L3 · line 9</t>
  </si>
  <si>
    <t>Pallet F · L3 · line 10</t>
  </si>
  <si>
    <t>Pallet F · L3 · line 11</t>
  </si>
  <si>
    <t>Pallet F · L3 · line 12</t>
  </si>
  <si>
    <t>Pallet G · L3 · line 1</t>
  </si>
  <si>
    <t>Pallet G · L3 · line 2</t>
  </si>
  <si>
    <t>Pallet G · L3 · line 3</t>
  </si>
  <si>
    <t>Pallet G · L3 · line 4</t>
  </si>
  <si>
    <t>Pallet G · L3 · line 5</t>
  </si>
  <si>
    <t>Pallet G · L3 · line 6</t>
  </si>
  <si>
    <t>Pallet G · L3 · line 7</t>
  </si>
  <si>
    <t>Pallet G · L3 · line 8</t>
  </si>
  <si>
    <t>Pallet G · L3 · line 9</t>
  </si>
  <si>
    <t>Pallet G · L3 · line 10</t>
  </si>
  <si>
    <t>Pallet G · L3 · line 11</t>
  </si>
  <si>
    <t>Pallet G · L3 · line 12</t>
  </si>
  <si>
    <t>Pallet H · L3 · line 1</t>
  </si>
  <si>
    <t>Pallet H · L3 · line 2</t>
  </si>
  <si>
    <t>Pallet H · L3 · line 3</t>
  </si>
  <si>
    <t>Pallet H · L3 · line 4</t>
  </si>
  <si>
    <t>Pallet H · L3 · line 5</t>
  </si>
  <si>
    <t>Pallet H · L3 · line 6</t>
  </si>
  <si>
    <t>Pallet H · L3 · line 7</t>
  </si>
  <si>
    <t>Pallet H · L3 · line 8</t>
  </si>
  <si>
    <t>Pallet H · L3 · line 9</t>
  </si>
  <si>
    <t>Pallet H · L3 · line 10</t>
  </si>
  <si>
    <t>Pallet H · L3 · line 11</t>
  </si>
  <si>
    <t>Pallet H · L3 · line 12</t>
  </si>
  <si>
    <t>Pallet I · L3 · line 1</t>
  </si>
  <si>
    <t>Pallet I · L3 · line 2</t>
  </si>
  <si>
    <t>Pallet I · L3 · line 3</t>
  </si>
  <si>
    <t>Pallet I · L3 · line 4</t>
  </si>
  <si>
    <t>Pallet I · L3 · line 5</t>
  </si>
  <si>
    <t>Pallet I · L3 · line 6</t>
  </si>
  <si>
    <t>Pallet I · L3 · line 7</t>
  </si>
  <si>
    <t>Pallet I · L3 · line 8</t>
  </si>
  <si>
    <t>Pallet I · L3 · line 9</t>
  </si>
  <si>
    <t>Pallet I · L3 · line 10</t>
  </si>
  <si>
    <t>Pallet I · L3 · line 11</t>
  </si>
  <si>
    <t>Pallet I · L3 · line 12</t>
  </si>
  <si>
    <t>Pallet J · L3 · line 1</t>
  </si>
  <si>
    <t>Pallet J · L3 · line 2</t>
  </si>
  <si>
    <t>Pallet J · L3 · line 3</t>
  </si>
  <si>
    <t>Pallet J · L3 · line 4</t>
  </si>
  <si>
    <t>Pallet J · L3 · line 5</t>
  </si>
  <si>
    <t>Pallet J · L3 · line 6</t>
  </si>
  <si>
    <t>Pallet J · L3 · line 7</t>
  </si>
  <si>
    <t>Pallet J · L3 · line 8</t>
  </si>
  <si>
    <t>Pallet J · L3 · line 9</t>
  </si>
  <si>
    <t>Pallet J · L3 · line 10</t>
  </si>
  <si>
    <t>Pallet J · L3 · line 11</t>
  </si>
  <si>
    <t>Pallet J · L3 · line 12</t>
  </si>
  <si>
    <t>Pallet K · L3 · line 1</t>
  </si>
  <si>
    <t>Pallet K · L3 · line 2</t>
  </si>
  <si>
    <t>Pallet K · L3 · line 3</t>
  </si>
  <si>
    <t>Pallet K · L3 · line 4</t>
  </si>
  <si>
    <t>Pallet K · L3 · line 5</t>
  </si>
  <si>
    <t>Pallet K · L3 · line 6</t>
  </si>
  <si>
    <t>Pallet K · L3 · line 7</t>
  </si>
  <si>
    <t>Pallet K · L3 · line 8</t>
  </si>
  <si>
    <t>Pallet K · L3 · line 9</t>
  </si>
  <si>
    <t>Pallet K · L3 · line 10</t>
  </si>
  <si>
    <t>Pallet K · L3 · line 11</t>
  </si>
  <si>
    <t>Pallet K · L3 · line 12</t>
  </si>
  <si>
    <t>Pallet L · L3 · line 1</t>
  </si>
  <si>
    <t>Pallet L · L3 · line 2</t>
  </si>
  <si>
    <t>Pallet L · L3 · line 3</t>
  </si>
  <si>
    <t>Pallet L · L3 · line 4</t>
  </si>
  <si>
    <t>Pallet L · L3 · line 5</t>
  </si>
  <si>
    <t>Pallet L · L3 · line 6</t>
  </si>
  <si>
    <t>Pallet L · L3 · line 7</t>
  </si>
  <si>
    <t>Pallet L · L3 · line 8</t>
  </si>
  <si>
    <t>Pallet L · L3 · line 9</t>
  </si>
  <si>
    <t>Pallet L · L3 · line 10</t>
  </si>
  <si>
    <t>Pallet L · L3 · line 11</t>
  </si>
  <si>
    <t>Pallet L · L3 · line 12</t>
  </si>
  <si>
    <t>Pallet M · L3 · line 1</t>
  </si>
  <si>
    <t>Pallet M · L3 · line 2</t>
  </si>
  <si>
    <t>Pallet M · L3 · line 3</t>
  </si>
  <si>
    <t>Pallet M · L3 · line 4</t>
  </si>
  <si>
    <t>Pallet M · L3 · line 5</t>
  </si>
  <si>
    <t>Pallet M · L3 · line 6</t>
  </si>
  <si>
    <t>Pallet M · L3 · line 7</t>
  </si>
  <si>
    <t>Pallet M · L3 · line 8</t>
  </si>
  <si>
    <t>Pallet M · L3 · line 9</t>
  </si>
  <si>
    <t>Pallet M · L3 · line 10</t>
  </si>
  <si>
    <t>Pallet M · L3 · line 11</t>
  </si>
  <si>
    <t>Pallet M · L3 · line 12</t>
  </si>
  <si>
    <t>Pallet N · L3 · line 1</t>
  </si>
  <si>
    <t>Pallet N · L3 · line 2</t>
  </si>
  <si>
    <t>Pallet N · L3 · line 3</t>
  </si>
  <si>
    <t>Pallet N · L3 · line 4</t>
  </si>
  <si>
    <t>Pallet N · L3 · line 5</t>
  </si>
  <si>
    <t>Pallet N · L3 · line 6</t>
  </si>
  <si>
    <t>Pallet N · L3 · line 7</t>
  </si>
  <si>
    <t>Pallet N · L3 · line 8</t>
  </si>
  <si>
    <t>Pallet N · L3 · line 9</t>
  </si>
  <si>
    <t>Pallet N · L3 · line 10</t>
  </si>
  <si>
    <t>Pallet N · L3 · line 11</t>
  </si>
  <si>
    <t>Pallet N · L3 · line 12</t>
  </si>
  <si>
    <t>Pallet O · L3 · line 1</t>
  </si>
  <si>
    <t>Pallet O · L3 · line 2</t>
  </si>
  <si>
    <t>Pallet O · L3 · line 3</t>
  </si>
  <si>
    <t>Pallet O · L3 · line 4</t>
  </si>
  <si>
    <t>Pallet O · L3 · line 5</t>
  </si>
  <si>
    <t>Pallet O · L3 · line 6</t>
  </si>
  <si>
    <t>Pallet O · L3 · line 7</t>
  </si>
  <si>
    <t>Pallet O · L3 · line 8</t>
  </si>
  <si>
    <t>Pallet O · L3 · line 9</t>
  </si>
  <si>
    <t>Pallet O · L3 · line 10</t>
  </si>
  <si>
    <t>Pallet O · L3 · line 11</t>
  </si>
  <si>
    <t>Pallet O · L3 · line 12</t>
  </si>
  <si>
    <t>Pallet P · L3 · line 1</t>
  </si>
  <si>
    <t>Pallet P · L3 · line 2</t>
  </si>
  <si>
    <t>Pallet P · L3 · line 3</t>
  </si>
  <si>
    <t>Pallet P · L3 · line 4</t>
  </si>
  <si>
    <t>Pallet P · L3 · line 5</t>
  </si>
  <si>
    <t>Pallet P · L3 · line 6</t>
  </si>
  <si>
    <t>Pallet P · L3 · line 7</t>
  </si>
  <si>
    <t>Pallet P · L3 · line 8</t>
  </si>
  <si>
    <t>Pallet P · L3 · line 9</t>
  </si>
  <si>
    <t>Pallet P · L3 · line 10</t>
  </si>
  <si>
    <t>Pallet P · L3 · line 11</t>
  </si>
  <si>
    <t>Pallet P · L3 · line 12</t>
  </si>
  <si>
    <t>Pallet Q · L3 · line 1</t>
  </si>
  <si>
    <t>Pallet Q · L3 · line 2</t>
  </si>
  <si>
    <t>Pallet Q · L3 · line 3</t>
  </si>
  <si>
    <t>Pallet Q · L3 · line 4</t>
  </si>
  <si>
    <t>Pallet Q · L3 · line 5</t>
  </si>
  <si>
    <t>Pallet Q · L3 · line 6</t>
  </si>
  <si>
    <t>Pallet Q · L3 · line 7</t>
  </si>
  <si>
    <t>Pallet Q · L3 · line 8</t>
  </si>
  <si>
    <t>Pallet Q · L3 · line 9</t>
  </si>
  <si>
    <t>Pallet Q · L3 · line 10</t>
  </si>
  <si>
    <t>Pallet Q · L3 · line 11</t>
  </si>
  <si>
    <t>Pallet Q · L3 · line 12</t>
  </si>
  <si>
    <t>Pallet B · L2 · line 1</t>
  </si>
  <si>
    <t>Pallet B · L2 · line 2</t>
  </si>
  <si>
    <t>Pallet B · L2 · line 3</t>
  </si>
  <si>
    <t>Pallet B · L2 · line 4</t>
  </si>
  <si>
    <t>Pallet B · L2 · line 5</t>
  </si>
  <si>
    <t>Pallet B · L2 · line 6</t>
  </si>
  <si>
    <t>Pallet B · L2 · line 7</t>
  </si>
  <si>
    <t>Pallet B · L2 · line 8</t>
  </si>
  <si>
    <t>Pallet B · L2 · line 9</t>
  </si>
  <si>
    <t>Pallet B · L2 · line 10</t>
  </si>
  <si>
    <t>Pallet B · L2 · line 11</t>
  </si>
  <si>
    <t>Pallet B · L2 · line 12</t>
  </si>
  <si>
    <t>Pallet C · L2 · line 1</t>
  </si>
  <si>
    <t>Pallet C · L2 · line 2</t>
  </si>
  <si>
    <t>Pallet C · L2 · line 3</t>
  </si>
  <si>
    <t>Pallet C · L2 · line 4</t>
  </si>
  <si>
    <t>Pallet C · L2 · line 5</t>
  </si>
  <si>
    <t>Pallet C · L2 · line 6</t>
  </si>
  <si>
    <t>Pallet C · L2 · line 7</t>
  </si>
  <si>
    <t>Pallet C · L2 · line 8</t>
  </si>
  <si>
    <t>Pallet C · L2 · line 9</t>
  </si>
  <si>
    <t>Pallet C · L2 · line 10</t>
  </si>
  <si>
    <t>Pallet C · L2 · line 11</t>
  </si>
  <si>
    <t>Pallet C · L2 · line 12</t>
  </si>
  <si>
    <t>Pallet D · L2 · line 1</t>
  </si>
  <si>
    <t>Pallet D · L2 · line 2</t>
  </si>
  <si>
    <t>Pallet D · L2 · line 3</t>
  </si>
  <si>
    <t>Pallet D · L2 · line 4</t>
  </si>
  <si>
    <t>Pallet D · L2 · line 5</t>
  </si>
  <si>
    <t>Pallet D · L2 · line 6</t>
  </si>
  <si>
    <t>Pallet D · L2 · line 7</t>
  </si>
  <si>
    <t>Pallet D · L2 · line 8</t>
  </si>
  <si>
    <t>Pallet D · L2 · line 9</t>
  </si>
  <si>
    <t>Pallet D · L2 · line 10</t>
  </si>
  <si>
    <t>Pallet D · L2 · line 11</t>
  </si>
  <si>
    <t>Pallet D · L2 · line 12</t>
  </si>
  <si>
    <t>Pallet E · L2 · line 1</t>
  </si>
  <si>
    <t>Pallet E · L2 · line 2</t>
  </si>
  <si>
    <t>Pallet E · L2 · line 3</t>
  </si>
  <si>
    <t>Pallet E · L2 · line 4</t>
  </si>
  <si>
    <t>Pallet E · L2 · line 5</t>
  </si>
  <si>
    <t>Pallet E · L2 · line 6</t>
  </si>
  <si>
    <t>Pallet E · L2 · line 7</t>
  </si>
  <si>
    <t>Pallet E · L2 · line 8</t>
  </si>
  <si>
    <t>Pallet E · L2 · line 9</t>
  </si>
  <si>
    <t>Pallet E · L2 · line 10</t>
  </si>
  <si>
    <t>Pallet E · L2 · line 11</t>
  </si>
  <si>
    <t>Pallet E · L2 · line 12</t>
  </si>
  <si>
    <t>Pallet F · L2 · line 1</t>
  </si>
  <si>
    <t>Pallet F · L2 · line 2</t>
  </si>
  <si>
    <t>Pallet F · L2 · line 3</t>
  </si>
  <si>
    <t>Pallet F · L2 · line 4</t>
  </si>
  <si>
    <t>Pallet F · L2 · line 5</t>
  </si>
  <si>
    <t>Pallet F · L2 · line 6</t>
  </si>
  <si>
    <t>Pallet F · L2 · line 7</t>
  </si>
  <si>
    <t>Pallet F · L2 · line 8</t>
  </si>
  <si>
    <t>Pallet F · L2 · line 9</t>
  </si>
  <si>
    <t>Pallet F · L2 · line 10</t>
  </si>
  <si>
    <t>Pallet F · L2 · line 11</t>
  </si>
  <si>
    <t>Pallet F · L2 · line 12</t>
  </si>
  <si>
    <t>Pallet G · L2 · line 1</t>
  </si>
  <si>
    <t>Pallet G · L2 · line 2</t>
  </si>
  <si>
    <t>Pallet G · L2 · line 3</t>
  </si>
  <si>
    <t>Pallet G · L2 · line 4</t>
  </si>
  <si>
    <t>Pallet G · L2 · line 5</t>
  </si>
  <si>
    <t>Pallet G · L2 · line 6</t>
  </si>
  <si>
    <t>Pallet G · L2 · line 7</t>
  </si>
  <si>
    <t>Pallet G · L2 · line 8</t>
  </si>
  <si>
    <t>Pallet G · L2 · line 9</t>
  </si>
  <si>
    <t>Pallet G · L2 · line 10</t>
  </si>
  <si>
    <t>Pallet G · L2 · line 11</t>
  </si>
  <si>
    <t>Pallet G · L2 · line 12</t>
  </si>
  <si>
    <t>Pallet H · L2 · line 1</t>
  </si>
  <si>
    <t>Pallet H · L2 · line 2</t>
  </si>
  <si>
    <t>Pallet H · L2 · line 3</t>
  </si>
  <si>
    <t>Pallet H · L2 · line 4</t>
  </si>
  <si>
    <t>Pallet H · L2 · line 5</t>
  </si>
  <si>
    <t>Pallet H · L2 · line 6</t>
  </si>
  <si>
    <t>Pallet H · L2 · line 7</t>
  </si>
  <si>
    <t>Pallet H · L2 · line 8</t>
  </si>
  <si>
    <t>Pallet H · L2 · line 9</t>
  </si>
  <si>
    <t>Pallet H · L2 · line 10</t>
  </si>
  <si>
    <t>Pallet H · L2 · line 11</t>
  </si>
  <si>
    <t>Pallet H · L2 · line 12</t>
  </si>
  <si>
    <t>Pallet I · L2 · line 1</t>
  </si>
  <si>
    <t>Pallet I · L2 · line 2</t>
  </si>
  <si>
    <t>Pallet I · L2 · line 3</t>
  </si>
  <si>
    <t>Pallet I · L2 · line 4</t>
  </si>
  <si>
    <t>Pallet I · L2 · line 5</t>
  </si>
  <si>
    <t>Pallet I · L2 · line 6</t>
  </si>
  <si>
    <t>Pallet I · L2 · line 7</t>
  </si>
  <si>
    <t>Pallet I · L2 · line 8</t>
  </si>
  <si>
    <t>Pallet I · L2 · line 9</t>
  </si>
  <si>
    <t>Pallet I · L2 · line 10</t>
  </si>
  <si>
    <t>Pallet I · L2 · line 11</t>
  </si>
  <si>
    <t>Pallet I · L2 · line 12</t>
  </si>
  <si>
    <t>Pallet J · L2 · line 1</t>
  </si>
  <si>
    <t>Pallet J · L2 · line 2</t>
  </si>
  <si>
    <t>Pallet J · L2 · line 3</t>
  </si>
  <si>
    <t>Pallet J · L2 · line 4</t>
  </si>
  <si>
    <t>Pallet J · L2 · line 5</t>
  </si>
  <si>
    <t>Pallet J · L2 · line 6</t>
  </si>
  <si>
    <t>Pallet J · L2 · line 7</t>
  </si>
  <si>
    <t>Pallet J · L2 · line 8</t>
  </si>
  <si>
    <t>Pallet J · L2 · line 9</t>
  </si>
  <si>
    <t>Pallet J · L2 · line 10</t>
  </si>
  <si>
    <t>Pallet J · L2 · line 11</t>
  </si>
  <si>
    <t>Pallet J · L2 · line 12</t>
  </si>
  <si>
    <t>Pallet K · L2 · line 1</t>
  </si>
  <si>
    <t>Pallet K · L2 · line 2</t>
  </si>
  <si>
    <t>Pallet K · L2 · line 3</t>
  </si>
  <si>
    <t>Pallet K · L2 · line 4</t>
  </si>
  <si>
    <t>Pallet K · L2 · line 5</t>
  </si>
  <si>
    <t>Pallet K · L2 · line 6</t>
  </si>
  <si>
    <t>Pallet K · L2 · line 7</t>
  </si>
  <si>
    <t>Pallet K · L2 · line 8</t>
  </si>
  <si>
    <t>Pallet K · L2 · line 9</t>
  </si>
  <si>
    <t>Pallet K · L2 · line 10</t>
  </si>
  <si>
    <t>Pallet K · L2 · line 11</t>
  </si>
  <si>
    <t>Pallet K · L2 · line 12</t>
  </si>
  <si>
    <t>Pallet L · L2 · line 1</t>
  </si>
  <si>
    <t>Pallet L · L2 · line 2</t>
  </si>
  <si>
    <t>Pallet L · L2 · line 3</t>
  </si>
  <si>
    <t>Pallet L · L2 · line 4</t>
  </si>
  <si>
    <t>Pallet L · L2 · line 5</t>
  </si>
  <si>
    <t>Pallet L · L2 · line 6</t>
  </si>
  <si>
    <t>Pallet L · L2 · line 7</t>
  </si>
  <si>
    <t>Pallet L · L2 · line 8</t>
  </si>
  <si>
    <t>Pallet L · L2 · line 9</t>
  </si>
  <si>
    <t>Pallet L · L2 · line 10</t>
  </si>
  <si>
    <t>Pallet L · L2 · line 11</t>
  </si>
  <si>
    <t>Pallet L · L2 · line 12</t>
  </si>
  <si>
    <t>Pallet M · L2 · line 1</t>
  </si>
  <si>
    <t>Pallet M · L2 · line 2</t>
  </si>
  <si>
    <t>Pallet M · L2 · line 3</t>
  </si>
  <si>
    <t>Pallet M · L2 · line 4</t>
  </si>
  <si>
    <t>Pallet M · L2 · line 5</t>
  </si>
  <si>
    <t>Pallet M · L2 · line 6</t>
  </si>
  <si>
    <t>Pallet M · L2 · line 7</t>
  </si>
  <si>
    <t>Pallet M · L2 · line 8</t>
  </si>
  <si>
    <t>Pallet M · L2 · line 9</t>
  </si>
  <si>
    <t>Pallet M · L2 · line 10</t>
  </si>
  <si>
    <t>Pallet M · L2 · line 11</t>
  </si>
  <si>
    <t>Pallet M · L2 · line 12</t>
  </si>
  <si>
    <t>Pallet N · L2 · line 1</t>
  </si>
  <si>
    <t>Pallet N · L2 · line 2</t>
  </si>
  <si>
    <t>Pallet N · L2 · line 3</t>
  </si>
  <si>
    <t>Pallet N · L2 · line 4</t>
  </si>
  <si>
    <t>Pallet N · L2 · line 5</t>
  </si>
  <si>
    <t>Pallet N · L2 · line 6</t>
  </si>
  <si>
    <t>Pallet N · L2 · line 7</t>
  </si>
  <si>
    <t>Pallet N · L2 · line 8</t>
  </si>
  <si>
    <t>Pallet N · L2 · line 9</t>
  </si>
  <si>
    <t>Pallet N · L2 · line 10</t>
  </si>
  <si>
    <t>Pallet N · L2 · line 11</t>
  </si>
  <si>
    <t>Pallet N · L2 · line 12</t>
  </si>
  <si>
    <t>Pallet O · L2 · line 1</t>
  </si>
  <si>
    <t>Pallet O · L2 · line 2</t>
  </si>
  <si>
    <t>Pallet O · L2 · line 3</t>
  </si>
  <si>
    <t>Pallet O · L2 · line 4</t>
  </si>
  <si>
    <t>Pallet O · L2 · line 5</t>
  </si>
  <si>
    <t>Pallet O · L2 · line 6</t>
  </si>
  <si>
    <t>Pallet O · L2 · line 7</t>
  </si>
  <si>
    <t>Pallet O · L2 · line 8</t>
  </si>
  <si>
    <t>Pallet O · L2 · line 9</t>
  </si>
  <si>
    <t>Pallet O · L2 · line 10</t>
  </si>
  <si>
    <t>Pallet O · L2 · line 11</t>
  </si>
  <si>
    <t>Pallet O · L2 · line 12</t>
  </si>
  <si>
    <t>Pallet P · L2 · line 1</t>
  </si>
  <si>
    <t>Pallet P · L2 · line 2</t>
  </si>
  <si>
    <t>Pallet P · L2 · line 3</t>
  </si>
  <si>
    <t>Pallet P · L2 · line 4</t>
  </si>
  <si>
    <t>Pallet P · L2 · line 5</t>
  </si>
  <si>
    <t>Pallet P · L2 · line 6</t>
  </si>
  <si>
    <t>Pallet P · L2 · line 7</t>
  </si>
  <si>
    <t>Pallet P · L2 · line 8</t>
  </si>
  <si>
    <t>Pallet P · L2 · line 9</t>
  </si>
  <si>
    <t>Pallet P · L2 · line 10</t>
  </si>
  <si>
    <t>Pallet P · L2 · line 11</t>
  </si>
  <si>
    <t>Pallet P · L2 · line 12</t>
  </si>
  <si>
    <t>Pallet Q · L2 · line 1</t>
  </si>
  <si>
    <t>Pallet Q · L2 · line 2</t>
  </si>
  <si>
    <t>Pallet Q · L2 · line 3</t>
  </si>
  <si>
    <t>Pallet Q · L2 · line 4</t>
  </si>
  <si>
    <t>Pallet Q · L2 · line 5</t>
  </si>
  <si>
    <t>Pallet Q · L2 · line 6</t>
  </si>
  <si>
    <t>Pallet Q · L2 · line 7</t>
  </si>
  <si>
    <t>Pallet Q · L2 · line 8</t>
  </si>
  <si>
    <t>Pallet Q · L2 · line 9</t>
  </si>
  <si>
    <t>Pallet Q · L2 · line 10</t>
  </si>
  <si>
    <t>Pallet Q · L2 · line 11</t>
  </si>
  <si>
    <t>Pallet Q · L2 · line 12</t>
  </si>
  <si>
    <t>Pallet B · L1 · line 1</t>
  </si>
  <si>
    <t>Pallet B · L1 · line 2</t>
  </si>
  <si>
    <t>Pallet B · L1 · line 3</t>
  </si>
  <si>
    <t>Pallet B · L1 · line 4</t>
  </si>
  <si>
    <t>Pallet B · L1 · line 5</t>
  </si>
  <si>
    <t>Pallet B · L1 · line 6</t>
  </si>
  <si>
    <t>Pallet B · L1 · line 7</t>
  </si>
  <si>
    <t>Pallet B · L1 · line 8</t>
  </si>
  <si>
    <t>Pallet B · L1 · line 9</t>
  </si>
  <si>
    <t>Pallet B · L1 · line 10</t>
  </si>
  <si>
    <t>Pallet B · L1 · line 11</t>
  </si>
  <si>
    <t>Pallet B · L1 · line 12</t>
  </si>
  <si>
    <t>Pallet C · L1 · line 1</t>
  </si>
  <si>
    <t>Pallet C · L1 · line 2</t>
  </si>
  <si>
    <t>Pallet C · L1 · line 3</t>
  </si>
  <si>
    <t>Pallet C · L1 · line 4</t>
  </si>
  <si>
    <t>Pallet C · L1 · line 5</t>
  </si>
  <si>
    <t>Pallet C · L1 · line 6</t>
  </si>
  <si>
    <t>Pallet C · L1 · line 7</t>
  </si>
  <si>
    <t>Pallet C · L1 · line 8</t>
  </si>
  <si>
    <t>Pallet C · L1 · line 9</t>
  </si>
  <si>
    <t>Pallet C · L1 · line 10</t>
  </si>
  <si>
    <t>Pallet C · L1 · line 11</t>
  </si>
  <si>
    <t>Pallet C · L1 · line 12</t>
  </si>
  <si>
    <t>Pallet D · L1 · line 1</t>
  </si>
  <si>
    <t>Pallet D · L1 · line 2</t>
  </si>
  <si>
    <t>Pallet D · L1 · line 3</t>
  </si>
  <si>
    <t>Pallet D · L1 · line 4</t>
  </si>
  <si>
    <t>Pallet D · L1 · line 5</t>
  </si>
  <si>
    <t>Pallet D · L1 · line 6</t>
  </si>
  <si>
    <t>Pallet D · L1 · line 7</t>
  </si>
  <si>
    <t>Pallet D · L1 · line 8</t>
  </si>
  <si>
    <t>Pallet D · L1 · line 9</t>
  </si>
  <si>
    <t>Pallet D · L1 · line 10</t>
  </si>
  <si>
    <t>Pallet D · L1 · line 11</t>
  </si>
  <si>
    <t>Pallet D · L1 · line 12</t>
  </si>
  <si>
    <t>Pallet E · L1 · line 1</t>
  </si>
  <si>
    <t>Pallet E · L1 · line 2</t>
  </si>
  <si>
    <t>Pallet E · L1 · line 3</t>
  </si>
  <si>
    <t>Pallet E · L1 · line 4</t>
  </si>
  <si>
    <t>Pallet E · L1 · line 5</t>
  </si>
  <si>
    <t>Pallet E · L1 · line 6</t>
  </si>
  <si>
    <t>Pallet E · L1 · line 7</t>
  </si>
  <si>
    <t>Pallet E · L1 · line 8</t>
  </si>
  <si>
    <t>Pallet E · L1 · line 9</t>
  </si>
  <si>
    <t>Pallet E · L1 · line 10</t>
  </si>
  <si>
    <t>Pallet E · L1 · line 11</t>
  </si>
  <si>
    <t>Pallet E · L1 · line 12</t>
  </si>
  <si>
    <t>Pallet F · L1 · line 1</t>
  </si>
  <si>
    <t>Pallet F · L1 · line 2</t>
  </si>
  <si>
    <t>Pallet F · L1 · line 3</t>
  </si>
  <si>
    <t>Pallet F · L1 · line 4</t>
  </si>
  <si>
    <t>Pallet F · L1 · line 5</t>
  </si>
  <si>
    <t>Pallet F · L1 · line 6</t>
  </si>
  <si>
    <t>Pallet F · L1 · line 7</t>
  </si>
  <si>
    <t>Pallet F · L1 · line 8</t>
  </si>
  <si>
    <t>Pallet F · L1 · line 9</t>
  </si>
  <si>
    <t>Pallet F · L1 · line 10</t>
  </si>
  <si>
    <t>Pallet F · L1 · line 11</t>
  </si>
  <si>
    <t>Pallet F · L1 · line 12</t>
  </si>
  <si>
    <t>Pallet G · L1 · line 1</t>
  </si>
  <si>
    <t>Pallet G · L1 · line 2</t>
  </si>
  <si>
    <t>Pallet G · L1 · line 3</t>
  </si>
  <si>
    <t>Pallet G · L1 · line 4</t>
  </si>
  <si>
    <t>Pallet G · L1 · line 5</t>
  </si>
  <si>
    <t>Pallet G · L1 · line 6</t>
  </si>
  <si>
    <t>Pallet G · L1 · line 7</t>
  </si>
  <si>
    <t>Pallet G · L1 · line 8</t>
  </si>
  <si>
    <t>Pallet G · L1 · line 9</t>
  </si>
  <si>
    <t>Pallet G · L1 · line 10</t>
  </si>
  <si>
    <t>Pallet G · L1 · line 11</t>
  </si>
  <si>
    <t>Pallet G · L1 · line 12</t>
  </si>
  <si>
    <t>Pallet H · L1 · line 1</t>
  </si>
  <si>
    <t>Pallet H · L1 · line 2</t>
  </si>
  <si>
    <t>Pallet H · L1 · line 3</t>
  </si>
  <si>
    <t>Pallet H · L1 · line 4</t>
  </si>
  <si>
    <t>Pallet H · L1 · line 5</t>
  </si>
  <si>
    <t>Pallet H · L1 · line 6</t>
  </si>
  <si>
    <t>Pallet H · L1 · line 7</t>
  </si>
  <si>
    <t>Pallet H · L1 · line 8</t>
  </si>
  <si>
    <t>Pallet H · L1 · line 9</t>
  </si>
  <si>
    <t>Pallet H · L1 · line 10</t>
  </si>
  <si>
    <t>Pallet H · L1 · line 11</t>
  </si>
  <si>
    <t>Pallet H · L1 · line 12</t>
  </si>
  <si>
    <t>Pallet I · L1 · line 1</t>
  </si>
  <si>
    <t>Pallet I · L1 · line 2</t>
  </si>
  <si>
    <t>Pallet I · L1 · line 3</t>
  </si>
  <si>
    <t>Pallet I · L1 · line 4</t>
  </si>
  <si>
    <t>Pallet I · L1 · line 5</t>
  </si>
  <si>
    <t>Pallet I · L1 · line 6</t>
  </si>
  <si>
    <t>Pallet I · L1 · line 7</t>
  </si>
  <si>
    <t>Pallet I · L1 · line 8</t>
  </si>
  <si>
    <t>Pallet I · L1 · line 9</t>
  </si>
  <si>
    <t>Pallet I · L1 · line 10</t>
  </si>
  <si>
    <t>Pallet I · L1 · line 11</t>
  </si>
  <si>
    <t>Pallet I · L1 · line 12</t>
  </si>
  <si>
    <t>Pallet J · L1 · line 1</t>
  </si>
  <si>
    <t>Pallet J · L1 · line 2</t>
  </si>
  <si>
    <t>Pallet J · L1 · line 3</t>
  </si>
  <si>
    <t>Pallet J · L1 · line 4</t>
  </si>
  <si>
    <t>Pallet J · L1 · line 5</t>
  </si>
  <si>
    <t>Pallet J · L1 · line 6</t>
  </si>
  <si>
    <t>Pallet J · L1 · line 7</t>
  </si>
  <si>
    <t>Pallet J · L1 · line 8</t>
  </si>
  <si>
    <t>Pallet J · L1 · line 9</t>
  </si>
  <si>
    <t>Pallet J · L1 · line 10</t>
  </si>
  <si>
    <t>Pallet J · L1 · line 11</t>
  </si>
  <si>
    <t>Pallet J · L1 · line 12</t>
  </si>
  <si>
    <t>Pallet K · L1 · line 1</t>
  </si>
  <si>
    <t>Pallet K · L1 · line 2</t>
  </si>
  <si>
    <t>Pallet K · L1 · line 3</t>
  </si>
  <si>
    <t>Pallet K · L1 · line 4</t>
  </si>
  <si>
    <t>Pallet K · L1 · line 5</t>
  </si>
  <si>
    <t>Pallet K · L1 · line 6</t>
  </si>
  <si>
    <t>Pallet K · L1 · line 7</t>
  </si>
  <si>
    <t>Pallet K · L1 · line 8</t>
  </si>
  <si>
    <t>Pallet K · L1 · line 9</t>
  </si>
  <si>
    <t>Pallet K · L1 · line 10</t>
  </si>
  <si>
    <t>Pallet K · L1 · line 11</t>
  </si>
  <si>
    <t>Pallet K · L1 · line 12</t>
  </si>
  <si>
    <t>Pallet L · L1 · line 1</t>
  </si>
  <si>
    <t>Pallet L · L1 · line 2</t>
  </si>
  <si>
    <t>Pallet L · L1 · line 3</t>
  </si>
  <si>
    <t>Pallet L · L1 · line 4</t>
  </si>
  <si>
    <t>Pallet L · L1 · line 5</t>
  </si>
  <si>
    <t>Pallet L · L1 · line 6</t>
  </si>
  <si>
    <t>Pallet L · L1 · line 7</t>
  </si>
  <si>
    <t>Pallet L · L1 · line 8</t>
  </si>
  <si>
    <t>Pallet L · L1 · line 9</t>
  </si>
  <si>
    <t>Pallet L · L1 · line 10</t>
  </si>
  <si>
    <t>Pallet L · L1 · line 11</t>
  </si>
  <si>
    <t>Pallet L · L1 · line 12</t>
  </si>
  <si>
    <t>Pallet M · L1 · line 1</t>
  </si>
  <si>
    <t>Pallet M · L1 · line 2</t>
  </si>
  <si>
    <t>Pallet M · L1 · line 3</t>
  </si>
  <si>
    <t>Pallet M · L1 · line 4</t>
  </si>
  <si>
    <t>Pallet M · L1 · line 5</t>
  </si>
  <si>
    <t>Pallet M · L1 · line 6</t>
  </si>
  <si>
    <t>Pallet M · L1 · line 7</t>
  </si>
  <si>
    <t>Pallet M · L1 · line 8</t>
  </si>
  <si>
    <t>Pallet M · L1 · line 9</t>
  </si>
  <si>
    <t>Pallet M · L1 · line 10</t>
  </si>
  <si>
    <t>Pallet M · L1 · line 11</t>
  </si>
  <si>
    <t>Pallet M · L1 · line 12</t>
  </si>
  <si>
    <t>Pallet N · L1 · line 1</t>
  </si>
  <si>
    <t>Pallet N · L1 · line 2</t>
  </si>
  <si>
    <t>Pallet N · L1 · line 3</t>
  </si>
  <si>
    <t>Pallet N · L1 · line 4</t>
  </si>
  <si>
    <t>Pallet N · L1 · line 5</t>
  </si>
  <si>
    <t>Pallet N · L1 · line 6</t>
  </si>
  <si>
    <t>Pallet N · L1 · line 7</t>
  </si>
  <si>
    <t>Pallet N · L1 · line 8</t>
  </si>
  <si>
    <t>Pallet N · L1 · line 9</t>
  </si>
  <si>
    <t>Pallet N · L1 · line 10</t>
  </si>
  <si>
    <t>Pallet N · L1 · line 11</t>
  </si>
  <si>
    <t>Pallet N · L1 · line 12</t>
  </si>
  <si>
    <t>Pallet O · L1 · line 1</t>
  </si>
  <si>
    <t>Pallet O · L1 · line 2</t>
  </si>
  <si>
    <t>Pallet O · L1 · line 3</t>
  </si>
  <si>
    <t>Pallet O · L1 · line 4</t>
  </si>
  <si>
    <t>Pallet O · L1 · line 5</t>
  </si>
  <si>
    <t>Pallet O · L1 · line 6</t>
  </si>
  <si>
    <t>Pallet O · L1 · line 7</t>
  </si>
  <si>
    <t>Pallet O · L1 · line 8</t>
  </si>
  <si>
    <t>Pallet O · L1 · line 9</t>
  </si>
  <si>
    <t>Pallet O · L1 · line 10</t>
  </si>
  <si>
    <t>Pallet O · L1 · line 11</t>
  </si>
  <si>
    <t>Pallet O · L1 · line 12</t>
  </si>
  <si>
    <t>Pallet P · L1 · line 1</t>
  </si>
  <si>
    <t>Pallet P · L1 · line 2</t>
  </si>
  <si>
    <t>Pallet P · L1 · line 3</t>
  </si>
  <si>
    <t>Pallet P · L1 · line 4</t>
  </si>
  <si>
    <t>Pallet P · L1 · line 5</t>
  </si>
  <si>
    <t>Pallet P · L1 · line 6</t>
  </si>
  <si>
    <t>Pallet P · L1 · line 7</t>
  </si>
  <si>
    <t>Pallet P · L1 · line 8</t>
  </si>
  <si>
    <t>Pallet P · L1 · line 9</t>
  </si>
  <si>
    <t>Pallet P · L1 · line 10</t>
  </si>
  <si>
    <t>Pallet P · L1 · line 11</t>
  </si>
  <si>
    <t>Pallet P · L1 · line 12</t>
  </si>
  <si>
    <t>Pallet Q · L1 · line 1</t>
  </si>
  <si>
    <t>Pallet Q · L1 · line 2</t>
  </si>
  <si>
    <t>Pallet Q · L1 · line 3</t>
  </si>
  <si>
    <t>Pallet Q · L1 · line 4</t>
  </si>
  <si>
    <t>Pallet Q · L1 · line 5</t>
  </si>
  <si>
    <t>Pallet Q · L1 · line 6</t>
  </si>
  <si>
    <t>Pallet Q · L1 · line 7</t>
  </si>
  <si>
    <t>Pallet Q · L1 · line 8</t>
  </si>
  <si>
    <t>Pallet Q · L1 · line 9</t>
  </si>
  <si>
    <t>Pallet Q · L1 · line 10</t>
  </si>
  <si>
    <t>Pallet Q · L1 · line 11</t>
  </si>
  <si>
    <t>Pallet Q · L1 · line 12</t>
  </si>
  <si>
    <t>Barn - Front Rack</t>
  </si>
  <si>
    <t>line 1</t>
  </si>
  <si>
    <t>LOC</t>
  </si>
  <si>
    <t>line 2</t>
  </si>
  <si>
    <t>line 3</t>
  </si>
  <si>
    <t>line 4</t>
  </si>
  <si>
    <t>line 5</t>
  </si>
  <si>
    <t>line 6</t>
  </si>
  <si>
    <t>line 7</t>
  </si>
  <si>
    <t>line 8</t>
  </si>
  <si>
    <t>line 9</t>
  </si>
  <si>
    <t>line 10</t>
  </si>
  <si>
    <t>line 11</t>
  </si>
  <si>
    <t>line 12</t>
  </si>
  <si>
    <t>line 13</t>
  </si>
  <si>
    <t>line 14</t>
  </si>
  <si>
    <t>line 15</t>
  </si>
  <si>
    <t>line 16</t>
  </si>
  <si>
    <t>line 17</t>
  </si>
  <si>
    <t>line 18</t>
  </si>
  <si>
    <t>line 19</t>
  </si>
  <si>
    <t>line 20</t>
  </si>
  <si>
    <t>line 21</t>
  </si>
  <si>
    <t>line 22</t>
  </si>
  <si>
    <t>line 23</t>
  </si>
  <si>
    <t>line 24</t>
  </si>
  <si>
    <t>line 25</t>
  </si>
  <si>
    <t>line 26</t>
  </si>
  <si>
    <t>line 27</t>
  </si>
  <si>
    <t>line 28</t>
  </si>
  <si>
    <t>line 29</t>
  </si>
  <si>
    <t>line 30</t>
  </si>
  <si>
    <t>line 31</t>
  </si>
  <si>
    <t>line 32</t>
  </si>
  <si>
    <t>line 33</t>
  </si>
  <si>
    <t>line 34</t>
  </si>
  <si>
    <t>line 35</t>
  </si>
  <si>
    <t>line 36</t>
  </si>
  <si>
    <t>line 37</t>
  </si>
  <si>
    <t>line 38</t>
  </si>
  <si>
    <t>line 39</t>
  </si>
  <si>
    <t>line 40</t>
  </si>
  <si>
    <t>equipment · line 1</t>
  </si>
  <si>
    <t>equipment · line 2</t>
  </si>
  <si>
    <t>equipment · line 3</t>
  </si>
  <si>
    <t>equipment · line 4</t>
  </si>
  <si>
    <t>equipment · line 5</t>
  </si>
  <si>
    <t>equipment · line 6</t>
  </si>
  <si>
    <t>equipment · line 7</t>
  </si>
  <si>
    <t>equipment · line 8</t>
  </si>
  <si>
    <t>equipment · line 9</t>
  </si>
  <si>
    <t>equipment · line 10</t>
  </si>
  <si>
    <t>equipment · line 11</t>
  </si>
  <si>
    <t>equipment · line 12</t>
  </si>
  <si>
    <t>equipment · line 13</t>
  </si>
  <si>
    <t>equipment · line 14</t>
  </si>
  <si>
    <t>equipment · line 15</t>
  </si>
  <si>
    <t>equipment · line 16</t>
  </si>
  <si>
    <t>equipment · line 17</t>
  </si>
  <si>
    <t>equipment · line 18</t>
  </si>
  <si>
    <t>equipment · line 19</t>
  </si>
  <si>
    <t>equipment · line 20</t>
  </si>
  <si>
    <t>equipment · line 21</t>
  </si>
  <si>
    <t>equipment · line 22</t>
  </si>
  <si>
    <t>equipment · line 23</t>
  </si>
  <si>
    <t>equipment · line 24</t>
  </si>
  <si>
    <t>equipment · line 25</t>
  </si>
  <si>
    <t>equipment · line 26</t>
  </si>
  <si>
    <t>equipment · line 27</t>
  </si>
  <si>
    <t>equipment · line 28</t>
  </si>
  <si>
    <t>equipment · line 29</t>
  </si>
  <si>
    <t>equipment · line 30</t>
  </si>
  <si>
    <t>equipment · line 31</t>
  </si>
  <si>
    <t>equipment · line 32</t>
  </si>
  <si>
    <t>equipment · line 33</t>
  </si>
  <si>
    <t>equipment · line 34</t>
  </si>
  <si>
    <t>equipment · line 35</t>
  </si>
  <si>
    <t>equipment · line 36</t>
  </si>
  <si>
    <t>equipment · line 37</t>
  </si>
  <si>
    <t>equipment · line 38</t>
  </si>
  <si>
    <t>equipment · line 39</t>
  </si>
  <si>
    <t>equipment · line 40</t>
  </si>
  <si>
    <t>modules · line 1</t>
  </si>
  <si>
    <t>MOD</t>
  </si>
  <si>
    <t>modules · line 2</t>
  </si>
  <si>
    <t>modules · line 3</t>
  </si>
  <si>
    <t>modules · line 4</t>
  </si>
  <si>
    <t>modules · line 5</t>
  </si>
  <si>
    <t>modules · line 6</t>
  </si>
  <si>
    <t>modules · line 7</t>
  </si>
  <si>
    <t>modules · line 8</t>
  </si>
  <si>
    <t>modules · line 9</t>
  </si>
  <si>
    <t>modules · line 10</t>
  </si>
  <si>
    <t>modules · line 11</t>
  </si>
  <si>
    <t>modules · line 12</t>
  </si>
  <si>
    <t>modules · line 13</t>
  </si>
  <si>
    <t>modules · line 14</t>
  </si>
  <si>
    <t>modules · line 15</t>
  </si>
  <si>
    <t>modules · line 16</t>
  </si>
  <si>
    <t>modules · line 17</t>
  </si>
  <si>
    <t>modules · line 18</t>
  </si>
  <si>
    <t>modules · line 19</t>
  </si>
  <si>
    <t>modules · line 20</t>
  </si>
  <si>
    <t>modules · line 21</t>
  </si>
  <si>
    <t>modules · line 22</t>
  </si>
  <si>
    <t>modules · line 23</t>
  </si>
  <si>
    <t>modules · line 24</t>
  </si>
  <si>
    <t>modules · line 25</t>
  </si>
  <si>
    <t>modules · line 26</t>
  </si>
  <si>
    <t>modules · line 27</t>
  </si>
  <si>
    <t>modules · line 28</t>
  </si>
  <si>
    <t>modules · line 29</t>
  </si>
  <si>
    <t>modules · line 30</t>
  </si>
  <si>
    <t>modules · line 31</t>
  </si>
  <si>
    <t>modules · line 32</t>
  </si>
  <si>
    <t>modules · line 33</t>
  </si>
  <si>
    <t>modules · line 34</t>
  </si>
  <si>
    <t>modules · line 35</t>
  </si>
  <si>
    <t>modules · line 36</t>
  </si>
  <si>
    <t>modules · line 37</t>
  </si>
  <si>
    <t>modules · line 38</t>
  </si>
  <si>
    <t>modules · line 39</t>
  </si>
  <si>
    <t>modules · line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</si>
</sst>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30" x14ac:knownFonts="1">
    <font>
      <sz val="11"/>
      <color theme="1"/>
      <name val="Aptos Narrow"/>
      <family val="2"/>
      <charset val="1"/>
    </font>
    <font>
      <sz val="10"/>
      <name val="Arial"/>
      <family val="2"/>
    </font>
    <font>
      <b/>
      <sz val="14"/>
      <color rgb="FFFFFFFF"/>
      <name val="Arial"/>
      <family val="2"/>
      <charset val="1"/>
    </font>
    <font>
      <sz val="9"/>
      <name val="Arial"/>
      <family val="2"/>
      <charset val="1"/>
    </font>
    <font>
      <b/>
      <sz val="10"/>
      <color rgb="FFFFFFFF"/>
      <name val="Arial"/>
      <family val="2"/>
      <charset val="1"/>
    </font>
    <font>
      <b/>
      <sz val="8"/>
      <color rgb="FF1F4E79"/>
      <name val="Arial"/>
      <family val="2"/>
      <charset val="1"/>
    </font>
    <font>
      <b/>
      <sz val="14"/>
      <color rgb="FF1F3864"/>
      <name val="Arial"/>
      <family val="2"/>
      <charset val="1"/>
    </font>
    <font>
      <i/>
      <sz val="8"/>
      <color rgb="FF595959"/>
      <name val="Arial"/>
      <family val="2"/>
      <charset val="1"/>
    </font>
    <font>
      <b/>
      <sz val="9"/>
      <color rgb="FFFFFFFF"/>
      <name val="Arial"/>
      <family val="2"/>
      <charset val="1"/>
    </font>
    <font>
      <b/>
      <sz val="8"/>
      <color rgb="FF808080"/>
      <name val="Arial"/>
      <family val="2"/>
      <charset val="1"/>
    </font>
    <font>
      <sz val="10"/>
      <name val="Arial"/>
      <family val="2"/>
      <charset val="1"/>
    </font>
    <font>
      <b/>
      <sz val="9"/>
      <color rgb="FF1F4E79"/>
      <name val="Arial"/>
      <family val="2"/>
      <charset val="1"/>
    </font>
    <font>
      <b/>
      <sz val="10"/>
      <color rgb="FF9C0006"/>
      <name val="Arial"/>
      <family val="2"/>
      <charset val="1"/>
    </font>
    <font>
      <b/>
      <sz val="14"/>
      <color rgb="FFFFFFFF"/>
      <name val="Arial"/>
      <family val="2"/>
    </font>
    <font>
      <sz val="9"/>
      <name val="Arial"/>
      <family val="2"/>
    </font>
    <font>
      <b/>
      <sz val="8"/>
      <color rgb="FF1F4E79"/>
      <name val="Arial"/>
      <family val="2"/>
    </font>
    <font>
      <b/>
      <sz val="13"/>
      <color rgb="FF1F3864"/>
      <name val="Arial"/>
      <family val="2"/>
      <charset val="1"/>
    </font>
    <font>
      <b/>
      <sz val="13"/>
      <color rgb="FF1F3864"/>
      <name val="Arial"/>
      <family val="2"/>
    </font>
    <font>
      <i/>
      <sz val="8"/>
      <color rgb="FF595959"/>
      <name val="Arial"/>
      <family val="2"/>
    </font>
    <font>
      <b/>
      <sz val="10"/>
      <color rgb="FFFFFFFF"/>
      <name val="Arial"/>
      <family val="2"/>
    </font>
    <font>
      <sz val="10"/>
      <name val="Arial"/>
      <family val="2"/>
    </font>
    <font>
      <b/>
      <sz val="10"/>
      <color rgb="FF1F3864"/>
      <name val="Arial"/>
      <family val="2"/>
      <charset val="1"/>
    </font>
    <font>
      <b/>
      <sz val="9"/>
      <color rgb="FFFFFFFF"/>
      <name val="Arial"/>
      <family val="2"/>
    </font>
    <font>
      <sz val="10"/>
      <color rgb="FF000000"/>
      <name val="Arial"/>
      <family val="2"/>
    </font>
    <font>
      <sz val="10"/>
      <color rgb="FF375623"/>
      <name val="Arial"/>
      <family val="2"/>
    </font>
    <font>
      <sz val="10"/>
      <color rgb="FF8A6D1F"/>
      <name val="Arial"/>
      <family val="2"/>
    </font>
    <font>
      <b/>
      <sz val="10"/>
      <color rgb="FF375623"/>
      <name val="Arial"/>
      <family val="2"/>
    </font>
    <font>
      <sz val="10"/>
      <color rgb="FF7030A0"/>
      <name val="Arial"/>
      <family val="2"/>
    </font>
    <font>
      <sz val="10"/>
      <color rgb="FF9C4B24"/>
      <name val="Arial"/>
      <family val="2"/>
    </font>
    <font>
      <i/>
      <sz val="10"/>
      <color rgb="FF7030A0"/>
      <name val="Arial"/>
      <family val="2"/>
    </font>
  </fonts>
  <fills count="21">
    <fill>
      <patternFill patternType="none"/>
    </fill>
    <fill>
      <patternFill patternType="gray125"/>
    </fill>
    <fill>
      <patternFill patternType="solid">
        <fgColor rgb="FF1F3864"/>
        <bgColor rgb="FF1F4E79"/>
      </patternFill>
    </fill>
    <fill>
      <patternFill patternType="solid">
        <fgColor rgb="FF4472C4"/>
        <bgColor rgb="FF3F5C7A"/>
      </patternFill>
    </fill>
    <fill>
      <patternFill patternType="solid">
        <fgColor rgb="FFFFF2CC"/>
        <bgColor rgb="FFF7F0DC"/>
      </patternFill>
    </fill>
    <fill>
      <patternFill patternType="solid">
        <fgColor rgb="FFF2F2F2"/>
        <bgColor rgb="FFEBF5EB"/>
      </patternFill>
    </fill>
    <fill>
      <patternFill patternType="solid">
        <fgColor rgb="FF595959"/>
        <bgColor rgb="FF3F5C7A"/>
      </patternFill>
    </fill>
    <fill>
      <patternFill patternType="solid">
        <fgColor rgb="FFC55A11"/>
        <bgColor rgb="FF9C5700"/>
      </patternFill>
    </fill>
    <fill>
      <patternFill patternType="solid">
        <fgColor rgb="FF7030A0"/>
        <bgColor rgb="FF800080"/>
      </patternFill>
    </fill>
    <fill>
      <patternFill patternType="solid">
        <fgColor rgb="FFFCE4D6"/>
        <bgColor rgb="FFF6E3D9"/>
      </patternFill>
    </fill>
    <fill>
      <patternFill patternType="solid">
        <fgColor rgb="FFE9DDF3"/>
        <bgColor rgb="FFE3EAF1"/>
      </patternFill>
    </fill>
    <fill>
      <patternFill patternType="solid">
        <fgColor rgb="FFFFFFFF"/>
        <bgColor rgb="FFF2F2F2"/>
      </patternFill>
    </fill>
    <fill>
      <patternFill patternType="solid">
        <fgColor rgb="FFFCE4EC"/>
        <bgColor rgb="FFF6E3D9"/>
      </patternFill>
    </fill>
    <fill>
      <patternFill patternType="solid">
        <fgColor rgb="FF2E7D6E"/>
        <bgColor rgb="FF3F5C7A"/>
      </patternFill>
    </fill>
    <fill>
      <patternFill patternType="solid">
        <fgColor rgb="FF8A6D1F"/>
        <bgColor rgb="FF9C5700"/>
      </patternFill>
    </fill>
    <fill>
      <patternFill patternType="solid">
        <fgColor rgb="FFE0F0EC"/>
        <bgColor rgb="FFE3EAF1"/>
      </patternFill>
    </fill>
    <fill>
      <patternFill patternType="solid">
        <fgColor rgb="FFF7F0DC"/>
        <bgColor rgb="FFFFF2CC"/>
      </patternFill>
    </fill>
    <fill>
      <patternFill patternType="solid">
        <fgColor rgb="FF3F5C7A"/>
        <bgColor rgb="FF595959"/>
      </patternFill>
    </fill>
    <fill>
      <patternFill patternType="solid">
        <fgColor rgb="FF9C4B24"/>
        <bgColor rgb="FF9C5700"/>
      </patternFill>
    </fill>
    <fill>
      <patternFill patternType="solid">
        <fgColor rgb="FFE3EAF1"/>
        <bgColor rgb="FFE0F0EC"/>
      </patternFill>
    </fill>
    <fill>
      <patternFill patternType="solid">
        <fgColor rgb="FFF6E3D9"/>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2">
    <xf numFmtId="0" fontId="0" fillId="0" borderId="0" xfId="0"/>
    <xf numFmtId="0" fontId="15" fillId="4"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3"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5" fillId="4" borderId="1" xfId="0" applyFont="1" applyFill="1" applyBorder="1" applyAlignment="1">
      <alignment horizontal="center"/>
    </xf>
    <xf numFmtId="0" fontId="5" fillId="4" borderId="1" xfId="0" applyFont="1" applyFill="1" applyBorder="1" applyAlignment="1">
      <alignment horizontal="center" wrapText="1"/>
    </xf>
    <xf numFmtId="0" fontId="9" fillId="5" borderId="1" xfId="0" applyFont="1" applyFill="1" applyBorder="1" applyAlignment="1">
      <alignment horizontal="center"/>
    </xf>
    <xf numFmtId="0" fontId="10" fillId="9" borderId="1" xfId="0" applyFont="1" applyFill="1" applyBorder="1" applyAlignment="1">
      <alignment vertical="center" indent="1"/>
    </xf>
    <xf numFmtId="49" fontId="10" fillId="9" borderId="1" xfId="0" applyNumberFormat="1" applyFont="1" applyFill="1" applyBorder="1" applyAlignment="1">
      <alignment vertical="center" indent="1"/>
    </xf>
    <xf numFmtId="0" fontId="10" fillId="10" borderId="1" xfId="0" applyFont="1" applyFill="1" applyBorder="1" applyAlignment="1">
      <alignment vertical="center" indent="1"/>
    </xf>
    <xf numFmtId="1" fontId="10" fillId="10" borderId="1" xfId="0" applyNumberFormat="1" applyFont="1" applyFill="1" applyBorder="1" applyAlignment="1">
      <alignment horizontal="center" vertical="center"/>
    </xf>
    <xf numFmtId="0" fontId="10" fillId="11" borderId="1" xfId="0" applyFont="1" applyFill="1" applyBorder="1" applyAlignment="1">
      <alignment vertical="center" indent="1"/>
    </xf>
    <xf numFmtId="49" fontId="10" fillId="11" borderId="1" xfId="0" applyNumberFormat="1" applyFont="1" applyFill="1" applyBorder="1" applyAlignment="1">
      <alignment vertical="center" indent="1"/>
    </xf>
    <xf numFmtId="0" fontId="11" fillId="4" borderId="1" xfId="0" applyFont="1" applyFill="1" applyBorder="1" applyAlignment="1">
      <alignment horizontal="center"/>
    </xf>
    <xf numFmtId="1" fontId="11" fillId="0" borderId="1" xfId="0" applyNumberFormat="1" applyFont="1" applyBorder="1" applyAlignment="1">
      <alignment horizontal="center"/>
    </xf>
    <xf numFmtId="49" fontId="7" fillId="5" borderId="1" xfId="0" applyNumberFormat="1" applyFont="1" applyFill="1" applyBorder="1" applyAlignment="1">
      <alignment horizontal="left" indent="1"/>
    </xf>
    <xf numFmtId="1" fontId="11" fillId="10" borderId="1" xfId="0" applyNumberFormat="1" applyFont="1" applyFill="1" applyBorder="1" applyAlignment="1">
      <alignment horizontal="center"/>
    </xf>
    <xf numFmtId="0" fontId="4" fillId="2" borderId="1" xfId="0" applyFont="1" applyFill="1" applyBorder="1" applyAlignment="1">
      <alignment horizontal="center"/>
    </xf>
    <xf numFmtId="49" fontId="0" fillId="0" borderId="0" xfId="0" applyNumberFormat="1"/>
    <xf numFmtId="49" fontId="5" fillId="4" borderId="1" xfId="0" applyNumberFormat="1" applyFont="1" applyFill="1" applyBorder="1" applyAlignment="1">
      <alignment horizontal="center"/>
    </xf>
    <xf numFmtId="49" fontId="12" fillId="12" borderId="1" xfId="0" applyNumberFormat="1" applyFont="1" applyFill="1" applyBorder="1" applyAlignment="1">
      <alignment vertical="center" indent="1"/>
    </xf>
    <xf numFmtId="49" fontId="10" fillId="11" borderId="1" xfId="0" applyNumberFormat="1" applyFont="1" applyFill="1" applyBorder="1" applyAlignment="1">
      <alignment horizontal="left" vertical="center" indent="1"/>
    </xf>
    <xf numFmtId="3" fontId="17" fillId="5"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15" fillId="4" borderId="1" xfId="0" applyFont="1" applyFill="1" applyBorder="1" applyAlignment="1">
      <alignment horizontal="center" vertical="center"/>
    </xf>
    <xf numFmtId="0" fontId="10" fillId="15" borderId="1" xfId="0" applyFont="1" applyFill="1" applyBorder="1" applyAlignment="1">
      <alignment vertical="center" indent="1"/>
    </xf>
    <xf numFmtId="49" fontId="10" fillId="15" borderId="1" xfId="0" applyNumberFormat="1" applyFont="1" applyFill="1" applyBorder="1" applyAlignment="1">
      <alignment vertical="center" indent="1"/>
    </xf>
    <xf numFmtId="1" fontId="10" fillId="15" borderId="1" xfId="0" applyNumberFormat="1" applyFont="1" applyFill="1" applyBorder="1" applyAlignment="1">
      <alignment horizontal="center"/>
    </xf>
    <xf numFmtId="0" fontId="20" fillId="16" borderId="1" xfId="0" applyFont="1" applyFill="1" applyBorder="1" applyAlignment="1">
      <alignment vertical="center" indent="1"/>
    </xf>
    <xf numFmtId="49" fontId="20" fillId="16" borderId="1" xfId="0" applyNumberFormat="1" applyFont="1" applyFill="1" applyBorder="1" applyAlignment="1">
      <alignment vertical="center" indent="1"/>
    </xf>
    <xf numFmtId="1" fontId="20" fillId="16" borderId="1" xfId="0" applyNumberFormat="1" applyFont="1" applyFill="1" applyBorder="1" applyAlignment="1">
      <alignment horizontal="center"/>
    </xf>
    <xf numFmtId="0" fontId="5" fillId="4" borderId="1" xfId="0" applyFont="1" applyFill="1" applyBorder="1" applyAlignment="1">
      <alignment horizontal="right" indent="1"/>
    </xf>
    <xf numFmtId="1" fontId="4" fillId="2" borderId="1" xfId="0" applyNumberFormat="1" applyFont="1" applyFill="1" applyBorder="1" applyAlignment="1">
      <alignment horizontal="center"/>
    </xf>
    <xf numFmtId="0" fontId="15" fillId="4" borderId="1" xfId="0" applyFont="1" applyFill="1" applyBorder="1" applyAlignment="1">
      <alignment horizontal="right" indent="1"/>
    </xf>
    <xf numFmtId="0" fontId="15" fillId="4" borderId="1" xfId="0" applyFont="1" applyFill="1" applyBorder="1" applyAlignment="1">
      <alignment horizontal="center"/>
    </xf>
    <xf numFmtId="1" fontId="19" fillId="2" borderId="1" xfId="0" applyNumberFormat="1" applyFont="1" applyFill="1" applyBorder="1" applyAlignment="1">
      <alignment horizontal="center"/>
    </xf>
    <xf numFmtId="0" fontId="10" fillId="19" borderId="1" xfId="0" applyFont="1" applyFill="1" applyBorder="1" applyAlignment="1">
      <alignment vertical="center" indent="1"/>
    </xf>
    <xf numFmtId="49" fontId="10" fillId="19" borderId="1" xfId="0" applyNumberFormat="1" applyFont="1" applyFill="1" applyBorder="1" applyAlignment="1">
      <alignment vertical="center" indent="1"/>
    </xf>
    <xf numFmtId="1" fontId="10" fillId="19" borderId="1" xfId="0" applyNumberFormat="1" applyFont="1" applyFill="1" applyBorder="1" applyAlignment="1">
      <alignment horizontal="center"/>
    </xf>
    <xf numFmtId="0" fontId="10" fillId="20" borderId="1" xfId="0" applyFont="1" applyFill="1" applyBorder="1" applyAlignment="1">
      <alignment vertical="center" indent="1"/>
    </xf>
    <xf numFmtId="49" fontId="10" fillId="20" borderId="1" xfId="0" applyNumberFormat="1" applyFont="1" applyFill="1" applyBorder="1" applyAlignment="1">
      <alignment vertical="center" indent="1"/>
    </xf>
    <xf numFmtId="1" fontId="10" fillId="20" borderId="1" xfId="0" applyNumberFormat="1" applyFont="1" applyFill="1" applyBorder="1" applyAlignment="1">
      <alignment horizontal="center"/>
    </xf>
    <xf numFmtId="0" fontId="5" fillId="5" borderId="1" xfId="0" applyFont="1" applyFill="1" applyBorder="1" applyAlignment="1">
      <alignment horizontal="center" vertical="center"/>
    </xf>
    <xf numFmtId="1" fontId="21" fillId="0" borderId="1" xfId="0" applyNumberFormat="1" applyFont="1" applyBorder="1" applyAlignment="1">
      <alignment horizontal="center" vertical="center"/>
    </xf>
    <xf numFmtId="0" fontId="22" fillId="3" borderId="1" xfId="0" applyFont="1" applyFill="1" applyBorder="1" applyAlignment="1">
      <alignment horizontal="center" vertical="center" wrapText="1"/>
    </xf>
    <xf numFmtId="0" fontId="22" fillId="14"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18" borderId="1" xfId="0" applyFont="1" applyFill="1" applyBorder="1" applyAlignment="1">
      <alignment horizontal="center" vertical="center" wrapText="1"/>
    </xf>
    <xf numFmtId="0" fontId="23" fillId="0" borderId="1" xfId="0" applyFont="1" applyBorder="1" applyAlignment="1">
      <alignment vertical="center" indent="1"/>
    </xf>
    <xf numFmtId="165" fontId="24" fillId="0" borderId="1" xfId="0" applyNumberFormat="1" applyFont="1" applyBorder="1" applyAlignment="1">
      <alignment horizontal="center"/>
    </xf>
    <xf numFmtId="165" fontId="25" fillId="0" borderId="1" xfId="0" applyNumberFormat="1" applyFont="1" applyBorder="1" applyAlignment="1">
      <alignment horizontal="center"/>
    </xf>
    <xf numFmtId="165" fontId="26" fillId="0" borderId="1" xfId="0" applyNumberFormat="1" applyFont="1" applyBorder="1" applyAlignment="1">
      <alignment horizontal="center"/>
    </xf>
    <xf numFmtId="165" fontId="27" fillId="0" borderId="1" xfId="0" applyNumberFormat="1" applyFont="1" applyBorder="1" applyAlignment="1">
      <alignment horizontal="center"/>
    </xf>
    <xf numFmtId="165" fontId="28" fillId="0" borderId="1" xfId="0" applyNumberFormat="1" applyFont="1" applyBorder="1" applyAlignment="1">
      <alignment horizontal="center"/>
    </xf>
    <xf numFmtId="0" fontId="29" fillId="0" borderId="1" xfId="0" applyFont="1" applyBorder="1" applyAlignment="1">
      <alignment vertical="center" indent="1"/>
    </xf>
    <xf numFmtId="0" fontId="22" fillId="3" borderId="1" xfId="0" applyFont="1" applyFill="1" applyBorder="1" applyAlignment="1">
      <alignment horizontal="center" vertical="center"/>
    </xf>
    <xf numFmtId="0" fontId="20" fillId="0" borderId="1" xfId="0" applyFont="1" applyBorder="1" applyAlignment="1">
      <alignment vertical="center" indent="1"/>
    </xf>
    <xf numFmtId="49" fontId="20" fillId="0" borderId="1" xfId="0" applyNumberFormat="1" applyFont="1" applyBorder="1" applyAlignment="1">
      <alignment vertical="center" indent="1"/>
    </xf>
    <xf numFmtId="0" fontId="22" fillId="2" borderId="1" xfId="0" applyFont="1" applyFill="1" applyBorder="1" applyAlignment="1">
      <alignment horizontal="center" vertical="center"/>
    </xf>
    <xf numFmtId="0" fontId="14" fillId="0" borderId="1" xfId="0" applyFont="1" applyBorder="1"/>
    <xf numFmtId="49" fontId="14" fillId="0" borderId="1" xfId="0" applyNumberFormat="1" applyFont="1" applyBorder="1"/>
    <xf numFmtId="1" fontId="14" fillId="0" borderId="1" xfId="0" applyNumberFormat="1" applyFont="1" applyBorder="1"/>
    <xf numFmtId="0" fontId="2" fillId="2" borderId="0" xfId="0" applyFont="1" applyFill="1" applyAlignment="1">
      <alignment vertical="center" indent="1"/>
    </xf>
    <xf numFmtId="0" fontId="3" fillId="0" borderId="0" xfId="0" applyFont="1" applyAlignment="1">
      <alignment vertical="top" wrapText="1"/>
    </xf>
    <xf numFmtId="0" fontId="4" fillId="3" borderId="0" xfId="0" applyFont="1" applyFill="1" applyAlignment="1">
      <alignment vertical="center" indent="1"/>
    </xf>
    <xf numFmtId="0" fontId="5" fillId="4" borderId="1" xfId="0" applyFont="1" applyFill="1" applyBorder="1" applyAlignment="1">
      <alignment horizontal="center" vertical="center" wrapText="1"/>
    </xf>
    <xf numFmtId="0" fontId="8" fillId="3" borderId="1" xfId="0" applyFont="1" applyFill="1" applyBorder="1" applyAlignment="1">
      <alignment horizontal="center" vertical="center"/>
    </xf>
    <xf numFmtId="3" fontId="6" fillId="5" borderId="1" xfId="0" applyNumberFormat="1" applyFont="1" applyFill="1" applyBorder="1" applyAlignment="1">
      <alignment horizontal="center" vertical="center"/>
    </xf>
    <xf numFmtId="0" fontId="7" fillId="0" borderId="0" xfId="0" applyFont="1" applyAlignment="1">
      <alignment vertical="center" wrapText="1"/>
    </xf>
    <xf numFmtId="0" fontId="4" fillId="2" borderId="0" xfId="0" applyFont="1" applyFill="1" applyAlignment="1">
      <alignment vertical="center" indent="1"/>
    </xf>
    <xf numFmtId="164" fontId="6" fillId="5"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13" fillId="13" borderId="0" xfId="0" applyFont="1" applyFill="1" applyAlignment="1">
      <alignment vertical="center" indent="1"/>
    </xf>
    <xf numFmtId="0" fontId="14" fillId="0" borderId="0" xfId="0" applyFont="1" applyAlignment="1">
      <alignment vertical="top" wrapText="1"/>
    </xf>
    <xf numFmtId="0" fontId="15" fillId="4" borderId="1" xfId="0" applyFont="1" applyFill="1" applyBorder="1" applyAlignment="1">
      <alignment horizontal="center" vertical="center" wrapText="1"/>
    </xf>
    <xf numFmtId="3" fontId="16" fillId="5" borderId="1" xfId="0" applyNumberFormat="1" applyFont="1" applyFill="1" applyBorder="1" applyAlignment="1">
      <alignment horizontal="center" vertical="center"/>
    </xf>
    <xf numFmtId="3" fontId="17" fillId="5" borderId="1" xfId="0" applyNumberFormat="1" applyFont="1" applyFill="1" applyBorder="1" applyAlignment="1">
      <alignment horizontal="center" vertical="center"/>
    </xf>
    <xf numFmtId="0" fontId="18" fillId="0" borderId="0" xfId="0" applyFont="1" applyAlignment="1">
      <alignment vertical="center" wrapText="1"/>
    </xf>
    <xf numFmtId="0" fontId="4" fillId="13" borderId="0" xfId="0" applyFont="1" applyFill="1" applyAlignment="1">
      <alignment horizontal="center" vertical="center"/>
    </xf>
    <xf numFmtId="0" fontId="19" fillId="14" borderId="0" xfId="0" applyFont="1" applyFill="1" applyAlignment="1">
      <alignment horizontal="center" vertical="center"/>
    </xf>
    <xf numFmtId="0" fontId="2" fillId="17" borderId="0" xfId="0" applyFont="1" applyFill="1" applyAlignment="1">
      <alignment vertical="center" indent="1"/>
    </xf>
    <xf numFmtId="0" fontId="4" fillId="17" borderId="0" xfId="0" applyFont="1" applyFill="1" applyAlignment="1">
      <alignment horizontal="center" vertical="center"/>
    </xf>
    <xf numFmtId="0" fontId="4" fillId="18" borderId="0" xfId="0" applyFont="1" applyFill="1" applyAlignment="1">
      <alignment horizontal="center" vertical="center"/>
    </xf>
    <xf numFmtId="0" fontId="13" fillId="2" borderId="0" xfId="0" applyFont="1" applyFill="1" applyAlignment="1">
      <alignment vertical="center" indent="1"/>
    </xf>
    <xf numFmtId="0" fontId="19" fillId="3" borderId="0" xfId="0" applyFont="1" applyFill="1" applyAlignment="1">
      <alignment vertical="center" indent="1"/>
    </xf>
    <xf numFmtId="0" fontId="19" fillId="8" borderId="0" xfId="0" applyFont="1" applyFill="1" applyAlignment="1">
      <alignment vertical="center" indent="1"/>
    </xf>
    <xf numFmtId="0" fontId="18" fillId="0" borderId="0" xfId="0" applyFont="1" applyAlignment="1">
      <alignment vertical="center" indent="1"/>
    </xf>
  </cellXfs>
  <cellStyles count="1">
    <cellStyle name="Normal" xfId="0" builtinId="0"/>
  </cellStyles>
  <dxfs count="29">
    <dxf>
      <font>
        <b/>
        <sz val="10"/>
        <color rgb="FF9C4B24"/>
        <name val="Arial"/>
        <charset val="1"/>
      </font>
      <fill>
        <patternFill>
          <bgColor rgb="FFF6E3D9"/>
        </patternFill>
      </fill>
    </dxf>
    <dxf>
      <font>
        <b/>
        <sz val="10"/>
        <color rgb="FF7030A0"/>
        <name val="Arial"/>
        <charset val="1"/>
      </font>
      <fill>
        <patternFill>
          <bgColor rgb="FFE9DDF3"/>
        </patternFill>
      </fill>
    </dxf>
    <dxf>
      <font>
        <b/>
        <sz val="10"/>
        <color rgb="FF8A6D1F"/>
        <name val="Arial"/>
        <charset val="1"/>
      </font>
      <fill>
        <patternFill>
          <bgColor rgb="FFF7F0DC"/>
        </patternFill>
      </fill>
    </dxf>
    <dxf>
      <fill>
        <patternFill>
          <bgColor rgb="FFEBF5EB"/>
        </patternFill>
      </fill>
    </dxf>
    <dxf>
      <font>
        <b/>
        <sz val="10"/>
        <color rgb="FF9C5700"/>
        <name val="Arial"/>
        <charset val="1"/>
      </font>
      <fill>
        <patternFill>
          <bgColor rgb="FFFFF2CC"/>
        </patternFill>
      </fill>
    </dxf>
    <dxf>
      <font>
        <b/>
        <sz val="10"/>
        <color rgb="FFBFBFBF"/>
        <name val="Arial"/>
        <charset val="1"/>
      </font>
      <fill>
        <patternFill>
          <bgColor rgb="FFF2F2F2"/>
        </patternFill>
      </fill>
    </dxf>
    <dxf>
      <font>
        <b/>
        <sz val="10"/>
        <color rgb="FF006100"/>
        <name val="Arial"/>
        <charset val="1"/>
      </font>
      <fill>
        <patternFill>
          <bgColor rgb="FFC6EFCE"/>
        </patternFill>
      </fill>
    </dxf>
    <dxf>
      <font>
        <b/>
        <sz val="10"/>
        <color rgb="FF9C5700"/>
        <name val="Arial"/>
        <charset val="1"/>
      </font>
      <fill>
        <patternFill>
          <bgColor rgb="FFFFF2CC"/>
        </patternFill>
      </fill>
    </dxf>
    <dxf>
      <font>
        <b/>
        <sz val="10"/>
        <color rgb="FFBFBFBF"/>
        <name val="Arial"/>
        <charset val="1"/>
      </font>
      <fill>
        <patternFill>
          <bgColor rgb="FFF2F2F2"/>
        </patternFill>
      </fill>
    </dxf>
    <dxf>
      <font>
        <b/>
        <sz val="10"/>
        <color rgb="FF006100"/>
        <name val="Arial"/>
        <charset val="1"/>
      </font>
      <fill>
        <patternFill>
          <bgColor rgb="FFC6EFCE"/>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b/>
        <sz val="10"/>
        <color rgb="FF375623"/>
        <name val="Arial"/>
        <charset val="1"/>
      </font>
      <fill>
        <patternFill>
          <bgColor rgb="FFE2EFDA"/>
        </patternFill>
      </fill>
    </dxf>
    <dxf>
      <font>
        <sz val="10"/>
        <color rgb="FF9C0006"/>
        <name val="Arial"/>
        <charset val="1"/>
      </font>
      <fill>
        <patternFill>
          <bgColor rgb="FFFCE4EC"/>
        </patternFill>
      </fill>
    </dxf>
    <dxf>
      <font>
        <b/>
        <sz val="10"/>
        <color rgb="FF375623"/>
        <name val="Arial"/>
        <charset val="1"/>
      </font>
      <fill>
        <patternFill>
          <bgColor rgb="FFE2EFDA"/>
        </patternFill>
      </fill>
    </dxf>
    <dxf>
      <font>
        <sz val="10"/>
        <color rgb="FF9C0006"/>
        <name val="Arial"/>
        <charset val="1"/>
      </font>
      <fill>
        <patternFill>
          <bgColor rgb="FFFCE4EC"/>
        </patternFill>
      </fill>
    </dxf>
    <dxf>
      <font>
        <b/>
        <sz val="9"/>
        <color rgb="FFA6A6A6"/>
        <name val="Arial"/>
        <charset val="1"/>
      </font>
      <fill>
        <patternFill>
          <bgColor rgb="FFF2F2F2"/>
        </patternFill>
      </fill>
    </dxf>
    <dxf>
      <font>
        <b/>
        <sz val="9"/>
        <color rgb="FF006100"/>
        <name val="Arial"/>
        <charset val="1"/>
      </font>
      <fill>
        <patternFill>
          <bgColor rgb="FFC6EFCE"/>
        </patternFill>
      </fill>
    </dxf>
    <dxf>
      <font>
        <b/>
        <sz val="10"/>
        <color rgb="FF375623"/>
        <name val="Arial"/>
        <charset val="1"/>
      </font>
      <fill>
        <patternFill>
          <bgColor rgb="FFE2EFDA"/>
        </patternFill>
      </fill>
    </dxf>
    <dxf>
      <font>
        <sz val="10"/>
        <color rgb="FF9C0006"/>
        <name val="Arial"/>
        <charset val="1"/>
      </font>
      <fill>
        <patternFill>
          <bgColor rgb="FFFCE4EC"/>
        </patternFill>
      </fill>
    </dxf>
    <dxf>
      <font>
        <b/>
        <sz val="9"/>
        <color rgb="FFA6A6A6"/>
        <name val="Arial"/>
        <charset val="1"/>
      </font>
      <fill>
        <patternFill>
          <bgColor rgb="FFF2F2F2"/>
        </patternFill>
      </fill>
    </dxf>
    <dxf>
      <font>
        <b/>
        <sz val="9"/>
        <color rgb="FF006100"/>
        <name val="Arial"/>
        <charset val="1"/>
      </font>
      <fill>
        <patternFill>
          <bgColor rgb="FFC6EFCE"/>
        </patternFill>
      </fill>
    </dxf>
    <dxf>
      <font>
        <b/>
        <sz val="10"/>
        <color rgb="FF375623"/>
        <name val="Arial"/>
        <charset val="1"/>
      </font>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E2EFDA"/>
      <rgbColor rgb="FFFF00FF"/>
      <rgbColor rgb="FF00FFFF"/>
      <rgbColor rgb="FF9C0006"/>
      <rgbColor rgb="FF006100"/>
      <rgbColor rgb="FF000080"/>
      <rgbColor rgb="FF8A6D1F"/>
      <rgbColor rgb="FF800080"/>
      <rgbColor rgb="FF3F5C7A"/>
      <rgbColor rgb="FFBFBFBF"/>
      <rgbColor rgb="FF808080"/>
      <rgbColor rgb="FF9999FF"/>
      <rgbColor rgb="FF7030A0"/>
      <rgbColor rgb="FFFFF2CC"/>
      <rgbColor rgb="FFE0F0EC"/>
      <rgbColor rgb="FF660066"/>
      <rgbColor rgb="FFFF8080"/>
      <rgbColor rgb="FF0066CC"/>
      <rgbColor rgb="FFE9DDF3"/>
      <rgbColor rgb="FF000080"/>
      <rgbColor rgb="FFFF00FF"/>
      <rgbColor rgb="FFF2F2F2"/>
      <rgbColor rgb="FF00FFFF"/>
      <rgbColor rgb="FF800080"/>
      <rgbColor rgb="FF800000"/>
      <rgbColor rgb="FF548235"/>
      <rgbColor rgb="FF0000FF"/>
      <rgbColor rgb="FF00CCFF"/>
      <rgbColor rgb="FFEBF5EB"/>
      <rgbColor rgb="FFC6EFCE"/>
      <rgbColor rgb="FFF7F0DC"/>
      <rgbColor rgb="FFE3EAF1"/>
      <rgbColor rgb="FFF6E3D9"/>
      <rgbColor rgb="FFFCE4EC"/>
      <rgbColor rgb="FFFCE4D6"/>
      <rgbColor rgb="FF4472C4"/>
      <rgbColor rgb="FF33CCCC"/>
      <rgbColor rgb="FF99CC00"/>
      <rgbColor rgb="FFFFCC00"/>
      <rgbColor rgb="FFFF9900"/>
      <rgbColor rgb="FFC55A11"/>
      <rgbColor rgb="FF595959"/>
      <rgbColor rgb="FFA6A6A6"/>
      <rgbColor rgb="FF1F3864"/>
      <rgbColor rgb="FF2E7D6E"/>
      <rgbColor rgb="FF003300"/>
      <rgbColor rgb="FF333300"/>
      <rgbColor rgb="FF9C4B24"/>
      <rgbColor rgb="FF9C5700"/>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AI76"/>
  <sheetViews>
    <sheetView showGridLines="0" topLeftCell="A23" zoomScale="66" zoomScaleNormal="66" workbookViewId="0">
      <pane xSplit="1" topLeftCell="B1" activePane="topRight" state="frozen"/>
      <selection activeCell="A23" sqref="A23"/>
      <selection pane="topRight" activeCell="M15" sqref="M15"/>
    </sheetView>
  </sheetViews>
  <sheetFormatPr defaultColWidth="8.5703125" defaultRowHeight="15" x14ac:dyDescent="0.25"/>
  <cols>
    <col min="1" max="1" width="11" customWidth="1"/>
    <col min="2" max="2" width="17" customWidth="1"/>
    <col min="3" max="3" width="13" customWidth="1"/>
    <col min="4" max="4" width="17" customWidth="1"/>
    <col min="5" max="5" width="13" customWidth="1"/>
    <col min="6" max="6" width="17" customWidth="1"/>
    <col min="7" max="7" width="13" customWidth="1"/>
    <col min="8" max="8" width="25.5703125" customWidth="1"/>
    <col min="9" max="9" width="13" customWidth="1"/>
    <col min="10" max="10" width="20.7109375" customWidth="1"/>
    <col min="11" max="11" width="13" customWidth="1"/>
    <col min="12" max="12" width="29.5703125" customWidth="1"/>
    <col min="13" max="13" width="13" customWidth="1"/>
    <col min="14" max="14" width="21" customWidth="1"/>
    <col min="15" max="15" width="31.140625" customWidth="1"/>
    <col min="16" max="16" width="30.5703125" customWidth="1"/>
    <col min="17" max="17" width="23.85546875" customWidth="1"/>
    <col min="18" max="18" width="17" customWidth="1"/>
    <col min="19" max="19" width="24" customWidth="1"/>
    <col min="20" max="20" width="19.5703125" customWidth="1"/>
    <col min="21" max="21" width="14.7109375" customWidth="1"/>
    <col min="22" max="22" width="17" customWidth="1"/>
    <col min="23" max="23" width="20.140625" customWidth="1"/>
    <col min="24" max="24" width="26.28515625" customWidth="1"/>
    <col min="25" max="25" width="13" customWidth="1"/>
    <col min="26" max="26" width="40.42578125" customWidth="1"/>
    <col min="27" max="27" width="35.5703125" customWidth="1"/>
    <col min="28" max="28" width="27.85546875" customWidth="1"/>
    <col min="29" max="29" width="20.42578125" customWidth="1"/>
    <col min="30" max="30" width="17" customWidth="1"/>
    <col min="31" max="31" width="24.42578125" customWidth="1"/>
    <col min="32" max="32" width="22.140625" customWidth="1"/>
    <col min="33" max="33" width="27.28515625" customWidth="1"/>
    <col min="34" max="34" width="2" customWidth="1"/>
    <col min="35" max="35" width="13" customWidth="1"/>
  </cols>
  <sheetData>
    <row r="1" spans="1:35" ht="25.5" customHeight="1" x14ac:dyDescent="0.25">
      <c r="A1" s="66" t="s">
        <v>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row>
    <row r="2" spans="1:35" ht="45.75" customHeight="1" x14ac:dyDescent="0.25">
      <c r="A2" s="67" t="s">
        <v>1</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5" ht="15" customHeight="1" x14ac:dyDescent="0.25">
      <c r="A3" s="68" t="s">
        <v>2</v>
      </c>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row>
    <row r="4" spans="1:35" ht="24" customHeight="1" x14ac:dyDescent="0.25">
      <c r="A4" s="69" t="s">
        <v>3</v>
      </c>
      <c r="B4" s="69"/>
      <c r="C4" s="69" t="s">
        <v>4</v>
      </c>
      <c r="D4" s="69"/>
      <c r="E4" s="69" t="s">
        <v>5</v>
      </c>
      <c r="F4" s="69"/>
      <c r="G4" s="69" t="s">
        <v>6</v>
      </c>
      <c r="H4" s="69"/>
      <c r="I4" s="69" t="s">
        <v>7</v>
      </c>
      <c r="J4" s="69"/>
      <c r="K4" s="69" t="s">
        <v>8</v>
      </c>
      <c r="L4" s="69"/>
      <c r="M4" s="69" t="s">
        <v>9</v>
      </c>
      <c r="N4" s="69"/>
      <c r="O4" s="69" t="s">
        <v>10</v>
      </c>
      <c r="P4" s="69"/>
    </row>
    <row r="5" spans="1:35" ht="21.75" customHeight="1" x14ac:dyDescent="0.25">
      <c r="A5" s="71">
        <f>SUM(B25:AG25,B42:AG42,B59:AG59,B76:AG76)-SUM(J25,L25,J42,L42,J59,L59,J76,L76)-SUM(K25,M25,K42,M42,K59,M59,K76,M76)</f>
        <v>143</v>
      </c>
      <c r="B5" s="71"/>
      <c r="C5" s="71">
        <v>672</v>
      </c>
      <c r="D5" s="71"/>
      <c r="E5" s="71">
        <f>MAX(0,C5-A5)</f>
        <v>529</v>
      </c>
      <c r="F5" s="71"/>
      <c r="G5" s="74">
        <f>IF(C5=0,0,A5/C5)</f>
        <v>0.21279761904761904</v>
      </c>
      <c r="H5" s="74"/>
      <c r="I5" s="71">
        <f>SUM(B25:I25,B42:I42,B59:I59,B76:I76)</f>
        <v>2</v>
      </c>
      <c r="J5" s="71"/>
      <c r="K5" s="71">
        <f>SUM(K25,M25,K42,M42,K59,M59,K76,M76)</f>
        <v>146</v>
      </c>
      <c r="L5" s="71"/>
      <c r="M5" s="71">
        <f>SUM(J25,L25,J42,L42,J59,L59,J76,L76)</f>
        <v>11</v>
      </c>
      <c r="N5" s="71"/>
      <c r="O5" s="71">
        <f>SUMPRODUCT(('Ready Models'!$A$8:$A$157&lt;&gt;"")*('Ready Models'!$K$8:$K$157&gt;0))</f>
        <v>86</v>
      </c>
      <c r="P5" s="71"/>
    </row>
    <row r="7" spans="1:35" ht="24" customHeight="1" x14ac:dyDescent="0.25">
      <c r="A7" s="72" t="s">
        <v>11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72"/>
      <c r="AE7" s="72"/>
      <c r="AF7" s="72"/>
      <c r="AG7" s="72"/>
    </row>
    <row r="10" spans="1:35" ht="19.5" customHeight="1" x14ac:dyDescent="0.25">
      <c r="A10" s="73" t="s">
        <v>12</v>
      </c>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row>
    <row r="11" spans="1:35" ht="18" customHeight="1" x14ac:dyDescent="0.25">
      <c r="A11" s="6" t="s">
        <v>13</v>
      </c>
      <c r="B11" s="75" t="s">
        <v>14</v>
      </c>
      <c r="C11" s="75"/>
      <c r="D11" s="75" t="s">
        <v>15</v>
      </c>
      <c r="E11" s="75"/>
      <c r="F11" s="75" t="s">
        <v>16</v>
      </c>
      <c r="G11" s="75"/>
      <c r="H11" s="75" t="s">
        <v>17</v>
      </c>
      <c r="I11" s="75"/>
      <c r="J11" s="76" t="s">
        <v>18</v>
      </c>
      <c r="K11" s="76"/>
      <c r="L11" s="76" t="s">
        <v>19</v>
      </c>
      <c r="M11" s="76"/>
      <c r="N11" s="70" t="s">
        <v>20</v>
      </c>
      <c r="O11" s="70"/>
      <c r="P11" s="70" t="s">
        <v>21</v>
      </c>
      <c r="Q11" s="70"/>
      <c r="R11" s="70" t="s">
        <v>22</v>
      </c>
      <c r="S11" s="70"/>
      <c r="T11" s="70" t="s">
        <v>23</v>
      </c>
      <c r="U11" s="70"/>
      <c r="V11" s="70" t="s">
        <v>24</v>
      </c>
      <c r="W11" s="70"/>
      <c r="X11" s="70" t="s">
        <v>25</v>
      </c>
      <c r="Y11" s="70"/>
      <c r="Z11" s="70" t="s">
        <v>26</v>
      </c>
      <c r="AA11" s="70"/>
      <c r="AB11" s="70" t="s">
        <v>27</v>
      </c>
      <c r="AC11" s="70"/>
      <c r="AD11" s="70" t="s">
        <v>28</v>
      </c>
      <c r="AE11" s="70"/>
      <c r="AF11" s="70" t="s">
        <v>29</v>
      </c>
      <c r="AG11" s="70"/>
    </row>
    <row r="12" spans="1:35" ht="15" customHeight="1" x14ac:dyDescent="0.25">
      <c r="A12" s="7" t="s">
        <v>30</v>
      </c>
      <c r="B12" s="7" t="s">
        <v>31</v>
      </c>
      <c r="C12" s="7" t="s">
        <v>32</v>
      </c>
      <c r="D12" s="7" t="s">
        <v>31</v>
      </c>
      <c r="E12" s="7" t="s">
        <v>32</v>
      </c>
      <c r="F12" s="7" t="s">
        <v>31</v>
      </c>
      <c r="G12" s="7" t="s">
        <v>32</v>
      </c>
      <c r="H12" s="7" t="s">
        <v>31</v>
      </c>
      <c r="I12" s="7" t="s">
        <v>32</v>
      </c>
      <c r="J12" s="7" t="s">
        <v>33</v>
      </c>
      <c r="K12" s="7" t="s">
        <v>34</v>
      </c>
      <c r="L12" s="7" t="s">
        <v>33</v>
      </c>
      <c r="M12" s="7" t="s">
        <v>34</v>
      </c>
      <c r="N12" s="7" t="s">
        <v>31</v>
      </c>
      <c r="O12" s="7" t="s">
        <v>32</v>
      </c>
      <c r="P12" s="7" t="s">
        <v>31</v>
      </c>
      <c r="Q12" s="7" t="s">
        <v>32</v>
      </c>
      <c r="R12" s="7" t="s">
        <v>31</v>
      </c>
      <c r="S12" s="7" t="s">
        <v>32</v>
      </c>
      <c r="T12" s="7" t="s">
        <v>31</v>
      </c>
      <c r="U12" s="7" t="s">
        <v>32</v>
      </c>
      <c r="V12" s="7" t="s">
        <v>31</v>
      </c>
      <c r="W12" s="7" t="s">
        <v>32</v>
      </c>
      <c r="X12" s="7" t="s">
        <v>31</v>
      </c>
      <c r="Y12" s="7" t="s">
        <v>32</v>
      </c>
      <c r="Z12" s="7" t="s">
        <v>31</v>
      </c>
      <c r="AA12" s="7" t="s">
        <v>32</v>
      </c>
      <c r="AB12" s="7" t="s">
        <v>31</v>
      </c>
      <c r="AC12" s="7" t="s">
        <v>32</v>
      </c>
      <c r="AD12" s="7" t="s">
        <v>31</v>
      </c>
      <c r="AE12" s="7" t="s">
        <v>32</v>
      </c>
      <c r="AF12" s="7" t="s">
        <v>31</v>
      </c>
      <c r="AG12" s="7" t="s">
        <v>32</v>
      </c>
      <c r="AI12" s="8" t="s">
        <v>35</v>
      </c>
    </row>
    <row r="13" spans="1:35" ht="15" customHeight="1" x14ac:dyDescent="0.25">
      <c r="A13" s="9">
        <v>1</v>
      </c>
      <c r="B13" s="10"/>
      <c r="C13" s="11"/>
      <c r="D13" s="10"/>
      <c r="E13" s="11"/>
      <c r="F13" s="10"/>
      <c r="G13" s="11"/>
      <c r="H13" s="10"/>
      <c r="I13" s="11"/>
      <c r="J13" s="12"/>
      <c r="K13" s="13"/>
      <c r="L13" s="12" t="s">
        <v>36</v>
      </c>
      <c r="M13" s="13">
        <v>3</v>
      </c>
      <c r="N13" s="14"/>
      <c r="O13" s="15"/>
      <c r="P13" s="14" t="s">
        <v>37</v>
      </c>
      <c r="Q13" s="15" t="s">
        <v>38</v>
      </c>
      <c r="R13" s="14" t="s">
        <v>39</v>
      </c>
      <c r="S13" s="15" t="s">
        <v>40</v>
      </c>
      <c r="T13" s="14"/>
      <c r="U13" s="15"/>
      <c r="V13" s="14"/>
      <c r="W13" s="15"/>
      <c r="X13" s="14"/>
      <c r="Y13" s="15"/>
      <c r="Z13" s="14" t="s">
        <v>41</v>
      </c>
      <c r="AA13" s="15" t="s">
        <v>42</v>
      </c>
      <c r="AB13" s="14"/>
      <c r="AC13" s="15"/>
      <c r="AD13" s="14" t="s">
        <v>43</v>
      </c>
      <c r="AE13" s="15" t="s">
        <v>44</v>
      </c>
      <c r="AF13" s="14" t="s">
        <v>45</v>
      </c>
      <c r="AG13" s="15"/>
    </row>
    <row r="14" spans="1:35" ht="15" customHeight="1" x14ac:dyDescent="0.25">
      <c r="A14" s="9">
        <v>2</v>
      </c>
      <c r="B14" s="10"/>
      <c r="C14" s="11"/>
      <c r="D14" s="10"/>
      <c r="E14" s="11"/>
      <c r="F14" s="10"/>
      <c r="G14" s="11"/>
      <c r="H14" s="10"/>
      <c r="I14" s="11"/>
      <c r="J14" s="12"/>
      <c r="K14" s="13"/>
      <c r="L14" s="12" t="s">
        <v>46</v>
      </c>
      <c r="M14" s="13">
        <v>6</v>
      </c>
      <c r="N14" s="14"/>
      <c r="O14" s="15"/>
      <c r="P14" s="14" t="s">
        <v>47</v>
      </c>
      <c r="Q14" s="15" t="s">
        <v>48</v>
      </c>
      <c r="R14" s="14" t="s">
        <v>39</v>
      </c>
      <c r="S14" s="15" t="s">
        <v>49</v>
      </c>
      <c r="T14" s="14"/>
      <c r="U14" s="15"/>
      <c r="V14" s="14"/>
      <c r="W14" s="15"/>
      <c r="X14" s="14"/>
      <c r="Y14" s="15"/>
      <c r="Z14" s="14" t="s">
        <v>41</v>
      </c>
      <c r="AA14" s="15" t="s">
        <v>42</v>
      </c>
      <c r="AB14" s="14"/>
      <c r="AC14" s="15"/>
      <c r="AD14" s="14" t="s">
        <v>43</v>
      </c>
      <c r="AE14" s="15" t="s">
        <v>50</v>
      </c>
      <c r="AF14" s="14" t="s">
        <v>45</v>
      </c>
      <c r="AG14" s="15"/>
    </row>
    <row r="15" spans="1:35" ht="15" customHeight="1" x14ac:dyDescent="0.25">
      <c r="A15" s="9">
        <v>3</v>
      </c>
      <c r="B15" s="10"/>
      <c r="C15" s="11"/>
      <c r="D15" s="10"/>
      <c r="E15" s="11"/>
      <c r="F15" s="10"/>
      <c r="G15" s="11"/>
      <c r="H15" s="10"/>
      <c r="I15" s="11"/>
      <c r="J15" s="12"/>
      <c r="K15" s="13"/>
      <c r="L15" s="12" t="s">
        <v>51</v>
      </c>
      <c r="M15" s="13">
        <v>1</v>
      </c>
      <c r="N15" s="14"/>
      <c r="O15" s="15"/>
      <c r="P15" s="14"/>
      <c r="Q15" s="15"/>
      <c r="R15" s="14" t="s">
        <v>39</v>
      </c>
      <c r="S15" s="15" t="s">
        <v>42</v>
      </c>
      <c r="T15" s="14"/>
      <c r="U15" s="15"/>
      <c r="V15" s="14"/>
      <c r="W15" s="15"/>
      <c r="X15" s="14"/>
      <c r="Y15" s="15"/>
      <c r="Z15" s="14" t="s">
        <v>52</v>
      </c>
      <c r="AA15" s="15" t="s">
        <v>53</v>
      </c>
      <c r="AB15" s="14"/>
      <c r="AC15" s="15"/>
      <c r="AD15" s="14" t="s">
        <v>43</v>
      </c>
      <c r="AE15" s="15" t="s">
        <v>54</v>
      </c>
      <c r="AF15" s="14" t="s">
        <v>45</v>
      </c>
      <c r="AG15" s="15"/>
    </row>
    <row r="16" spans="1:35" ht="15" customHeight="1" x14ac:dyDescent="0.25">
      <c r="A16" s="9">
        <v>4</v>
      </c>
      <c r="B16" s="10"/>
      <c r="C16" s="11"/>
      <c r="D16" s="10"/>
      <c r="E16" s="11"/>
      <c r="F16" s="10"/>
      <c r="G16" s="11"/>
      <c r="H16" s="10"/>
      <c r="I16" s="11"/>
      <c r="J16" s="12"/>
      <c r="K16" s="13"/>
      <c r="L16" s="12"/>
      <c r="M16" s="13"/>
      <c r="N16" s="14"/>
      <c r="O16" s="15"/>
      <c r="P16" s="14"/>
      <c r="Q16" s="15"/>
      <c r="R16" s="14" t="s">
        <v>39</v>
      </c>
      <c r="S16" s="15" t="s">
        <v>42</v>
      </c>
      <c r="T16" s="14"/>
      <c r="U16" s="15"/>
      <c r="V16" s="14"/>
      <c r="W16" s="15"/>
      <c r="X16" s="14"/>
      <c r="Y16" s="15"/>
      <c r="Z16" s="14" t="s">
        <v>52</v>
      </c>
      <c r="AA16" s="15" t="s">
        <v>55</v>
      </c>
      <c r="AB16" s="14"/>
      <c r="AC16" s="15"/>
      <c r="AD16" s="14" t="s">
        <v>43</v>
      </c>
      <c r="AE16" s="15" t="s">
        <v>56</v>
      </c>
      <c r="AF16" s="14" t="s">
        <v>45</v>
      </c>
      <c r="AG16" s="15"/>
    </row>
    <row r="17" spans="1:35" ht="15" customHeight="1" x14ac:dyDescent="0.25">
      <c r="A17" s="9">
        <v>5</v>
      </c>
      <c r="B17" s="10"/>
      <c r="C17" s="11"/>
      <c r="D17" s="10"/>
      <c r="E17" s="11"/>
      <c r="F17" s="10"/>
      <c r="G17" s="11"/>
      <c r="H17" s="10"/>
      <c r="I17" s="11"/>
      <c r="J17" s="12"/>
      <c r="K17" s="13"/>
      <c r="L17" s="12"/>
      <c r="M17" s="13"/>
      <c r="N17" s="14"/>
      <c r="O17" s="15"/>
      <c r="P17" s="14"/>
      <c r="Q17" s="15"/>
      <c r="R17" s="14" t="s">
        <v>39</v>
      </c>
      <c r="S17" s="15" t="s">
        <v>57</v>
      </c>
      <c r="T17" s="14"/>
      <c r="U17" s="15"/>
      <c r="V17" s="14"/>
      <c r="W17" s="15"/>
      <c r="X17" s="14"/>
      <c r="Y17" s="15"/>
      <c r="Z17" s="14"/>
      <c r="AA17" s="15"/>
      <c r="AB17" s="14"/>
      <c r="AC17" s="15"/>
      <c r="AD17" s="14" t="s">
        <v>43</v>
      </c>
      <c r="AE17" s="15" t="s">
        <v>58</v>
      </c>
      <c r="AF17" s="14" t="s">
        <v>45</v>
      </c>
      <c r="AG17" s="15"/>
    </row>
    <row r="18" spans="1:35" ht="15" customHeight="1" x14ac:dyDescent="0.25">
      <c r="A18" s="9">
        <v>6</v>
      </c>
      <c r="B18" s="10"/>
      <c r="C18" s="11"/>
      <c r="D18" s="10"/>
      <c r="E18" s="11"/>
      <c r="F18" s="10"/>
      <c r="G18" s="11"/>
      <c r="H18" s="10"/>
      <c r="I18" s="11"/>
      <c r="J18" s="12"/>
      <c r="K18" s="13"/>
      <c r="L18" s="12"/>
      <c r="M18" s="13"/>
      <c r="N18" s="14"/>
      <c r="O18" s="15"/>
      <c r="P18" s="14"/>
      <c r="Q18" s="15"/>
      <c r="R18" s="14" t="s">
        <v>39</v>
      </c>
      <c r="S18" s="15" t="s">
        <v>59</v>
      </c>
      <c r="T18" s="14"/>
      <c r="U18" s="15"/>
      <c r="V18" s="14"/>
      <c r="W18" s="15"/>
      <c r="X18" s="14"/>
      <c r="Y18" s="15"/>
      <c r="Z18" s="14"/>
      <c r="AA18" s="15"/>
      <c r="AB18" s="14"/>
      <c r="AC18" s="15"/>
      <c r="AD18" s="14" t="s">
        <v>43</v>
      </c>
      <c r="AE18" s="15" t="s">
        <v>60</v>
      </c>
      <c r="AF18" s="14" t="s">
        <v>45</v>
      </c>
      <c r="AG18" s="15"/>
    </row>
    <row r="19" spans="1:35" ht="15" customHeight="1" x14ac:dyDescent="0.25">
      <c r="A19" s="9">
        <v>7</v>
      </c>
      <c r="B19" s="10"/>
      <c r="C19" s="11"/>
      <c r="D19" s="10"/>
      <c r="E19" s="11"/>
      <c r="F19" s="10"/>
      <c r="G19" s="11"/>
      <c r="H19" s="10"/>
      <c r="I19" s="11"/>
      <c r="J19" s="12"/>
      <c r="K19" s="13"/>
      <c r="L19" s="12"/>
      <c r="M19" s="13"/>
      <c r="N19" s="14"/>
      <c r="O19" s="15"/>
      <c r="P19" s="14"/>
      <c r="Q19" s="15"/>
      <c r="R19" s="14" t="s">
        <v>39</v>
      </c>
      <c r="S19" s="15" t="s">
        <v>61</v>
      </c>
      <c r="T19" s="14"/>
      <c r="U19" s="15"/>
      <c r="V19" s="14"/>
      <c r="W19" s="15"/>
      <c r="X19" s="14"/>
      <c r="Y19" s="15"/>
      <c r="Z19" s="14"/>
      <c r="AA19" s="15"/>
      <c r="AB19" s="14"/>
      <c r="AC19" s="15"/>
      <c r="AD19" s="14"/>
      <c r="AE19" s="15"/>
      <c r="AF19" s="14"/>
      <c r="AG19" s="15"/>
    </row>
    <row r="20" spans="1:35" ht="15" customHeight="1" x14ac:dyDescent="0.25">
      <c r="A20" s="9">
        <v>8</v>
      </c>
      <c r="B20" s="10"/>
      <c r="C20" s="11"/>
      <c r="D20" s="10"/>
      <c r="E20" s="11"/>
      <c r="F20" s="10"/>
      <c r="G20" s="11"/>
      <c r="H20" s="10"/>
      <c r="I20" s="11"/>
      <c r="J20" s="12"/>
      <c r="K20" s="13"/>
      <c r="L20" s="12"/>
      <c r="M20" s="13"/>
      <c r="N20" s="14"/>
      <c r="O20" s="15"/>
      <c r="P20" s="14"/>
      <c r="Q20" s="15"/>
      <c r="R20" s="14" t="s">
        <v>39</v>
      </c>
      <c r="S20" s="15" t="s">
        <v>62</v>
      </c>
      <c r="T20" s="14"/>
      <c r="U20" s="15"/>
      <c r="V20" s="14"/>
      <c r="W20" s="15"/>
      <c r="X20" s="14"/>
      <c r="Y20" s="15"/>
      <c r="Z20" s="14"/>
      <c r="AA20" s="15"/>
      <c r="AB20" s="14"/>
      <c r="AC20" s="15"/>
      <c r="AD20" s="14"/>
      <c r="AE20" s="15"/>
      <c r="AF20" s="14"/>
      <c r="AG20" s="15"/>
    </row>
    <row r="21" spans="1:35" ht="15" customHeight="1" x14ac:dyDescent="0.25">
      <c r="A21" s="9">
        <v>9</v>
      </c>
      <c r="B21" s="10"/>
      <c r="C21" s="11"/>
      <c r="D21" s="10"/>
      <c r="E21" s="11"/>
      <c r="F21" s="10"/>
      <c r="G21" s="11"/>
      <c r="H21" s="10"/>
      <c r="I21" s="11"/>
      <c r="J21" s="12"/>
      <c r="K21" s="13"/>
      <c r="L21" s="12"/>
      <c r="M21" s="13"/>
      <c r="N21" s="14"/>
      <c r="O21" s="15"/>
      <c r="P21" s="14"/>
      <c r="Q21" s="15"/>
      <c r="R21" s="14" t="s">
        <v>39</v>
      </c>
      <c r="S21" s="15" t="s">
        <v>63</v>
      </c>
      <c r="T21" s="14"/>
      <c r="U21" s="15"/>
      <c r="V21" s="14"/>
      <c r="W21" s="15"/>
      <c r="X21" s="14"/>
      <c r="Y21" s="15"/>
      <c r="Z21" s="14"/>
      <c r="AA21" s="15"/>
      <c r="AB21" s="14"/>
      <c r="AC21" s="15"/>
      <c r="AD21" s="14"/>
      <c r="AE21" s="15"/>
      <c r="AF21" s="14"/>
      <c r="AG21" s="15"/>
    </row>
    <row r="22" spans="1:35" ht="15" customHeight="1" x14ac:dyDescent="0.25">
      <c r="A22" s="9">
        <v>10</v>
      </c>
      <c r="B22" s="10"/>
      <c r="C22" s="11"/>
      <c r="D22" s="10"/>
      <c r="E22" s="11"/>
      <c r="F22" s="10"/>
      <c r="G22" s="11"/>
      <c r="H22" s="10"/>
      <c r="I22" s="11"/>
      <c r="J22" s="12"/>
      <c r="K22" s="13"/>
      <c r="L22" s="12"/>
      <c r="M22" s="13"/>
      <c r="N22" s="14"/>
      <c r="O22" s="15"/>
      <c r="P22" s="14"/>
      <c r="Q22" s="15"/>
      <c r="R22" s="14" t="s">
        <v>39</v>
      </c>
      <c r="S22" s="15" t="s">
        <v>42</v>
      </c>
      <c r="T22" s="14"/>
      <c r="U22" s="15"/>
      <c r="V22" s="14"/>
      <c r="W22" s="15"/>
      <c r="X22" s="14"/>
      <c r="Y22" s="15"/>
      <c r="Z22" s="14"/>
      <c r="AA22" s="15"/>
      <c r="AB22" s="14"/>
      <c r="AC22" s="15"/>
      <c r="AD22" s="14"/>
      <c r="AE22" s="15"/>
      <c r="AF22" s="14"/>
      <c r="AG22" s="15"/>
    </row>
    <row r="23" spans="1:35" ht="15" customHeight="1" x14ac:dyDescent="0.25">
      <c r="A23" s="9">
        <v>11</v>
      </c>
      <c r="B23" s="10"/>
      <c r="C23" s="11"/>
      <c r="D23" s="10"/>
      <c r="E23" s="11"/>
      <c r="F23" s="10"/>
      <c r="G23" s="11"/>
      <c r="H23" s="10"/>
      <c r="I23" s="11"/>
      <c r="J23" s="12"/>
      <c r="K23" s="13"/>
      <c r="L23" s="12"/>
      <c r="M23" s="13"/>
      <c r="N23" s="14"/>
      <c r="O23" s="15"/>
      <c r="P23" s="14"/>
      <c r="Q23" s="15"/>
      <c r="R23" s="14"/>
      <c r="S23" s="15"/>
      <c r="T23" s="14"/>
      <c r="U23" s="15"/>
      <c r="V23" s="14"/>
      <c r="W23" s="15"/>
      <c r="X23" s="14"/>
      <c r="Y23" s="15"/>
      <c r="Z23" s="14"/>
      <c r="AA23" s="15"/>
      <c r="AB23" s="14"/>
      <c r="AC23" s="15"/>
      <c r="AD23" s="14"/>
      <c r="AE23" s="15"/>
      <c r="AF23" s="14"/>
      <c r="AG23" s="15"/>
    </row>
    <row r="24" spans="1:35" ht="15" customHeight="1" x14ac:dyDescent="0.25">
      <c r="A24" s="9">
        <v>12</v>
      </c>
      <c r="B24" s="10"/>
      <c r="C24" s="11"/>
      <c r="D24" s="10"/>
      <c r="E24" s="11"/>
      <c r="F24" s="10"/>
      <c r="G24" s="11"/>
      <c r="H24" s="10"/>
      <c r="I24" s="11"/>
      <c r="J24" s="12"/>
      <c r="K24" s="13"/>
      <c r="L24" s="12"/>
      <c r="M24" s="13"/>
      <c r="N24" s="14"/>
      <c r="O24" s="15"/>
      <c r="P24" s="14"/>
      <c r="Q24" s="15"/>
      <c r="R24" s="14"/>
      <c r="S24" s="15"/>
      <c r="T24" s="14"/>
      <c r="U24" s="15"/>
      <c r="V24" s="14"/>
      <c r="W24" s="15"/>
      <c r="X24" s="14"/>
      <c r="Y24" s="15"/>
      <c r="Z24" s="14"/>
      <c r="AA24" s="15"/>
      <c r="AB24" s="14"/>
      <c r="AC24" s="15"/>
      <c r="AD24" s="14"/>
      <c r="AE24" s="15"/>
      <c r="AF24" s="14"/>
      <c r="AG24" s="15"/>
    </row>
    <row r="25" spans="1:35" ht="16.5" customHeight="1" x14ac:dyDescent="0.25">
      <c r="A25" s="16" t="s">
        <v>64</v>
      </c>
      <c r="B25" s="17">
        <f>COUNTA(B13:B24)</f>
        <v>0</v>
      </c>
      <c r="C25" s="18" t="s">
        <v>65</v>
      </c>
      <c r="D25" s="17">
        <f>COUNTA(D13:D24)</f>
        <v>0</v>
      </c>
      <c r="E25" s="18" t="s">
        <v>65</v>
      </c>
      <c r="F25" s="17">
        <f>COUNTA(F13:F24)</f>
        <v>0</v>
      </c>
      <c r="G25" s="18" t="s">
        <v>65</v>
      </c>
      <c r="H25" s="17">
        <f>COUNTA(H13:H24)</f>
        <v>0</v>
      </c>
      <c r="I25" s="18" t="s">
        <v>65</v>
      </c>
      <c r="J25" s="17">
        <f>COUNTA(J13:J24)</f>
        <v>0</v>
      </c>
      <c r="K25" s="19">
        <f>SUM(K13:K24)</f>
        <v>0</v>
      </c>
      <c r="L25" s="17">
        <f>COUNTA(L13:L24)</f>
        <v>3</v>
      </c>
      <c r="M25" s="19">
        <f>SUM(M13:M24)</f>
        <v>10</v>
      </c>
      <c r="N25" s="17">
        <f>COUNTA(N13:N24)</f>
        <v>0</v>
      </c>
      <c r="O25" s="18" t="s">
        <v>65</v>
      </c>
      <c r="P25" s="17">
        <f>COUNTA(P13:P24)</f>
        <v>2</v>
      </c>
      <c r="Q25" s="18" t="s">
        <v>65</v>
      </c>
      <c r="R25" s="17">
        <f>COUNTA(R13:R24)</f>
        <v>10</v>
      </c>
      <c r="S25" s="18" t="s">
        <v>65</v>
      </c>
      <c r="T25" s="17">
        <f>COUNTA(T13:T24)</f>
        <v>0</v>
      </c>
      <c r="U25" s="18" t="s">
        <v>65</v>
      </c>
      <c r="V25" s="17">
        <f>COUNTA(V13:V24)</f>
        <v>0</v>
      </c>
      <c r="W25" s="18" t="s">
        <v>65</v>
      </c>
      <c r="X25" s="17">
        <f>COUNTA(X13:X24)</f>
        <v>0</v>
      </c>
      <c r="Y25" s="18" t="s">
        <v>65</v>
      </c>
      <c r="Z25" s="17">
        <f>COUNTA(Z13:Z24)</f>
        <v>4</v>
      </c>
      <c r="AA25" s="18" t="s">
        <v>65</v>
      </c>
      <c r="AB25" s="17">
        <f>COUNTA(AB13:AB24)</f>
        <v>0</v>
      </c>
      <c r="AC25" s="18" t="s">
        <v>65</v>
      </c>
      <c r="AD25" s="17">
        <f>COUNTA(AD13:AD24)</f>
        <v>6</v>
      </c>
      <c r="AE25" s="18" t="s">
        <v>65</v>
      </c>
      <c r="AF25" s="17">
        <f>COUNTA(AF13:AF24)</f>
        <v>6</v>
      </c>
      <c r="AG25" s="18" t="s">
        <v>65</v>
      </c>
      <c r="AI25" s="20">
        <f>SUM(B25:AG25)-SUM(J25,L25,K25,M25)</f>
        <v>28</v>
      </c>
    </row>
    <row r="26" spans="1:35" x14ac:dyDescent="0.25">
      <c r="C26" s="21"/>
      <c r="E26" s="21"/>
      <c r="G26" s="21"/>
      <c r="I26" s="21"/>
      <c r="O26" s="21"/>
      <c r="Q26" s="21"/>
      <c r="S26" s="21"/>
      <c r="U26" s="21"/>
      <c r="W26" s="21"/>
      <c r="Y26" s="21"/>
      <c r="AA26" s="21"/>
      <c r="AC26" s="21"/>
      <c r="AE26" s="21"/>
      <c r="AG26" s="21"/>
    </row>
    <row r="27" spans="1:35" ht="19.5" customHeight="1" x14ac:dyDescent="0.25">
      <c r="A27" s="73" t="s">
        <v>66</v>
      </c>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row>
    <row r="28" spans="1:35" ht="18" customHeight="1" x14ac:dyDescent="0.25">
      <c r="A28" s="6" t="s">
        <v>13</v>
      </c>
      <c r="B28" s="75" t="s">
        <v>67</v>
      </c>
      <c r="C28" s="75"/>
      <c r="D28" s="75" t="s">
        <v>68</v>
      </c>
      <c r="E28" s="75"/>
      <c r="F28" s="75" t="s">
        <v>69</v>
      </c>
      <c r="G28" s="75"/>
      <c r="H28" s="75" t="s">
        <v>70</v>
      </c>
      <c r="I28" s="75"/>
      <c r="J28" s="76" t="s">
        <v>71</v>
      </c>
      <c r="K28" s="76"/>
      <c r="L28" s="76" t="s">
        <v>72</v>
      </c>
      <c r="M28" s="76"/>
      <c r="N28" s="70" t="s">
        <v>73</v>
      </c>
      <c r="O28" s="70"/>
      <c r="P28" s="70" t="s">
        <v>74</v>
      </c>
      <c r="Q28" s="70"/>
      <c r="R28" s="70" t="s">
        <v>75</v>
      </c>
      <c r="S28" s="70"/>
      <c r="T28" s="70" t="s">
        <v>76</v>
      </c>
      <c r="U28" s="70"/>
      <c r="V28" s="70" t="s">
        <v>77</v>
      </c>
      <c r="W28" s="70"/>
      <c r="X28" s="70" t="s">
        <v>78</v>
      </c>
      <c r="Y28" s="70"/>
      <c r="Z28" s="70" t="s">
        <v>79</v>
      </c>
      <c r="AA28" s="70"/>
      <c r="AB28" s="70" t="s">
        <v>80</v>
      </c>
      <c r="AC28" s="70"/>
      <c r="AD28" s="70" t="s">
        <v>81</v>
      </c>
      <c r="AE28" s="70"/>
      <c r="AF28" s="70" t="s">
        <v>82</v>
      </c>
      <c r="AG28" s="70"/>
    </row>
    <row r="29" spans="1:35" ht="15" customHeight="1" x14ac:dyDescent="0.25">
      <c r="A29" s="7" t="s">
        <v>30</v>
      </c>
      <c r="B29" s="7" t="s">
        <v>31</v>
      </c>
      <c r="C29" s="22" t="s">
        <v>32</v>
      </c>
      <c r="D29" s="7" t="s">
        <v>31</v>
      </c>
      <c r="E29" s="22" t="s">
        <v>32</v>
      </c>
      <c r="F29" s="7" t="s">
        <v>31</v>
      </c>
      <c r="G29" s="22" t="s">
        <v>32</v>
      </c>
      <c r="H29" s="7" t="s">
        <v>31</v>
      </c>
      <c r="I29" s="22" t="s">
        <v>32</v>
      </c>
      <c r="J29" s="7" t="s">
        <v>33</v>
      </c>
      <c r="K29" s="7" t="s">
        <v>34</v>
      </c>
      <c r="L29" s="7" t="s">
        <v>33</v>
      </c>
      <c r="M29" s="7" t="s">
        <v>34</v>
      </c>
      <c r="N29" s="7" t="s">
        <v>31</v>
      </c>
      <c r="O29" s="22" t="s">
        <v>32</v>
      </c>
      <c r="P29" s="7" t="s">
        <v>31</v>
      </c>
      <c r="Q29" s="22" t="s">
        <v>32</v>
      </c>
      <c r="R29" s="7" t="s">
        <v>31</v>
      </c>
      <c r="S29" s="22" t="s">
        <v>32</v>
      </c>
      <c r="T29" s="7" t="s">
        <v>31</v>
      </c>
      <c r="U29" s="22" t="s">
        <v>32</v>
      </c>
      <c r="V29" s="7" t="s">
        <v>31</v>
      </c>
      <c r="W29" s="22" t="s">
        <v>32</v>
      </c>
      <c r="X29" s="7" t="s">
        <v>31</v>
      </c>
      <c r="Y29" s="22" t="s">
        <v>32</v>
      </c>
      <c r="Z29" s="7" t="s">
        <v>31</v>
      </c>
      <c r="AA29" s="22" t="s">
        <v>32</v>
      </c>
      <c r="AB29" s="7" t="s">
        <v>31</v>
      </c>
      <c r="AC29" s="22" t="s">
        <v>32</v>
      </c>
      <c r="AD29" s="7" t="s">
        <v>31</v>
      </c>
      <c r="AE29" s="22" t="s">
        <v>32</v>
      </c>
      <c r="AF29" s="7" t="s">
        <v>31</v>
      </c>
      <c r="AG29" s="22" t="s">
        <v>32</v>
      </c>
      <c r="AI29" s="8" t="s">
        <v>35</v>
      </c>
    </row>
    <row r="30" spans="1:35" ht="15" customHeight="1" x14ac:dyDescent="0.25">
      <c r="A30" s="9">
        <v>1</v>
      </c>
      <c r="B30" s="10"/>
      <c r="C30" s="11"/>
      <c r="D30" s="10"/>
      <c r="E30" s="11"/>
      <c r="F30" s="10"/>
      <c r="G30" s="11"/>
      <c r="H30" s="10"/>
      <c r="I30" s="11"/>
      <c r="J30" s="12" t="s">
        <v>83</v>
      </c>
      <c r="K30" s="13">
        <v>1</v>
      </c>
      <c r="L30" s="12" t="s">
        <v>84</v>
      </c>
      <c r="M30" s="13">
        <v>10</v>
      </c>
      <c r="N30" s="14" t="s">
        <v>85</v>
      </c>
      <c r="O30" s="15"/>
      <c r="P30" s="14" t="s">
        <v>86</v>
      </c>
      <c r="Q30" s="15" t="s">
        <v>87</v>
      </c>
      <c r="R30" s="14" t="s">
        <v>39</v>
      </c>
      <c r="S30" s="15" t="s">
        <v>42</v>
      </c>
      <c r="T30" s="14" t="s">
        <v>88</v>
      </c>
      <c r="U30" s="15" t="s">
        <v>89</v>
      </c>
      <c r="V30" s="14"/>
      <c r="W30" s="15"/>
      <c r="X30" s="14"/>
      <c r="Y30" s="15"/>
      <c r="Z30" s="14" t="s">
        <v>90</v>
      </c>
      <c r="AA30" s="15" t="s">
        <v>91</v>
      </c>
      <c r="AB30" s="14"/>
      <c r="AC30" s="15"/>
      <c r="AD30" s="14" t="s">
        <v>92</v>
      </c>
      <c r="AE30" s="15" t="s">
        <v>93</v>
      </c>
      <c r="AF30" s="14" t="s">
        <v>94</v>
      </c>
      <c r="AG30" s="15" t="s">
        <v>95</v>
      </c>
    </row>
    <row r="31" spans="1:35" ht="15" customHeight="1" x14ac:dyDescent="0.25">
      <c r="A31" s="9">
        <v>2</v>
      </c>
      <c r="B31" s="10"/>
      <c r="C31" s="11"/>
      <c r="D31" s="10"/>
      <c r="E31" s="11"/>
      <c r="F31" s="10"/>
      <c r="G31" s="11"/>
      <c r="H31" s="10"/>
      <c r="I31" s="11"/>
      <c r="J31" s="12" t="s">
        <v>96</v>
      </c>
      <c r="K31" s="13">
        <v>3</v>
      </c>
      <c r="L31" s="12"/>
      <c r="M31" s="13"/>
      <c r="N31" s="14"/>
      <c r="O31" s="15"/>
      <c r="P31" s="14"/>
      <c r="Q31" s="15"/>
      <c r="R31" s="14" t="s">
        <v>39</v>
      </c>
      <c r="S31" s="15" t="s">
        <v>42</v>
      </c>
      <c r="T31" s="14" t="s">
        <v>88</v>
      </c>
      <c r="U31" s="15" t="s">
        <v>97</v>
      </c>
      <c r="V31" s="14"/>
      <c r="W31" s="15"/>
      <c r="X31" s="14"/>
      <c r="Y31" s="15"/>
      <c r="Z31" s="14" t="s">
        <v>90</v>
      </c>
      <c r="AA31" s="15" t="s">
        <v>98</v>
      </c>
      <c r="AB31" s="14"/>
      <c r="AC31" s="15"/>
      <c r="AD31" s="14" t="s">
        <v>92</v>
      </c>
      <c r="AE31" s="15" t="s">
        <v>99</v>
      </c>
      <c r="AF31" s="14" t="s">
        <v>94</v>
      </c>
      <c r="AG31" s="15" t="s">
        <v>100</v>
      </c>
    </row>
    <row r="32" spans="1:35" ht="15" customHeight="1" x14ac:dyDescent="0.25">
      <c r="A32" s="9">
        <v>3</v>
      </c>
      <c r="B32" s="10"/>
      <c r="C32" s="11"/>
      <c r="D32" s="10"/>
      <c r="E32" s="11"/>
      <c r="F32" s="10"/>
      <c r="G32" s="11"/>
      <c r="H32" s="10"/>
      <c r="I32" s="11"/>
      <c r="J32" s="12"/>
      <c r="K32" s="13"/>
      <c r="L32" s="12"/>
      <c r="M32" s="13"/>
      <c r="N32" s="14"/>
      <c r="O32" s="15"/>
      <c r="P32" s="14"/>
      <c r="Q32" s="15"/>
      <c r="R32" s="14" t="s">
        <v>39</v>
      </c>
      <c r="S32" s="15" t="s">
        <v>42</v>
      </c>
      <c r="T32" s="14" t="s">
        <v>88</v>
      </c>
      <c r="U32" s="15" t="s">
        <v>101</v>
      </c>
      <c r="V32" s="14"/>
      <c r="W32" s="15"/>
      <c r="X32" s="14"/>
      <c r="Y32" s="15"/>
      <c r="Z32" s="14" t="s">
        <v>90</v>
      </c>
      <c r="AA32" s="15" t="s">
        <v>102</v>
      </c>
      <c r="AB32" s="14"/>
      <c r="AC32" s="15"/>
      <c r="AD32" s="14" t="s">
        <v>92</v>
      </c>
      <c r="AE32" s="15" t="s">
        <v>103</v>
      </c>
      <c r="AF32" s="14" t="s">
        <v>104</v>
      </c>
      <c r="AG32" s="15" t="s">
        <v>105</v>
      </c>
    </row>
    <row r="33" spans="1:35" ht="15" customHeight="1" x14ac:dyDescent="0.25">
      <c r="A33" s="9">
        <v>4</v>
      </c>
      <c r="B33" s="10"/>
      <c r="C33" s="11"/>
      <c r="D33" s="10"/>
      <c r="E33" s="11"/>
      <c r="F33" s="10"/>
      <c r="G33" s="11"/>
      <c r="H33" s="10"/>
      <c r="I33" s="11"/>
      <c r="J33" s="12"/>
      <c r="K33" s="13"/>
      <c r="L33" s="12"/>
      <c r="M33" s="13"/>
      <c r="N33" s="14"/>
      <c r="O33" s="15"/>
      <c r="P33" s="14"/>
      <c r="Q33" s="15"/>
      <c r="R33" s="14" t="s">
        <v>39</v>
      </c>
      <c r="S33" s="15" t="s">
        <v>42</v>
      </c>
      <c r="T33" s="14" t="s">
        <v>88</v>
      </c>
      <c r="U33" s="15" t="s">
        <v>106</v>
      </c>
      <c r="V33" s="14"/>
      <c r="W33" s="15"/>
      <c r="X33" s="14"/>
      <c r="Y33" s="15"/>
      <c r="Z33" s="14" t="s">
        <v>107</v>
      </c>
      <c r="AA33" s="15" t="s">
        <v>108</v>
      </c>
      <c r="AB33" s="14"/>
      <c r="AC33" s="15"/>
      <c r="AD33" s="14" t="s">
        <v>109</v>
      </c>
      <c r="AE33" s="23" t="s">
        <v>110</v>
      </c>
      <c r="AF33" s="14"/>
      <c r="AG33" s="15"/>
    </row>
    <row r="34" spans="1:35" ht="15" customHeight="1" x14ac:dyDescent="0.25">
      <c r="A34" s="9">
        <v>5</v>
      </c>
      <c r="B34" s="10"/>
      <c r="C34" s="11"/>
      <c r="D34" s="10"/>
      <c r="E34" s="11"/>
      <c r="F34" s="10"/>
      <c r="G34" s="11"/>
      <c r="H34" s="10"/>
      <c r="I34" s="11"/>
      <c r="J34" s="12"/>
      <c r="K34" s="13"/>
      <c r="L34" s="12"/>
      <c r="M34" s="13"/>
      <c r="N34" s="14"/>
      <c r="O34" s="15"/>
      <c r="P34" s="14"/>
      <c r="Q34" s="15"/>
      <c r="R34" s="14" t="s">
        <v>39</v>
      </c>
      <c r="S34" s="15" t="s">
        <v>111</v>
      </c>
      <c r="T34" s="14" t="s">
        <v>88</v>
      </c>
      <c r="U34" s="15" t="s">
        <v>112</v>
      </c>
      <c r="V34" s="14"/>
      <c r="W34" s="15"/>
      <c r="X34" s="14"/>
      <c r="Y34" s="15"/>
      <c r="Z34" s="14" t="s">
        <v>107</v>
      </c>
      <c r="AA34" s="15" t="s">
        <v>113</v>
      </c>
      <c r="AB34" s="14"/>
      <c r="AC34" s="15"/>
      <c r="AD34" s="14" t="s">
        <v>92</v>
      </c>
      <c r="AE34" s="15" t="s">
        <v>114</v>
      </c>
      <c r="AF34" s="14"/>
      <c r="AG34" s="15"/>
    </row>
    <row r="35" spans="1:35" ht="15" customHeight="1" x14ac:dyDescent="0.25">
      <c r="A35" s="9">
        <v>6</v>
      </c>
      <c r="B35" s="10"/>
      <c r="C35" s="11"/>
      <c r="D35" s="10"/>
      <c r="E35" s="11"/>
      <c r="F35" s="10"/>
      <c r="G35" s="11"/>
      <c r="H35" s="10"/>
      <c r="I35" s="11"/>
      <c r="J35" s="12"/>
      <c r="K35" s="13"/>
      <c r="L35" s="12"/>
      <c r="M35" s="13"/>
      <c r="N35" s="14"/>
      <c r="O35" s="15"/>
      <c r="P35" s="14"/>
      <c r="Q35" s="15"/>
      <c r="R35" s="14" t="s">
        <v>39</v>
      </c>
      <c r="S35" s="15" t="s">
        <v>115</v>
      </c>
      <c r="T35" s="14" t="s">
        <v>88</v>
      </c>
      <c r="U35" s="15" t="s">
        <v>116</v>
      </c>
      <c r="V35" s="14"/>
      <c r="W35" s="15"/>
      <c r="X35" s="14"/>
      <c r="Y35" s="15"/>
      <c r="Z35" s="14" t="s">
        <v>107</v>
      </c>
      <c r="AA35" s="15" t="s">
        <v>117</v>
      </c>
      <c r="AB35" s="14"/>
      <c r="AC35" s="15"/>
      <c r="AD35" s="14" t="s">
        <v>43</v>
      </c>
      <c r="AE35" s="15" t="s">
        <v>118</v>
      </c>
      <c r="AF35" s="14"/>
      <c r="AG35" s="15"/>
    </row>
    <row r="36" spans="1:35" ht="15" customHeight="1" x14ac:dyDescent="0.25">
      <c r="A36" s="9">
        <v>7</v>
      </c>
      <c r="B36" s="10"/>
      <c r="C36" s="11"/>
      <c r="D36" s="10"/>
      <c r="E36" s="11"/>
      <c r="F36" s="10"/>
      <c r="G36" s="11"/>
      <c r="H36" s="10"/>
      <c r="I36" s="11"/>
      <c r="J36" s="12"/>
      <c r="K36" s="13"/>
      <c r="L36" s="12"/>
      <c r="M36" s="13"/>
      <c r="N36" s="14"/>
      <c r="O36" s="15"/>
      <c r="P36" s="14"/>
      <c r="Q36" s="15"/>
      <c r="R36" s="14" t="s">
        <v>39</v>
      </c>
      <c r="S36" s="15" t="s">
        <v>42</v>
      </c>
      <c r="T36" s="14" t="s">
        <v>88</v>
      </c>
      <c r="U36" s="15" t="s">
        <v>119</v>
      </c>
      <c r="V36" s="14"/>
      <c r="W36" s="15"/>
      <c r="X36" s="14"/>
      <c r="Y36" s="15"/>
      <c r="Z36" s="14" t="s">
        <v>90</v>
      </c>
      <c r="AA36" s="15" t="s">
        <v>120</v>
      </c>
      <c r="AB36" s="14"/>
      <c r="AC36" s="15"/>
      <c r="AD36" s="14"/>
      <c r="AE36" s="15"/>
      <c r="AF36" s="14"/>
      <c r="AG36" s="15"/>
    </row>
    <row r="37" spans="1:35" ht="15" customHeight="1" x14ac:dyDescent="0.25">
      <c r="A37" s="9">
        <v>8</v>
      </c>
      <c r="B37" s="10"/>
      <c r="C37" s="11"/>
      <c r="D37" s="10"/>
      <c r="E37" s="11"/>
      <c r="F37" s="10"/>
      <c r="G37" s="11"/>
      <c r="H37" s="10"/>
      <c r="I37" s="11"/>
      <c r="J37" s="12"/>
      <c r="K37" s="13"/>
      <c r="L37" s="12"/>
      <c r="M37" s="13"/>
      <c r="N37" s="14"/>
      <c r="O37" s="15"/>
      <c r="P37" s="14"/>
      <c r="Q37" s="15"/>
      <c r="R37" s="14" t="s">
        <v>39</v>
      </c>
      <c r="S37" s="15" t="s">
        <v>121</v>
      </c>
      <c r="T37" s="14" t="s">
        <v>88</v>
      </c>
      <c r="U37" s="15" t="s">
        <v>122</v>
      </c>
      <c r="V37" s="14"/>
      <c r="W37" s="15"/>
      <c r="X37" s="14"/>
      <c r="Y37" s="15"/>
      <c r="Z37" s="14" t="s">
        <v>52</v>
      </c>
      <c r="AA37" s="15" t="s">
        <v>42</v>
      </c>
      <c r="AB37" s="14"/>
      <c r="AC37" s="15"/>
      <c r="AD37" s="14"/>
      <c r="AE37" s="15"/>
      <c r="AF37" s="14"/>
      <c r="AG37" s="15"/>
    </row>
    <row r="38" spans="1:35" ht="15" customHeight="1" x14ac:dyDescent="0.25">
      <c r="A38" s="9">
        <v>9</v>
      </c>
      <c r="B38" s="10"/>
      <c r="C38" s="11"/>
      <c r="D38" s="10"/>
      <c r="E38" s="11"/>
      <c r="F38" s="10"/>
      <c r="G38" s="11"/>
      <c r="H38" s="10"/>
      <c r="I38" s="11"/>
      <c r="J38" s="12"/>
      <c r="K38" s="13"/>
      <c r="L38" s="12"/>
      <c r="M38" s="13"/>
      <c r="N38" s="14"/>
      <c r="O38" s="15"/>
      <c r="P38" s="14"/>
      <c r="Q38" s="15"/>
      <c r="R38" s="14" t="s">
        <v>39</v>
      </c>
      <c r="S38" s="15" t="s">
        <v>42</v>
      </c>
      <c r="T38" s="14" t="s">
        <v>88</v>
      </c>
      <c r="U38" s="15" t="s">
        <v>123</v>
      </c>
      <c r="V38" s="14"/>
      <c r="W38" s="15"/>
      <c r="X38" s="14"/>
      <c r="Y38" s="15"/>
      <c r="Z38" s="14"/>
      <c r="AA38" s="15"/>
      <c r="AB38" s="14"/>
      <c r="AC38" s="15"/>
      <c r="AD38" s="14"/>
      <c r="AE38" s="15"/>
      <c r="AF38" s="14"/>
      <c r="AG38" s="15"/>
    </row>
    <row r="39" spans="1:35" ht="15" customHeight="1" x14ac:dyDescent="0.25">
      <c r="A39" s="9">
        <v>10</v>
      </c>
      <c r="B39" s="10"/>
      <c r="C39" s="11"/>
      <c r="D39" s="10"/>
      <c r="E39" s="11"/>
      <c r="F39" s="10"/>
      <c r="G39" s="11"/>
      <c r="H39" s="10"/>
      <c r="I39" s="11"/>
      <c r="J39" s="12"/>
      <c r="K39" s="13"/>
      <c r="L39" s="12"/>
      <c r="M39" s="13"/>
      <c r="N39" s="14"/>
      <c r="O39" s="15"/>
      <c r="P39" s="14"/>
      <c r="Q39" s="15"/>
      <c r="R39" s="14"/>
      <c r="S39" s="15"/>
      <c r="T39" s="14" t="s">
        <v>88</v>
      </c>
      <c r="U39" s="15" t="s">
        <v>124</v>
      </c>
      <c r="V39" s="14"/>
      <c r="W39" s="15"/>
      <c r="X39" s="14"/>
      <c r="Y39" s="15"/>
      <c r="Z39" s="14"/>
      <c r="AA39" s="15"/>
      <c r="AB39" s="14"/>
      <c r="AC39" s="15"/>
      <c r="AD39" s="14"/>
      <c r="AE39" s="15"/>
      <c r="AF39" s="14"/>
      <c r="AG39" s="15"/>
    </row>
    <row r="40" spans="1:35" ht="15" customHeight="1" x14ac:dyDescent="0.25">
      <c r="A40" s="9">
        <v>11</v>
      </c>
      <c r="B40" s="10"/>
      <c r="C40" s="11"/>
      <c r="D40" s="10"/>
      <c r="E40" s="11"/>
      <c r="F40" s="10"/>
      <c r="G40" s="11"/>
      <c r="H40" s="10"/>
      <c r="I40" s="11"/>
      <c r="J40" s="12"/>
      <c r="K40" s="13"/>
      <c r="L40" s="12"/>
      <c r="M40" s="13"/>
      <c r="N40" s="14"/>
      <c r="O40" s="15"/>
      <c r="P40" s="14"/>
      <c r="Q40" s="15"/>
      <c r="R40" s="14"/>
      <c r="S40" s="15"/>
      <c r="T40" s="14"/>
      <c r="U40" s="15"/>
      <c r="V40" s="14"/>
      <c r="W40" s="15"/>
      <c r="X40" s="14"/>
      <c r="Y40" s="15"/>
      <c r="Z40" s="14"/>
      <c r="AA40" s="15"/>
      <c r="AB40" s="14"/>
      <c r="AC40" s="15"/>
      <c r="AD40" s="14"/>
      <c r="AE40" s="15"/>
      <c r="AF40" s="14"/>
      <c r="AG40" s="15"/>
    </row>
    <row r="41" spans="1:35" ht="15" customHeight="1" x14ac:dyDescent="0.25">
      <c r="A41" s="9">
        <v>12</v>
      </c>
      <c r="B41" s="10"/>
      <c r="C41" s="11"/>
      <c r="D41" s="10"/>
      <c r="E41" s="11"/>
      <c r="F41" s="10"/>
      <c r="G41" s="11"/>
      <c r="H41" s="10"/>
      <c r="I41" s="11"/>
      <c r="J41" s="12"/>
      <c r="K41" s="13"/>
      <c r="L41" s="12"/>
      <c r="M41" s="13"/>
      <c r="N41" s="14"/>
      <c r="O41" s="15"/>
      <c r="P41" s="14"/>
      <c r="Q41" s="15"/>
      <c r="R41" s="14"/>
      <c r="S41" s="15"/>
      <c r="T41" s="14"/>
      <c r="U41" s="15"/>
      <c r="V41" s="14"/>
      <c r="W41" s="15"/>
      <c r="X41" s="14"/>
      <c r="Y41" s="15"/>
      <c r="Z41" s="14"/>
      <c r="AA41" s="15"/>
      <c r="AB41" s="14"/>
      <c r="AC41" s="15"/>
      <c r="AD41" s="14"/>
      <c r="AE41" s="15"/>
      <c r="AF41" s="14"/>
      <c r="AG41" s="15"/>
    </row>
    <row r="42" spans="1:35" ht="16.5" customHeight="1" x14ac:dyDescent="0.25">
      <c r="A42" s="16" t="s">
        <v>64</v>
      </c>
      <c r="B42" s="17">
        <f>COUNTA(B30:B41)</f>
        <v>0</v>
      </c>
      <c r="C42" s="18" t="s">
        <v>65</v>
      </c>
      <c r="D42" s="17">
        <f>COUNTA(D30:D41)</f>
        <v>0</v>
      </c>
      <c r="E42" s="18" t="s">
        <v>65</v>
      </c>
      <c r="F42" s="17">
        <f>COUNTA(F30:F41)</f>
        <v>0</v>
      </c>
      <c r="G42" s="18" t="s">
        <v>65</v>
      </c>
      <c r="H42" s="17">
        <f>COUNTA(H30:H41)</f>
        <v>0</v>
      </c>
      <c r="I42" s="18" t="s">
        <v>65</v>
      </c>
      <c r="J42" s="17">
        <f>COUNTA(J30:J41)</f>
        <v>2</v>
      </c>
      <c r="K42" s="19">
        <f>SUM(K30:K41)</f>
        <v>4</v>
      </c>
      <c r="L42" s="17">
        <f>COUNTA(L30:L41)</f>
        <v>1</v>
      </c>
      <c r="M42" s="19">
        <f>SUM(M30:M41)</f>
        <v>10</v>
      </c>
      <c r="N42" s="17">
        <f>COUNTA(N30:N41)</f>
        <v>1</v>
      </c>
      <c r="O42" s="18" t="s">
        <v>65</v>
      </c>
      <c r="P42" s="17">
        <f>COUNTA(P30:P41)</f>
        <v>1</v>
      </c>
      <c r="Q42" s="18" t="s">
        <v>65</v>
      </c>
      <c r="R42" s="17">
        <f>COUNTA(R30:R41)</f>
        <v>9</v>
      </c>
      <c r="S42" s="18" t="s">
        <v>65</v>
      </c>
      <c r="T42" s="17">
        <f>COUNTA(T30:T41)</f>
        <v>10</v>
      </c>
      <c r="U42" s="18" t="s">
        <v>65</v>
      </c>
      <c r="V42" s="17">
        <f>COUNTA(V30:V41)</f>
        <v>0</v>
      </c>
      <c r="W42" s="18" t="s">
        <v>65</v>
      </c>
      <c r="X42" s="17">
        <f>COUNTA(X30:X41)</f>
        <v>0</v>
      </c>
      <c r="Y42" s="18" t="s">
        <v>65</v>
      </c>
      <c r="Z42" s="17">
        <f>COUNTA(Z30:Z41)</f>
        <v>8</v>
      </c>
      <c r="AA42" s="18" t="s">
        <v>65</v>
      </c>
      <c r="AB42" s="17">
        <f>COUNTA(AB30:AB41)</f>
        <v>0</v>
      </c>
      <c r="AC42" s="18" t="s">
        <v>65</v>
      </c>
      <c r="AD42" s="17">
        <f>COUNTA(AD30:AD41)</f>
        <v>6</v>
      </c>
      <c r="AE42" s="18" t="s">
        <v>65</v>
      </c>
      <c r="AF42" s="17">
        <f>COUNTA(AF30:AF41)</f>
        <v>3</v>
      </c>
      <c r="AG42" s="18" t="s">
        <v>65</v>
      </c>
      <c r="AI42" s="20">
        <f>SUM(B42:AG42)-SUM(J42,L42,K42,M42)</f>
        <v>38</v>
      </c>
    </row>
    <row r="43" spans="1:35" x14ac:dyDescent="0.25">
      <c r="C43" s="21"/>
      <c r="E43" s="21"/>
      <c r="G43" s="21"/>
      <c r="I43" s="21"/>
      <c r="O43" s="21"/>
      <c r="Q43" s="21"/>
      <c r="S43" s="21"/>
      <c r="U43" s="21"/>
      <c r="W43" s="21"/>
      <c r="Y43" s="21"/>
      <c r="AA43" s="21"/>
      <c r="AC43" s="21"/>
      <c r="AE43" s="21"/>
      <c r="AG43" s="21"/>
    </row>
    <row r="44" spans="1:35" ht="19.5" customHeight="1" x14ac:dyDescent="0.25">
      <c r="A44" s="73" t="s">
        <v>125</v>
      </c>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row>
    <row r="45" spans="1:35" ht="18" customHeight="1" x14ac:dyDescent="0.25">
      <c r="A45" s="6" t="s">
        <v>13</v>
      </c>
      <c r="B45" s="75" t="s">
        <v>126</v>
      </c>
      <c r="C45" s="75"/>
      <c r="D45" s="75" t="s">
        <v>127</v>
      </c>
      <c r="E45" s="75"/>
      <c r="F45" s="75" t="s">
        <v>128</v>
      </c>
      <c r="G45" s="75"/>
      <c r="H45" s="75" t="s">
        <v>129</v>
      </c>
      <c r="I45" s="75"/>
      <c r="J45" s="76" t="s">
        <v>130</v>
      </c>
      <c r="K45" s="76"/>
      <c r="L45" s="76" t="s">
        <v>131</v>
      </c>
      <c r="M45" s="76"/>
      <c r="N45" s="70" t="s">
        <v>132</v>
      </c>
      <c r="O45" s="70"/>
      <c r="P45" s="70" t="s">
        <v>133</v>
      </c>
      <c r="Q45" s="70"/>
      <c r="R45" s="70" t="s">
        <v>134</v>
      </c>
      <c r="S45" s="70"/>
      <c r="T45" s="70" t="s">
        <v>135</v>
      </c>
      <c r="U45" s="70"/>
      <c r="V45" s="70" t="s">
        <v>136</v>
      </c>
      <c r="W45" s="70"/>
      <c r="X45" s="70" t="s">
        <v>137</v>
      </c>
      <c r="Y45" s="70"/>
      <c r="Z45" s="70" t="s">
        <v>138</v>
      </c>
      <c r="AA45" s="70"/>
      <c r="AB45" s="70" t="s">
        <v>139</v>
      </c>
      <c r="AC45" s="70"/>
      <c r="AD45" s="70" t="s">
        <v>140</v>
      </c>
      <c r="AE45" s="70"/>
      <c r="AF45" s="70" t="s">
        <v>141</v>
      </c>
      <c r="AG45" s="70"/>
    </row>
    <row r="46" spans="1:35" ht="15" customHeight="1" x14ac:dyDescent="0.25">
      <c r="A46" s="7" t="s">
        <v>30</v>
      </c>
      <c r="B46" s="7" t="s">
        <v>31</v>
      </c>
      <c r="C46" s="22" t="s">
        <v>32</v>
      </c>
      <c r="D46" s="7" t="s">
        <v>31</v>
      </c>
      <c r="E46" s="22" t="s">
        <v>32</v>
      </c>
      <c r="F46" s="7" t="s">
        <v>31</v>
      </c>
      <c r="G46" s="22" t="s">
        <v>32</v>
      </c>
      <c r="H46" s="7" t="s">
        <v>31</v>
      </c>
      <c r="I46" s="22" t="s">
        <v>32</v>
      </c>
      <c r="J46" s="7" t="s">
        <v>33</v>
      </c>
      <c r="K46" s="7" t="s">
        <v>34</v>
      </c>
      <c r="L46" s="7" t="s">
        <v>33</v>
      </c>
      <c r="M46" s="7" t="s">
        <v>34</v>
      </c>
      <c r="N46" s="7" t="s">
        <v>31</v>
      </c>
      <c r="O46" s="22" t="s">
        <v>32</v>
      </c>
      <c r="P46" s="7" t="s">
        <v>31</v>
      </c>
      <c r="Q46" s="22" t="s">
        <v>32</v>
      </c>
      <c r="R46" s="7" t="s">
        <v>31</v>
      </c>
      <c r="S46" s="22" t="s">
        <v>32</v>
      </c>
      <c r="T46" s="7" t="s">
        <v>31</v>
      </c>
      <c r="U46" s="22" t="s">
        <v>32</v>
      </c>
      <c r="V46" s="7" t="s">
        <v>31</v>
      </c>
      <c r="W46" s="22" t="s">
        <v>32</v>
      </c>
      <c r="X46" s="7" t="s">
        <v>31</v>
      </c>
      <c r="Y46" s="22" t="s">
        <v>32</v>
      </c>
      <c r="Z46" s="7" t="s">
        <v>31</v>
      </c>
      <c r="AA46" s="22" t="s">
        <v>32</v>
      </c>
      <c r="AB46" s="7" t="s">
        <v>31</v>
      </c>
      <c r="AC46" s="22" t="s">
        <v>32</v>
      </c>
      <c r="AD46" s="7" t="s">
        <v>31</v>
      </c>
      <c r="AE46" s="22" t="s">
        <v>32</v>
      </c>
      <c r="AF46" s="7" t="s">
        <v>31</v>
      </c>
      <c r="AG46" s="22" t="s">
        <v>32</v>
      </c>
      <c r="AI46" s="8" t="s">
        <v>35</v>
      </c>
    </row>
    <row r="47" spans="1:35" ht="15" customHeight="1" x14ac:dyDescent="0.25">
      <c r="A47" s="9">
        <v>1</v>
      </c>
      <c r="B47" s="10"/>
      <c r="C47" s="11"/>
      <c r="D47" s="10"/>
      <c r="E47" s="11"/>
      <c r="F47" s="10"/>
      <c r="G47" s="11"/>
      <c r="H47" s="10"/>
      <c r="I47" s="11"/>
      <c r="J47" s="12" t="s">
        <v>142</v>
      </c>
      <c r="K47" s="13">
        <v>10</v>
      </c>
      <c r="L47" s="12" t="s">
        <v>143</v>
      </c>
      <c r="M47" s="13">
        <v>17</v>
      </c>
      <c r="N47" s="14" t="s">
        <v>144</v>
      </c>
      <c r="O47" s="23" t="s">
        <v>145</v>
      </c>
      <c r="P47" s="14" t="s">
        <v>146</v>
      </c>
      <c r="Q47" s="15" t="s">
        <v>147</v>
      </c>
      <c r="R47" s="14" t="s">
        <v>39</v>
      </c>
      <c r="S47" s="15" t="s">
        <v>42</v>
      </c>
      <c r="T47" s="14" t="s">
        <v>88</v>
      </c>
      <c r="U47" s="15" t="s">
        <v>148</v>
      </c>
      <c r="V47" s="14" t="s">
        <v>149</v>
      </c>
      <c r="W47" s="15" t="s">
        <v>150</v>
      </c>
      <c r="X47" s="14" t="s">
        <v>151</v>
      </c>
      <c r="Y47" s="15" t="s">
        <v>152</v>
      </c>
      <c r="Z47" s="14"/>
      <c r="AA47" s="15"/>
      <c r="AB47" s="14"/>
      <c r="AC47" s="15"/>
      <c r="AD47" s="14" t="s">
        <v>153</v>
      </c>
      <c r="AE47" s="15" t="s">
        <v>154</v>
      </c>
      <c r="AF47" s="14"/>
      <c r="AG47" s="15"/>
    </row>
    <row r="48" spans="1:35" ht="15" customHeight="1" x14ac:dyDescent="0.25">
      <c r="A48" s="9">
        <v>2</v>
      </c>
      <c r="B48" s="10"/>
      <c r="C48" s="11"/>
      <c r="D48" s="10"/>
      <c r="E48" s="11"/>
      <c r="F48" s="10"/>
      <c r="G48" s="11"/>
      <c r="H48" s="10"/>
      <c r="I48" s="11"/>
      <c r="J48" s="12"/>
      <c r="K48" s="13"/>
      <c r="L48" s="12"/>
      <c r="M48" s="13"/>
      <c r="N48" s="14"/>
      <c r="O48" s="15"/>
      <c r="P48" s="14"/>
      <c r="Q48" s="15"/>
      <c r="R48" s="14" t="s">
        <v>39</v>
      </c>
      <c r="S48" s="15" t="s">
        <v>42</v>
      </c>
      <c r="T48" s="14" t="s">
        <v>88</v>
      </c>
      <c r="U48" s="15" t="s">
        <v>155</v>
      </c>
      <c r="V48" s="14" t="s">
        <v>149</v>
      </c>
      <c r="W48" s="15" t="s">
        <v>42</v>
      </c>
      <c r="X48" s="14" t="s">
        <v>151</v>
      </c>
      <c r="Y48" s="15" t="s">
        <v>156</v>
      </c>
      <c r="Z48" s="14"/>
      <c r="AA48" s="15"/>
      <c r="AB48" s="14"/>
      <c r="AC48" s="15"/>
      <c r="AD48" s="14" t="s">
        <v>153</v>
      </c>
      <c r="AE48" s="15" t="s">
        <v>157</v>
      </c>
      <c r="AF48" s="14"/>
      <c r="AG48" s="15"/>
    </row>
    <row r="49" spans="1:35" ht="15" customHeight="1" x14ac:dyDescent="0.25">
      <c r="A49" s="9">
        <v>3</v>
      </c>
      <c r="B49" s="10"/>
      <c r="C49" s="11"/>
      <c r="D49" s="10"/>
      <c r="E49" s="11"/>
      <c r="F49" s="10"/>
      <c r="G49" s="11"/>
      <c r="H49" s="10"/>
      <c r="I49" s="11"/>
      <c r="J49" s="12"/>
      <c r="K49" s="13"/>
      <c r="L49" s="12"/>
      <c r="M49" s="13"/>
      <c r="N49" s="14"/>
      <c r="O49" s="15"/>
      <c r="P49" s="14"/>
      <c r="Q49" s="15"/>
      <c r="R49" s="14" t="s">
        <v>39</v>
      </c>
      <c r="S49" s="15" t="s">
        <v>158</v>
      </c>
      <c r="T49" s="14" t="s">
        <v>88</v>
      </c>
      <c r="U49" s="15" t="s">
        <v>159</v>
      </c>
      <c r="V49" s="14" t="s">
        <v>149</v>
      </c>
      <c r="W49" s="15" t="s">
        <v>160</v>
      </c>
      <c r="X49" s="14" t="s">
        <v>151</v>
      </c>
      <c r="Y49" s="15" t="s">
        <v>161</v>
      </c>
      <c r="Z49" s="14"/>
      <c r="AA49" s="15"/>
      <c r="AB49" s="14"/>
      <c r="AC49" s="15"/>
      <c r="AD49" s="14"/>
      <c r="AE49" s="15"/>
      <c r="AF49" s="14"/>
      <c r="AG49" s="15"/>
    </row>
    <row r="50" spans="1:35" ht="15" customHeight="1" x14ac:dyDescent="0.25">
      <c r="A50" s="9">
        <v>4</v>
      </c>
      <c r="B50" s="10"/>
      <c r="C50" s="11"/>
      <c r="D50" s="10"/>
      <c r="E50" s="11"/>
      <c r="F50" s="10"/>
      <c r="G50" s="11"/>
      <c r="H50" s="10"/>
      <c r="I50" s="11"/>
      <c r="J50" s="12"/>
      <c r="K50" s="13"/>
      <c r="L50" s="12"/>
      <c r="M50" s="13"/>
      <c r="N50" s="14"/>
      <c r="O50" s="15"/>
      <c r="P50" s="14"/>
      <c r="Q50" s="15"/>
      <c r="R50" s="14" t="s">
        <v>39</v>
      </c>
      <c r="S50" s="15" t="s">
        <v>162</v>
      </c>
      <c r="T50" s="14" t="s">
        <v>88</v>
      </c>
      <c r="U50" s="15" t="s">
        <v>163</v>
      </c>
      <c r="V50" s="14" t="s">
        <v>149</v>
      </c>
      <c r="W50" s="15" t="s">
        <v>164</v>
      </c>
      <c r="X50" s="14" t="s">
        <v>151</v>
      </c>
      <c r="Y50" s="15" t="s">
        <v>165</v>
      </c>
      <c r="Z50" s="14"/>
      <c r="AA50" s="15"/>
      <c r="AB50" s="14"/>
      <c r="AC50" s="15"/>
      <c r="AD50" s="14"/>
      <c r="AE50" s="15"/>
      <c r="AF50" s="14"/>
      <c r="AG50" s="15"/>
    </row>
    <row r="51" spans="1:35" ht="15" customHeight="1" x14ac:dyDescent="0.25">
      <c r="A51" s="9">
        <v>5</v>
      </c>
      <c r="B51" s="10"/>
      <c r="C51" s="11"/>
      <c r="D51" s="10"/>
      <c r="E51" s="11"/>
      <c r="F51" s="10"/>
      <c r="G51" s="11"/>
      <c r="H51" s="10"/>
      <c r="I51" s="11"/>
      <c r="J51" s="12"/>
      <c r="K51" s="13"/>
      <c r="L51" s="12"/>
      <c r="M51" s="13"/>
      <c r="N51" s="14"/>
      <c r="O51" s="15"/>
      <c r="P51" s="14"/>
      <c r="Q51" s="15"/>
      <c r="R51" s="14" t="s">
        <v>39</v>
      </c>
      <c r="S51" s="15" t="s">
        <v>166</v>
      </c>
      <c r="T51" s="14" t="s">
        <v>88</v>
      </c>
      <c r="U51" s="15" t="s">
        <v>167</v>
      </c>
      <c r="V51" s="14" t="s">
        <v>149</v>
      </c>
      <c r="W51" s="15" t="s">
        <v>168</v>
      </c>
      <c r="X51" s="14" t="s">
        <v>151</v>
      </c>
      <c r="Y51" s="15" t="s">
        <v>169</v>
      </c>
      <c r="Z51" s="14"/>
      <c r="AA51" s="15"/>
      <c r="AB51" s="14"/>
      <c r="AC51" s="15"/>
      <c r="AD51" s="14"/>
      <c r="AE51" s="15"/>
      <c r="AF51" s="14"/>
      <c r="AG51" s="15"/>
    </row>
    <row r="52" spans="1:35" ht="15" customHeight="1" x14ac:dyDescent="0.25">
      <c r="A52" s="9">
        <v>6</v>
      </c>
      <c r="B52" s="10"/>
      <c r="C52" s="11"/>
      <c r="D52" s="10"/>
      <c r="E52" s="11"/>
      <c r="F52" s="10"/>
      <c r="G52" s="11"/>
      <c r="H52" s="10"/>
      <c r="I52" s="11"/>
      <c r="J52" s="12"/>
      <c r="K52" s="13"/>
      <c r="L52" s="12"/>
      <c r="M52" s="13"/>
      <c r="N52" s="14"/>
      <c r="O52" s="15"/>
      <c r="P52" s="14"/>
      <c r="Q52" s="15"/>
      <c r="R52" s="14" t="s">
        <v>39</v>
      </c>
      <c r="S52" s="15" t="s">
        <v>42</v>
      </c>
      <c r="T52" s="14" t="s">
        <v>88</v>
      </c>
      <c r="U52" s="15" t="s">
        <v>170</v>
      </c>
      <c r="V52" s="14" t="s">
        <v>149</v>
      </c>
      <c r="W52" s="15" t="s">
        <v>171</v>
      </c>
      <c r="X52" s="14" t="s">
        <v>151</v>
      </c>
      <c r="Y52" s="15" t="s">
        <v>172</v>
      </c>
      <c r="Z52" s="14"/>
      <c r="AA52" s="15"/>
      <c r="AB52" s="14"/>
      <c r="AC52" s="15"/>
      <c r="AD52" s="14"/>
      <c r="AE52" s="15"/>
      <c r="AF52" s="14"/>
      <c r="AG52" s="15"/>
    </row>
    <row r="53" spans="1:35" ht="15" customHeight="1" x14ac:dyDescent="0.25">
      <c r="A53" s="9">
        <v>7</v>
      </c>
      <c r="B53" s="10"/>
      <c r="C53" s="11"/>
      <c r="D53" s="10"/>
      <c r="E53" s="11"/>
      <c r="F53" s="10"/>
      <c r="G53" s="11"/>
      <c r="H53" s="10"/>
      <c r="I53" s="11"/>
      <c r="J53" s="12"/>
      <c r="K53" s="13"/>
      <c r="L53" s="12"/>
      <c r="M53" s="13"/>
      <c r="N53" s="14"/>
      <c r="O53" s="15"/>
      <c r="P53" s="14"/>
      <c r="Q53" s="15"/>
      <c r="R53" s="14" t="s">
        <v>39</v>
      </c>
      <c r="S53" s="15" t="s">
        <v>42</v>
      </c>
      <c r="T53" s="14" t="s">
        <v>88</v>
      </c>
      <c r="U53" s="15" t="s">
        <v>173</v>
      </c>
      <c r="V53" s="14" t="s">
        <v>149</v>
      </c>
      <c r="W53" s="15" t="s">
        <v>174</v>
      </c>
      <c r="X53" s="14" t="s">
        <v>151</v>
      </c>
      <c r="Y53" s="15" t="s">
        <v>175</v>
      </c>
      <c r="Z53" s="14"/>
      <c r="AA53" s="15"/>
      <c r="AB53" s="14"/>
      <c r="AC53" s="15"/>
      <c r="AD53" s="14"/>
      <c r="AE53" s="15"/>
      <c r="AF53" s="14"/>
      <c r="AG53" s="15"/>
    </row>
    <row r="54" spans="1:35" ht="15" customHeight="1" x14ac:dyDescent="0.25">
      <c r="A54" s="9">
        <v>8</v>
      </c>
      <c r="B54" s="10"/>
      <c r="C54" s="11"/>
      <c r="D54" s="10"/>
      <c r="E54" s="11"/>
      <c r="F54" s="10"/>
      <c r="G54" s="11"/>
      <c r="H54" s="10"/>
      <c r="I54" s="11"/>
      <c r="J54" s="12"/>
      <c r="K54" s="13"/>
      <c r="L54" s="12"/>
      <c r="M54" s="13"/>
      <c r="N54" s="14"/>
      <c r="O54" s="15"/>
      <c r="P54" s="14"/>
      <c r="Q54" s="15"/>
      <c r="R54" s="14" t="s">
        <v>39</v>
      </c>
      <c r="S54" s="15" t="s">
        <v>42</v>
      </c>
      <c r="T54" s="14" t="s">
        <v>88</v>
      </c>
      <c r="U54" s="15" t="s">
        <v>176</v>
      </c>
      <c r="V54" s="14"/>
      <c r="W54" s="15"/>
      <c r="X54" s="14" t="s">
        <v>151</v>
      </c>
      <c r="Y54" s="15" t="s">
        <v>177</v>
      </c>
      <c r="Z54" s="14"/>
      <c r="AA54" s="15"/>
      <c r="AB54" s="14"/>
      <c r="AC54" s="15"/>
      <c r="AD54" s="14"/>
      <c r="AE54" s="15"/>
      <c r="AF54" s="14"/>
      <c r="AG54" s="15"/>
    </row>
    <row r="55" spans="1:35" ht="15" customHeight="1" x14ac:dyDescent="0.25">
      <c r="A55" s="9">
        <v>9</v>
      </c>
      <c r="B55" s="10"/>
      <c r="C55" s="11"/>
      <c r="D55" s="10"/>
      <c r="E55" s="11"/>
      <c r="F55" s="10"/>
      <c r="G55" s="11"/>
      <c r="H55" s="10"/>
      <c r="I55" s="11"/>
      <c r="J55" s="12"/>
      <c r="K55" s="13"/>
      <c r="L55" s="12"/>
      <c r="M55" s="13"/>
      <c r="N55" s="14"/>
      <c r="O55" s="15"/>
      <c r="P55" s="14"/>
      <c r="Q55" s="15"/>
      <c r="R55" s="14" t="s">
        <v>39</v>
      </c>
      <c r="S55" s="15" t="s">
        <v>178</v>
      </c>
      <c r="T55" s="14" t="s">
        <v>88</v>
      </c>
      <c r="U55" s="15" t="s">
        <v>179</v>
      </c>
      <c r="V55" s="14"/>
      <c r="W55" s="15"/>
      <c r="X55" s="14"/>
      <c r="Y55" s="15"/>
      <c r="Z55" s="14"/>
      <c r="AA55" s="15"/>
      <c r="AB55" s="14"/>
      <c r="AC55" s="15"/>
      <c r="AD55" s="14"/>
      <c r="AE55" s="15"/>
      <c r="AF55" s="14"/>
      <c r="AG55" s="15"/>
    </row>
    <row r="56" spans="1:35" ht="15" customHeight="1" x14ac:dyDescent="0.25">
      <c r="A56" s="9">
        <v>10</v>
      </c>
      <c r="B56" s="10"/>
      <c r="C56" s="11"/>
      <c r="D56" s="10"/>
      <c r="E56" s="11"/>
      <c r="F56" s="10"/>
      <c r="G56" s="11"/>
      <c r="H56" s="10"/>
      <c r="I56" s="11"/>
      <c r="J56" s="12"/>
      <c r="K56" s="13"/>
      <c r="L56" s="12"/>
      <c r="M56" s="13"/>
      <c r="N56" s="14"/>
      <c r="O56" s="15"/>
      <c r="P56" s="14"/>
      <c r="Q56" s="15"/>
      <c r="R56" s="14" t="s">
        <v>39</v>
      </c>
      <c r="S56" s="15" t="s">
        <v>180</v>
      </c>
      <c r="T56" s="14" t="s">
        <v>88</v>
      </c>
      <c r="U56" s="15" t="s">
        <v>42</v>
      </c>
      <c r="V56" s="14"/>
      <c r="W56" s="15"/>
      <c r="X56" s="14"/>
      <c r="Y56" s="15"/>
      <c r="Z56" s="14"/>
      <c r="AA56" s="15"/>
      <c r="AB56" s="14"/>
      <c r="AC56" s="15"/>
      <c r="AD56" s="14"/>
      <c r="AE56" s="15"/>
      <c r="AF56" s="14"/>
      <c r="AG56" s="15"/>
    </row>
    <row r="57" spans="1:35" ht="15" customHeight="1" x14ac:dyDescent="0.25">
      <c r="A57" s="9">
        <v>11</v>
      </c>
      <c r="B57" s="10"/>
      <c r="C57" s="11"/>
      <c r="D57" s="10"/>
      <c r="E57" s="11"/>
      <c r="F57" s="10"/>
      <c r="G57" s="11"/>
      <c r="H57" s="10"/>
      <c r="I57" s="11"/>
      <c r="J57" s="12"/>
      <c r="K57" s="13"/>
      <c r="L57" s="12"/>
      <c r="M57" s="13"/>
      <c r="N57" s="14"/>
      <c r="O57" s="15"/>
      <c r="P57" s="14"/>
      <c r="Q57" s="15"/>
      <c r="R57" s="14" t="s">
        <v>39</v>
      </c>
      <c r="S57" s="15" t="s">
        <v>181</v>
      </c>
      <c r="T57" s="14"/>
      <c r="U57" s="15"/>
      <c r="V57" s="14"/>
      <c r="W57" s="15"/>
      <c r="X57" s="14"/>
      <c r="Y57" s="15"/>
      <c r="Z57" s="14"/>
      <c r="AA57" s="15"/>
      <c r="AB57" s="14"/>
      <c r="AC57" s="15"/>
      <c r="AD57" s="14"/>
      <c r="AE57" s="15"/>
      <c r="AF57" s="14"/>
      <c r="AG57" s="15"/>
    </row>
    <row r="58" spans="1:35" ht="15" customHeight="1" x14ac:dyDescent="0.25">
      <c r="A58" s="9">
        <v>12</v>
      </c>
      <c r="B58" s="10"/>
      <c r="C58" s="11"/>
      <c r="D58" s="10"/>
      <c r="E58" s="11"/>
      <c r="F58" s="10"/>
      <c r="G58" s="11"/>
      <c r="H58" s="10"/>
      <c r="I58" s="11"/>
      <c r="J58" s="12"/>
      <c r="K58" s="13"/>
      <c r="L58" s="12"/>
      <c r="M58" s="13"/>
      <c r="N58" s="14"/>
      <c r="O58" s="15"/>
      <c r="P58" s="14"/>
      <c r="Q58" s="15"/>
      <c r="R58" s="14"/>
      <c r="S58" s="15"/>
      <c r="T58" s="14"/>
      <c r="U58" s="15"/>
      <c r="V58" s="14"/>
      <c r="W58" s="15"/>
      <c r="X58" s="14"/>
      <c r="Y58" s="15"/>
      <c r="Z58" s="14"/>
      <c r="AA58" s="15"/>
      <c r="AB58" s="14"/>
      <c r="AC58" s="15"/>
      <c r="AD58" s="14"/>
      <c r="AE58" s="15"/>
      <c r="AF58" s="14"/>
      <c r="AG58" s="15"/>
    </row>
    <row r="59" spans="1:35" ht="16.5" customHeight="1" x14ac:dyDescent="0.25">
      <c r="A59" s="16" t="s">
        <v>64</v>
      </c>
      <c r="B59" s="17">
        <f>COUNTA(B47:B58)</f>
        <v>0</v>
      </c>
      <c r="C59" s="18" t="s">
        <v>65</v>
      </c>
      <c r="D59" s="17">
        <f>COUNTA(D47:D58)</f>
        <v>0</v>
      </c>
      <c r="E59" s="18" t="s">
        <v>65</v>
      </c>
      <c r="F59" s="17">
        <f>COUNTA(F47:F58)</f>
        <v>0</v>
      </c>
      <c r="G59" s="18" t="s">
        <v>65</v>
      </c>
      <c r="H59" s="17">
        <f>COUNTA(H47:H58)</f>
        <v>0</v>
      </c>
      <c r="I59" s="18" t="s">
        <v>65</v>
      </c>
      <c r="J59" s="17">
        <f>COUNTA(J47:J58)</f>
        <v>1</v>
      </c>
      <c r="K59" s="19">
        <f>SUM(K47:K58)</f>
        <v>10</v>
      </c>
      <c r="L59" s="17">
        <f>COUNTA(L47:L58)</f>
        <v>1</v>
      </c>
      <c r="M59" s="19">
        <f>SUM(M47:M58)</f>
        <v>17</v>
      </c>
      <c r="N59" s="17">
        <f>COUNTA(N47:N58)</f>
        <v>1</v>
      </c>
      <c r="O59" s="18" t="s">
        <v>65</v>
      </c>
      <c r="P59" s="17">
        <f>COUNTA(P47:P58)</f>
        <v>1</v>
      </c>
      <c r="Q59" s="18" t="s">
        <v>65</v>
      </c>
      <c r="R59" s="17">
        <f>COUNTA(R47:R58)</f>
        <v>11</v>
      </c>
      <c r="S59" s="18" t="s">
        <v>65</v>
      </c>
      <c r="T59" s="17">
        <f>COUNTA(T47:T58)</f>
        <v>10</v>
      </c>
      <c r="U59" s="18" t="s">
        <v>65</v>
      </c>
      <c r="V59" s="17">
        <f>COUNTA(V47:V58)</f>
        <v>7</v>
      </c>
      <c r="W59" s="18" t="s">
        <v>65</v>
      </c>
      <c r="X59" s="17">
        <f>COUNTA(X47:X58)</f>
        <v>8</v>
      </c>
      <c r="Y59" s="18" t="s">
        <v>65</v>
      </c>
      <c r="Z59" s="17">
        <f>COUNTA(Z47:Z58)</f>
        <v>0</v>
      </c>
      <c r="AA59" s="18" t="s">
        <v>65</v>
      </c>
      <c r="AB59" s="17">
        <f>COUNTA(AB47:AB58)</f>
        <v>0</v>
      </c>
      <c r="AC59" s="18" t="s">
        <v>65</v>
      </c>
      <c r="AD59" s="17">
        <f>COUNTA(AD47:AD58)</f>
        <v>2</v>
      </c>
      <c r="AE59" s="18" t="s">
        <v>65</v>
      </c>
      <c r="AF59" s="17">
        <f>COUNTA(AF47:AF58)</f>
        <v>0</v>
      </c>
      <c r="AG59" s="18" t="s">
        <v>65</v>
      </c>
      <c r="AI59" s="20">
        <f>SUM(B59:AG59)-SUM(J59,L59,K59,M59)</f>
        <v>40</v>
      </c>
    </row>
    <row r="60" spans="1:35" x14ac:dyDescent="0.25">
      <c r="C60" s="21"/>
      <c r="E60" s="21"/>
      <c r="G60" s="21"/>
      <c r="I60" s="21"/>
      <c r="O60" s="21"/>
      <c r="Q60" s="21"/>
      <c r="S60" s="21"/>
      <c r="U60" s="21"/>
      <c r="W60" s="21"/>
      <c r="Y60" s="21"/>
      <c r="AA60" s="21"/>
      <c r="AC60" s="21"/>
      <c r="AE60" s="21"/>
      <c r="AG60" s="21"/>
    </row>
    <row r="61" spans="1:35" ht="19.5" customHeight="1" x14ac:dyDescent="0.25">
      <c r="A61" s="73" t="s">
        <v>182</v>
      </c>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row>
    <row r="62" spans="1:35" ht="18" customHeight="1" x14ac:dyDescent="0.25">
      <c r="A62" s="6" t="s">
        <v>13</v>
      </c>
      <c r="B62" s="75" t="s">
        <v>183</v>
      </c>
      <c r="C62" s="75"/>
      <c r="D62" s="75" t="s">
        <v>184</v>
      </c>
      <c r="E62" s="75"/>
      <c r="F62" s="75" t="s">
        <v>185</v>
      </c>
      <c r="G62" s="75"/>
      <c r="H62" s="75" t="s">
        <v>186</v>
      </c>
      <c r="I62" s="75"/>
      <c r="J62" s="76" t="s">
        <v>187</v>
      </c>
      <c r="K62" s="76"/>
      <c r="L62" s="76" t="s">
        <v>188</v>
      </c>
      <c r="M62" s="76"/>
      <c r="N62" s="70" t="s">
        <v>189</v>
      </c>
      <c r="O62" s="70"/>
      <c r="P62" s="70" t="s">
        <v>190</v>
      </c>
      <c r="Q62" s="70"/>
      <c r="R62" s="70" t="s">
        <v>191</v>
      </c>
      <c r="S62" s="70"/>
      <c r="T62" s="70" t="s">
        <v>192</v>
      </c>
      <c r="U62" s="70"/>
      <c r="V62" s="70" t="s">
        <v>193</v>
      </c>
      <c r="W62" s="70"/>
      <c r="X62" s="70" t="s">
        <v>194</v>
      </c>
      <c r="Y62" s="70"/>
      <c r="Z62" s="70" t="s">
        <v>195</v>
      </c>
      <c r="AA62" s="70"/>
      <c r="AB62" s="70" t="s">
        <v>196</v>
      </c>
      <c r="AC62" s="70"/>
      <c r="AD62" s="70" t="s">
        <v>197</v>
      </c>
      <c r="AE62" s="70"/>
      <c r="AF62" s="70" t="s">
        <v>198</v>
      </c>
      <c r="AG62" s="70"/>
    </row>
    <row r="63" spans="1:35" ht="15" customHeight="1" x14ac:dyDescent="0.25">
      <c r="A63" s="7" t="s">
        <v>30</v>
      </c>
      <c r="B63" s="7" t="s">
        <v>31</v>
      </c>
      <c r="C63" s="22" t="s">
        <v>32</v>
      </c>
      <c r="D63" s="7" t="s">
        <v>31</v>
      </c>
      <c r="E63" s="22" t="s">
        <v>32</v>
      </c>
      <c r="F63" s="7" t="s">
        <v>31</v>
      </c>
      <c r="G63" s="22" t="s">
        <v>32</v>
      </c>
      <c r="H63" s="7" t="s">
        <v>31</v>
      </c>
      <c r="I63" s="22" t="s">
        <v>32</v>
      </c>
      <c r="J63" s="7" t="s">
        <v>33</v>
      </c>
      <c r="K63" s="7" t="s">
        <v>34</v>
      </c>
      <c r="L63" s="7" t="s">
        <v>33</v>
      </c>
      <c r="M63" s="7" t="s">
        <v>34</v>
      </c>
      <c r="N63" s="7" t="s">
        <v>31</v>
      </c>
      <c r="O63" s="22" t="s">
        <v>32</v>
      </c>
      <c r="P63" s="7" t="s">
        <v>31</v>
      </c>
      <c r="Q63" s="22" t="s">
        <v>32</v>
      </c>
      <c r="R63" s="7" t="s">
        <v>31</v>
      </c>
      <c r="S63" s="22" t="s">
        <v>32</v>
      </c>
      <c r="T63" s="7" t="s">
        <v>31</v>
      </c>
      <c r="U63" s="22" t="s">
        <v>32</v>
      </c>
      <c r="V63" s="7" t="s">
        <v>31</v>
      </c>
      <c r="W63" s="22" t="s">
        <v>32</v>
      </c>
      <c r="X63" s="7" t="s">
        <v>31</v>
      </c>
      <c r="Y63" s="22" t="s">
        <v>32</v>
      </c>
      <c r="Z63" s="7" t="s">
        <v>31</v>
      </c>
      <c r="AA63" s="22" t="s">
        <v>32</v>
      </c>
      <c r="AB63" s="7" t="s">
        <v>31</v>
      </c>
      <c r="AC63" s="22" t="s">
        <v>32</v>
      </c>
      <c r="AD63" s="7" t="s">
        <v>31</v>
      </c>
      <c r="AE63" s="22" t="s">
        <v>32</v>
      </c>
      <c r="AF63" s="7" t="s">
        <v>31</v>
      </c>
      <c r="AG63" s="22" t="s">
        <v>32</v>
      </c>
      <c r="AI63" s="8" t="s">
        <v>35</v>
      </c>
    </row>
    <row r="64" spans="1:35" ht="15" customHeight="1" x14ac:dyDescent="0.25">
      <c r="A64" s="9">
        <v>1</v>
      </c>
      <c r="B64" s="10"/>
      <c r="C64" s="11"/>
      <c r="D64" s="10"/>
      <c r="E64" s="11"/>
      <c r="F64" s="10"/>
      <c r="G64" s="11"/>
      <c r="H64" s="10" t="s">
        <v>199</v>
      </c>
      <c r="I64" s="11" t="s">
        <v>200</v>
      </c>
      <c r="J64" s="12" t="s">
        <v>201</v>
      </c>
      <c r="K64" s="13">
        <v>36</v>
      </c>
      <c r="L64" s="12" t="s">
        <v>202</v>
      </c>
      <c r="M64" s="13">
        <v>33</v>
      </c>
      <c r="N64" s="14" t="s">
        <v>203</v>
      </c>
      <c r="O64" s="23" t="s">
        <v>204</v>
      </c>
      <c r="P64" s="14" t="s">
        <v>205</v>
      </c>
      <c r="Q64" s="15" t="s">
        <v>206</v>
      </c>
      <c r="R64" s="14" t="s">
        <v>207</v>
      </c>
      <c r="S64" s="15" t="s">
        <v>42</v>
      </c>
      <c r="T64" s="14" t="s">
        <v>208</v>
      </c>
      <c r="U64" s="15" t="s">
        <v>209</v>
      </c>
      <c r="V64" s="14" t="s">
        <v>149</v>
      </c>
      <c r="W64" s="15" t="s">
        <v>210</v>
      </c>
      <c r="X64" s="14" t="s">
        <v>211</v>
      </c>
      <c r="Y64" s="15" t="s">
        <v>212</v>
      </c>
      <c r="Z64" s="14" t="s">
        <v>213</v>
      </c>
      <c r="AA64" s="15" t="s">
        <v>214</v>
      </c>
      <c r="AB64" s="14" t="s">
        <v>215</v>
      </c>
      <c r="AC64" s="15" t="s">
        <v>216</v>
      </c>
      <c r="AD64" s="14" t="s">
        <v>153</v>
      </c>
      <c r="AE64" s="15" t="s">
        <v>42</v>
      </c>
      <c r="AF64" s="14" t="s">
        <v>153</v>
      </c>
      <c r="AG64" s="15" t="s">
        <v>42</v>
      </c>
    </row>
    <row r="65" spans="1:35" ht="15" customHeight="1" x14ac:dyDescent="0.25">
      <c r="A65" s="9">
        <v>2</v>
      </c>
      <c r="B65" s="10"/>
      <c r="C65" s="11"/>
      <c r="D65" s="10"/>
      <c r="E65" s="11"/>
      <c r="F65" s="10"/>
      <c r="G65" s="11"/>
      <c r="H65" s="10" t="s">
        <v>199</v>
      </c>
      <c r="I65" s="11" t="s">
        <v>217</v>
      </c>
      <c r="J65" s="12" t="s">
        <v>218</v>
      </c>
      <c r="K65" s="13">
        <v>26</v>
      </c>
      <c r="L65" s="12"/>
      <c r="M65" s="13"/>
      <c r="N65" s="14"/>
      <c r="O65" s="15"/>
      <c r="P65" s="14"/>
      <c r="Q65" s="15"/>
      <c r="R65" s="14" t="s">
        <v>207</v>
      </c>
      <c r="S65" s="15" t="s">
        <v>42</v>
      </c>
      <c r="T65" s="14" t="s">
        <v>208</v>
      </c>
      <c r="U65" s="15" t="s">
        <v>219</v>
      </c>
      <c r="V65" s="14" t="s">
        <v>149</v>
      </c>
      <c r="W65" s="15" t="s">
        <v>220</v>
      </c>
      <c r="X65" s="14" t="s">
        <v>211</v>
      </c>
      <c r="Y65" s="15" t="s">
        <v>221</v>
      </c>
      <c r="Z65" s="14" t="s">
        <v>222</v>
      </c>
      <c r="AA65" s="15" t="s">
        <v>223</v>
      </c>
      <c r="AB65" s="14" t="s">
        <v>224</v>
      </c>
      <c r="AC65" s="15" t="s">
        <v>225</v>
      </c>
      <c r="AD65" s="14" t="s">
        <v>153</v>
      </c>
      <c r="AE65" s="15" t="s">
        <v>42</v>
      </c>
      <c r="AF65" s="14" t="s">
        <v>153</v>
      </c>
      <c r="AG65" s="15" t="s">
        <v>42</v>
      </c>
    </row>
    <row r="66" spans="1:35" ht="15" customHeight="1" x14ac:dyDescent="0.25">
      <c r="A66" s="9">
        <v>3</v>
      </c>
      <c r="B66" s="10"/>
      <c r="C66" s="11"/>
      <c r="D66" s="10"/>
      <c r="E66" s="11"/>
      <c r="F66" s="10"/>
      <c r="G66" s="11"/>
      <c r="H66" s="10"/>
      <c r="I66" s="11"/>
      <c r="J66" s="12"/>
      <c r="K66" s="13"/>
      <c r="L66" s="12"/>
      <c r="M66" s="13"/>
      <c r="N66" s="14"/>
      <c r="O66" s="15"/>
      <c r="P66" s="14"/>
      <c r="Q66" s="15"/>
      <c r="R66" s="14" t="s">
        <v>207</v>
      </c>
      <c r="S66" s="15" t="s">
        <v>226</v>
      </c>
      <c r="T66" s="14" t="s">
        <v>227</v>
      </c>
      <c r="U66" s="15" t="s">
        <v>228</v>
      </c>
      <c r="V66" s="14" t="s">
        <v>149</v>
      </c>
      <c r="W66" s="15" t="s">
        <v>229</v>
      </c>
      <c r="X66" s="14" t="s">
        <v>211</v>
      </c>
      <c r="Y66" s="15" t="s">
        <v>230</v>
      </c>
      <c r="Z66" s="14" t="s">
        <v>222</v>
      </c>
      <c r="AA66" s="15" t="s">
        <v>231</v>
      </c>
      <c r="AB66" s="14" t="s">
        <v>232</v>
      </c>
      <c r="AC66" s="15" t="s">
        <v>233</v>
      </c>
      <c r="AD66" s="14"/>
      <c r="AE66" s="15"/>
      <c r="AF66" s="14"/>
      <c r="AG66" s="15"/>
    </row>
    <row r="67" spans="1:35" ht="15" customHeight="1" x14ac:dyDescent="0.25">
      <c r="A67" s="9">
        <v>4</v>
      </c>
      <c r="B67" s="10"/>
      <c r="C67" s="11"/>
      <c r="D67" s="10"/>
      <c r="E67" s="11"/>
      <c r="F67" s="10"/>
      <c r="G67" s="11"/>
      <c r="H67" s="10"/>
      <c r="I67" s="11"/>
      <c r="J67" s="12"/>
      <c r="K67" s="13"/>
      <c r="L67" s="12"/>
      <c r="M67" s="13"/>
      <c r="N67" s="14"/>
      <c r="O67" s="15"/>
      <c r="P67" s="14"/>
      <c r="Q67" s="15"/>
      <c r="R67" s="14" t="s">
        <v>207</v>
      </c>
      <c r="S67" s="15" t="s">
        <v>234</v>
      </c>
      <c r="T67" s="14" t="s">
        <v>227</v>
      </c>
      <c r="U67" s="15" t="s">
        <v>235</v>
      </c>
      <c r="V67" s="14" t="s">
        <v>149</v>
      </c>
      <c r="W67" s="15" t="s">
        <v>236</v>
      </c>
      <c r="X67" s="14" t="s">
        <v>211</v>
      </c>
      <c r="Y67" s="15" t="s">
        <v>237</v>
      </c>
      <c r="Z67" s="14"/>
      <c r="AA67" s="15"/>
      <c r="AB67" s="14"/>
      <c r="AC67" s="15"/>
      <c r="AD67" s="14"/>
      <c r="AE67" s="15"/>
      <c r="AF67" s="14"/>
      <c r="AG67" s="15"/>
    </row>
    <row r="68" spans="1:35" ht="15" customHeight="1" x14ac:dyDescent="0.25">
      <c r="A68" s="9">
        <v>5</v>
      </c>
      <c r="B68" s="10"/>
      <c r="C68" s="11"/>
      <c r="D68" s="10"/>
      <c r="E68" s="11"/>
      <c r="F68" s="10"/>
      <c r="G68" s="11"/>
      <c r="H68" s="10"/>
      <c r="I68" s="11"/>
      <c r="J68" s="12"/>
      <c r="K68" s="13"/>
      <c r="L68" s="12"/>
      <c r="M68" s="13"/>
      <c r="N68" s="14"/>
      <c r="O68" s="15"/>
      <c r="P68" s="14"/>
      <c r="Q68" s="15"/>
      <c r="R68" s="14" t="s">
        <v>238</v>
      </c>
      <c r="S68" s="15" t="s">
        <v>239</v>
      </c>
      <c r="T68" s="14" t="s">
        <v>227</v>
      </c>
      <c r="U68" s="15" t="s">
        <v>240</v>
      </c>
      <c r="V68" s="14"/>
      <c r="W68" s="15"/>
      <c r="X68" s="14" t="s">
        <v>241</v>
      </c>
      <c r="Y68" s="15" t="s">
        <v>242</v>
      </c>
      <c r="Z68" s="14"/>
      <c r="AA68" s="15"/>
      <c r="AB68" s="14"/>
      <c r="AC68" s="15"/>
      <c r="AD68" s="14"/>
      <c r="AE68" s="15"/>
      <c r="AF68" s="14"/>
      <c r="AG68" s="15"/>
    </row>
    <row r="69" spans="1:35" ht="15" customHeight="1" x14ac:dyDescent="0.25">
      <c r="A69" s="9">
        <v>6</v>
      </c>
      <c r="B69" s="10"/>
      <c r="C69" s="11"/>
      <c r="D69" s="10"/>
      <c r="E69" s="11"/>
      <c r="F69" s="10"/>
      <c r="G69" s="11"/>
      <c r="H69" s="10"/>
      <c r="I69" s="11"/>
      <c r="J69" s="12"/>
      <c r="K69" s="13"/>
      <c r="L69" s="12"/>
      <c r="M69" s="13"/>
      <c r="N69" s="14"/>
      <c r="O69" s="15"/>
      <c r="P69" s="14"/>
      <c r="Q69" s="15"/>
      <c r="R69" s="14"/>
      <c r="S69" s="15"/>
      <c r="T69" s="14" t="s">
        <v>227</v>
      </c>
      <c r="U69" s="15" t="s">
        <v>243</v>
      </c>
      <c r="V69" s="14"/>
      <c r="W69" s="15"/>
      <c r="X69" s="14"/>
      <c r="Y69" s="15"/>
      <c r="Z69" s="14"/>
      <c r="AA69" s="15"/>
      <c r="AB69" s="14"/>
      <c r="AC69" s="15"/>
      <c r="AD69" s="14"/>
      <c r="AE69" s="15"/>
      <c r="AF69" s="14"/>
      <c r="AG69" s="15"/>
    </row>
    <row r="70" spans="1:35" ht="15" customHeight="1" x14ac:dyDescent="0.25">
      <c r="A70" s="9">
        <v>7</v>
      </c>
      <c r="B70" s="10"/>
      <c r="C70" s="11"/>
      <c r="D70" s="10"/>
      <c r="E70" s="11"/>
      <c r="F70" s="10"/>
      <c r="G70" s="11"/>
      <c r="H70" s="10"/>
      <c r="I70" s="11"/>
      <c r="J70" s="12"/>
      <c r="K70" s="13"/>
      <c r="L70" s="12"/>
      <c r="M70" s="13"/>
      <c r="N70" s="14"/>
      <c r="O70" s="15"/>
      <c r="P70" s="14"/>
      <c r="Q70" s="15"/>
      <c r="R70" s="14"/>
      <c r="S70" s="15"/>
      <c r="T70" s="14" t="s">
        <v>227</v>
      </c>
      <c r="U70" s="15" t="s">
        <v>244</v>
      </c>
      <c r="V70" s="14"/>
      <c r="W70" s="15"/>
      <c r="X70" s="14"/>
      <c r="Y70" s="15"/>
      <c r="Z70" s="14"/>
      <c r="AA70" s="15"/>
      <c r="AB70" s="14"/>
      <c r="AC70" s="15"/>
      <c r="AD70" s="14"/>
      <c r="AE70" s="15"/>
      <c r="AF70" s="14"/>
      <c r="AG70" s="15"/>
    </row>
    <row r="71" spans="1:35" ht="15" customHeight="1" x14ac:dyDescent="0.25">
      <c r="A71" s="9">
        <v>8</v>
      </c>
      <c r="B71" s="10"/>
      <c r="C71" s="11"/>
      <c r="D71" s="10"/>
      <c r="E71" s="11"/>
      <c r="F71" s="10"/>
      <c r="G71" s="11"/>
      <c r="H71" s="10"/>
      <c r="I71" s="11"/>
      <c r="J71" s="12"/>
      <c r="K71" s="13"/>
      <c r="L71" s="12"/>
      <c r="M71" s="13"/>
      <c r="N71" s="14"/>
      <c r="O71" s="15"/>
      <c r="P71" s="14"/>
      <c r="Q71" s="15"/>
      <c r="R71" s="14"/>
      <c r="S71" s="15"/>
      <c r="T71" s="14" t="s">
        <v>227</v>
      </c>
      <c r="U71" s="15" t="s">
        <v>245</v>
      </c>
      <c r="V71" s="14"/>
      <c r="W71" s="15"/>
      <c r="X71" s="14"/>
      <c r="Y71" s="15"/>
      <c r="Z71" s="14"/>
      <c r="AA71" s="15"/>
      <c r="AB71" s="14"/>
      <c r="AC71" s="15"/>
      <c r="AD71" s="14"/>
      <c r="AE71" s="15"/>
      <c r="AF71" s="14"/>
      <c r="AG71" s="15"/>
    </row>
    <row r="72" spans="1:35" ht="15" customHeight="1" x14ac:dyDescent="0.25">
      <c r="A72" s="9">
        <v>9</v>
      </c>
      <c r="B72" s="10"/>
      <c r="C72" s="11"/>
      <c r="D72" s="10"/>
      <c r="E72" s="11"/>
      <c r="F72" s="10"/>
      <c r="G72" s="11"/>
      <c r="H72" s="10"/>
      <c r="I72" s="11"/>
      <c r="J72" s="12"/>
      <c r="K72" s="13"/>
      <c r="L72" s="12"/>
      <c r="M72" s="13"/>
      <c r="N72" s="14"/>
      <c r="O72" s="15"/>
      <c r="P72" s="14"/>
      <c r="Q72" s="15"/>
      <c r="R72" s="14"/>
      <c r="S72" s="15"/>
      <c r="T72" s="14" t="s">
        <v>246</v>
      </c>
      <c r="U72" s="15" t="s">
        <v>247</v>
      </c>
      <c r="V72" s="14"/>
      <c r="W72" s="15"/>
      <c r="X72" s="14"/>
      <c r="Y72" s="15"/>
      <c r="Z72" s="14"/>
      <c r="AA72" s="15"/>
      <c r="AB72" s="14"/>
      <c r="AC72" s="15"/>
      <c r="AD72" s="14"/>
      <c r="AE72" s="15"/>
      <c r="AF72" s="14"/>
      <c r="AG72" s="15"/>
    </row>
    <row r="73" spans="1:35" ht="15" customHeight="1" x14ac:dyDescent="0.25">
      <c r="A73" s="9">
        <v>10</v>
      </c>
      <c r="B73" s="10"/>
      <c r="C73" s="11"/>
      <c r="D73" s="10"/>
      <c r="E73" s="11"/>
      <c r="F73" s="10"/>
      <c r="G73" s="11"/>
      <c r="H73" s="10"/>
      <c r="I73" s="11"/>
      <c r="J73" s="12"/>
      <c r="K73" s="13"/>
      <c r="L73" s="12"/>
      <c r="M73" s="13"/>
      <c r="N73" s="14"/>
      <c r="O73" s="15"/>
      <c r="P73" s="14"/>
      <c r="Q73" s="15"/>
      <c r="R73" s="14"/>
      <c r="S73" s="15"/>
      <c r="T73" s="14"/>
      <c r="U73" s="15"/>
      <c r="V73" s="14"/>
      <c r="W73" s="15"/>
      <c r="X73" s="14"/>
      <c r="Y73" s="15"/>
      <c r="Z73" s="14"/>
      <c r="AA73" s="15"/>
      <c r="AB73" s="14"/>
      <c r="AC73" s="15"/>
      <c r="AD73" s="14"/>
      <c r="AE73" s="15"/>
      <c r="AF73" s="14"/>
      <c r="AG73" s="15"/>
    </row>
    <row r="74" spans="1:35" ht="15" customHeight="1" x14ac:dyDescent="0.25">
      <c r="A74" s="9">
        <v>11</v>
      </c>
      <c r="B74" s="10"/>
      <c r="C74" s="11"/>
      <c r="D74" s="10"/>
      <c r="E74" s="11"/>
      <c r="F74" s="10"/>
      <c r="G74" s="11"/>
      <c r="H74" s="10"/>
      <c r="I74" s="11"/>
      <c r="J74" s="12"/>
      <c r="K74" s="13"/>
      <c r="L74" s="12"/>
      <c r="M74" s="13"/>
      <c r="N74" s="14"/>
      <c r="O74" s="15"/>
      <c r="P74" s="14"/>
      <c r="Q74" s="15"/>
      <c r="R74" s="14"/>
      <c r="S74" s="15"/>
      <c r="T74" s="14"/>
      <c r="U74" s="15"/>
      <c r="V74" s="14"/>
      <c r="W74" s="15"/>
      <c r="X74" s="14"/>
      <c r="Y74" s="15"/>
      <c r="Z74" s="14"/>
      <c r="AA74" s="15"/>
      <c r="AB74" s="14"/>
      <c r="AC74" s="15"/>
      <c r="AD74" s="14"/>
      <c r="AE74" s="15"/>
      <c r="AF74" s="14"/>
      <c r="AG74" s="15"/>
    </row>
    <row r="75" spans="1:35" ht="15" customHeight="1" x14ac:dyDescent="0.25">
      <c r="A75" s="9">
        <v>12</v>
      </c>
      <c r="B75" s="10"/>
      <c r="C75" s="11"/>
      <c r="D75" s="10"/>
      <c r="E75" s="11"/>
      <c r="F75" s="10"/>
      <c r="G75" s="11"/>
      <c r="H75" s="10"/>
      <c r="I75" s="11"/>
      <c r="J75" s="12"/>
      <c r="K75" s="13"/>
      <c r="L75" s="12"/>
      <c r="M75" s="13"/>
      <c r="N75" s="14"/>
      <c r="O75" s="15"/>
      <c r="P75" s="14"/>
      <c r="Q75" s="15"/>
      <c r="R75" s="14"/>
      <c r="S75" s="15"/>
      <c r="T75" s="14"/>
      <c r="U75" s="15"/>
      <c r="V75" s="14"/>
      <c r="W75" s="15"/>
      <c r="X75" s="14"/>
      <c r="Y75" s="15"/>
      <c r="Z75" s="14"/>
      <c r="AA75" s="15"/>
      <c r="AB75" s="14"/>
      <c r="AC75" s="15"/>
      <c r="AD75" s="14"/>
      <c r="AE75" s="15"/>
      <c r="AF75" s="14"/>
      <c r="AG75" s="15"/>
    </row>
    <row r="76" spans="1:35" ht="16.5" customHeight="1" x14ac:dyDescent="0.25">
      <c r="A76" s="16" t="s">
        <v>64</v>
      </c>
      <c r="B76" s="17">
        <f>COUNTA(B64:B75)</f>
        <v>0</v>
      </c>
      <c r="C76" s="18" t="s">
        <v>65</v>
      </c>
      <c r="D76" s="17">
        <f>COUNTA(D64:D75)</f>
        <v>0</v>
      </c>
      <c r="E76" s="18" t="s">
        <v>65</v>
      </c>
      <c r="F76" s="17">
        <f>COUNTA(F64:F75)</f>
        <v>0</v>
      </c>
      <c r="G76" s="18" t="s">
        <v>65</v>
      </c>
      <c r="H76" s="17">
        <f>COUNTA(H64:H75)</f>
        <v>2</v>
      </c>
      <c r="I76" s="18" t="s">
        <v>65</v>
      </c>
      <c r="J76" s="17">
        <f>COUNTA(J64:J75)</f>
        <v>2</v>
      </c>
      <c r="K76" s="19">
        <f>SUM(K64:K75)</f>
        <v>62</v>
      </c>
      <c r="L76" s="17">
        <f>COUNTA(L64:L75)</f>
        <v>1</v>
      </c>
      <c r="M76" s="19">
        <f>SUM(M64:M75)</f>
        <v>33</v>
      </c>
      <c r="N76" s="17">
        <f>COUNTA(N64:N75)</f>
        <v>1</v>
      </c>
      <c r="O76" s="18" t="s">
        <v>65</v>
      </c>
      <c r="P76" s="17">
        <f>COUNTA(P64:P75)</f>
        <v>1</v>
      </c>
      <c r="Q76" s="18" t="s">
        <v>65</v>
      </c>
      <c r="R76" s="17">
        <f>COUNTA(R64:R75)</f>
        <v>5</v>
      </c>
      <c r="S76" s="18" t="s">
        <v>65</v>
      </c>
      <c r="T76" s="17">
        <f>COUNTA(T64:T75)</f>
        <v>9</v>
      </c>
      <c r="U76" s="18" t="s">
        <v>65</v>
      </c>
      <c r="V76" s="17">
        <f>COUNTA(V64:V75)</f>
        <v>4</v>
      </c>
      <c r="W76" s="18" t="s">
        <v>65</v>
      </c>
      <c r="X76" s="17">
        <f>COUNTA(X64:X75)</f>
        <v>5</v>
      </c>
      <c r="Y76" s="18" t="s">
        <v>65</v>
      </c>
      <c r="Z76" s="17">
        <f>COUNTA(Z64:Z75)</f>
        <v>3</v>
      </c>
      <c r="AA76" s="18" t="s">
        <v>65</v>
      </c>
      <c r="AB76" s="17">
        <f>COUNTA(AB64:AB75)</f>
        <v>3</v>
      </c>
      <c r="AC76" s="18" t="s">
        <v>65</v>
      </c>
      <c r="AD76" s="17">
        <f>COUNTA(AD64:AD75)</f>
        <v>2</v>
      </c>
      <c r="AE76" s="18" t="s">
        <v>65</v>
      </c>
      <c r="AF76" s="17">
        <f>COUNTA(AF64:AF75)</f>
        <v>2</v>
      </c>
      <c r="AG76" s="18" t="s">
        <v>65</v>
      </c>
      <c r="AI76" s="20">
        <f>SUM(B76:AG76)-SUM(J76,L76,K76,M76)</f>
        <v>37</v>
      </c>
    </row>
  </sheetData>
  <mergeCells count="88">
    <mergeCell ref="AF62:AG62"/>
    <mergeCell ref="AB45:AC45"/>
    <mergeCell ref="AD45:AE45"/>
    <mergeCell ref="AF45:AG45"/>
    <mergeCell ref="A61:AG61"/>
    <mergeCell ref="B62:C62"/>
    <mergeCell ref="D62:E62"/>
    <mergeCell ref="F62:G62"/>
    <mergeCell ref="H62:I62"/>
    <mergeCell ref="J62:K62"/>
    <mergeCell ref="L62:M62"/>
    <mergeCell ref="N62:O62"/>
    <mergeCell ref="P62:Q62"/>
    <mergeCell ref="R62:S62"/>
    <mergeCell ref="T62:U62"/>
    <mergeCell ref="V62:W62"/>
    <mergeCell ref="X62:Y62"/>
    <mergeCell ref="AD28:AE28"/>
    <mergeCell ref="Z62:AA62"/>
    <mergeCell ref="AB62:AC62"/>
    <mergeCell ref="AD62:AE62"/>
    <mergeCell ref="AF28:AG28"/>
    <mergeCell ref="A44:AG44"/>
    <mergeCell ref="B45:C45"/>
    <mergeCell ref="D45:E45"/>
    <mergeCell ref="F45:G45"/>
    <mergeCell ref="H45:I45"/>
    <mergeCell ref="J45:K45"/>
    <mergeCell ref="L45:M45"/>
    <mergeCell ref="N45:O45"/>
    <mergeCell ref="P45:Q45"/>
    <mergeCell ref="R45:S45"/>
    <mergeCell ref="T45:U45"/>
    <mergeCell ref="V45:W45"/>
    <mergeCell ref="X45:Y45"/>
    <mergeCell ref="Z45:AA45"/>
    <mergeCell ref="AF11:AG11"/>
    <mergeCell ref="A27:AG27"/>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V11:W11"/>
    <mergeCell ref="X11:Y11"/>
    <mergeCell ref="Z11:AA11"/>
    <mergeCell ref="AB11:AC11"/>
    <mergeCell ref="AD11:AE11"/>
    <mergeCell ref="L11:M11"/>
    <mergeCell ref="N11:O11"/>
    <mergeCell ref="P11:Q11"/>
    <mergeCell ref="R11:S11"/>
    <mergeCell ref="T11:U11"/>
    <mergeCell ref="B11:C11"/>
    <mergeCell ref="D11:E11"/>
    <mergeCell ref="F11:G11"/>
    <mergeCell ref="H11:I11"/>
    <mergeCell ref="J11:K11"/>
    <mergeCell ref="K5:L5"/>
    <mergeCell ref="M5:N5"/>
    <mergeCell ref="O5:P5"/>
    <mergeCell ref="A7:AG7"/>
    <mergeCell ref="A10:AG10"/>
    <mergeCell ref="A5:B5"/>
    <mergeCell ref="C5:D5"/>
    <mergeCell ref="E5:F5"/>
    <mergeCell ref="G5:H5"/>
    <mergeCell ref="I5:J5"/>
    <mergeCell ref="A1:AG1"/>
    <mergeCell ref="A2:AG2"/>
    <mergeCell ref="A3:AG3"/>
    <mergeCell ref="A4:B4"/>
    <mergeCell ref="C4:D4"/>
    <mergeCell ref="E4:F4"/>
    <mergeCell ref="G4:H4"/>
    <mergeCell ref="I4:J4"/>
    <mergeCell ref="K4:L4"/>
    <mergeCell ref="M4:N4"/>
    <mergeCell ref="O4:P4"/>
  </mergeCells>
  <conditionalFormatting sqref="B13:B24 D13:D24 F13:F24 H13:H24 J13:J24 L13:L24 N13:N24 P13:P24 R13:R24 T13:T24 V13:V24 X13:X24 Z13:Z24 AB13:AB24 AD13:AD24 AF13:AF24 B30:B41 D30:D41 F30:F41 H30:H41 J30:J41 L30:L41 N30:N41 P30:P41 R30:R41 T30:T41 V30:V41 X30:X41 Z30:Z41 AB30:AB41 AD30:AD41 AF30:AF41 B47:B58 D47:D58 F47:F58 H47:H58 J47:J58 L47:L58 N47:N58 P47:P58 R47:R58 T47:T58 V47:V58 X47:X58 Z47:Z58 AB47:AB58 AD47:AD58 AF47:AF58 B64:B75 D64:D75 F64:F75 H64:H75 J64:J75 L64:L75 N64:N75 P64:P75 R64:R75 T64:T75 V64:V75 X64:X75 Z64:Z75 AB64:AB75 AD64:AD75 AF64:AF75">
    <cfRule type="expression" dxfId="28" priority="2">
      <formula>LEN(B13)&gt;0</formula>
    </cfRule>
  </conditionalFormatting>
  <conditionalFormatting sqref="B25 D25 F25 H25 J25 L25 N25 P25 R25 T25 V25 X25 Z25 AB25 AD25 AF25 B42 D42 F42 H42 J42 L42 N42 P42 R42 T42 V42 X42 Z42 AB42 AD42 AF42 B59 D59 F59 H59 J59 L59 N59 P59 R59 T59 V59 X59 Z59 AB59 AD59 AF59 B76 D76 F76 H76 J76 L76 N76 P76 R76 T76 V76 X76 Z76 AB76 AD76 AF76">
    <cfRule type="expression" dxfId="27" priority="4">
      <formula>B25&gt;=12</formula>
    </cfRule>
    <cfRule type="expression" dxfId="26" priority="5">
      <formula>B25=0</formula>
    </cfRule>
  </conditionalFormatting>
  <conditionalFormatting sqref="C13:C24 E13:E24 G13:G24 I13:I24 K13:K24 M13:M24 O13:O24 Q13:Q24 S13:S24 U13:U24 W13:W24 Y13:Y24 AA13:AA24 AC13:AC24 AE13:AE24 AG13:AG24 C30:C41 E30:E41 G30:G41 I30:I41 K30:K41 M30:M41 O30:O41 Q30:Q41 S30:S41 U30:U41 W30:W41 Y30:Y41 AA30:AA41 AC30:AC41 AE30:AE41 AG30:AG41 C47:C58 E47:E58 G47:G58 I47:I58 K47:K58 M47:M58 O47:O58 Q47:Q58 S47:S58 U47:U58 W47:W58 Y47:Y58 AA47:AA58 AC47:AC58 AE47:AE58 AG47:AG58 C64:C75 E64:E75 G64:G75 I64:I75 K64:K75 M64:M75 O64:O75 Q64:Q75 S64:S75 U64:U75 W64:W75 Y64:Y75 AA64:AA75 AC64:AC75 AE64:AE75 AG64:AG75">
    <cfRule type="expression" dxfId="25" priority="3">
      <formula>AND(LEN(B13)&gt;0,LEN(C13)=0)</formula>
    </cfRule>
  </conditionalFormatting>
  <pageMargins left="0.75" right="0.75" top="1" bottom="1" header="0.511811023622047" footer="0.511811023622047"/>
  <pageSetup paperSize="3" orientation="landscape"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000-000000000000}">
          <x14:formula1>
            <xm:f>'Ready Models'!$A$8:$A$157</xm:f>
          </x14:formula1>
          <x14:formula2>
            <xm:f>0</xm:f>
          </x14:formula2>
          <xm:sqref>B13:B24 D13:D24 F13:F24 H13:H24 J13:J24 L13:L24 N13:N24 P13:P24 R13:R24 T13:T24 V13:V24 X13:X24 Z13:Z24 AB13:AB24 AD13:AD24 AF13:AF24 B30:B41 D30:D41 F30:F41 H30:H41 J30:J41 L30:L41 N30:N41 P30:P41 R30:R41 T30:T41 V30:V41 X30:X41 Z30:Z41 AB30:AB41 AD30:AD41 AF30:AF41 B47:B58 D47:D58 F47:F58 H47:H58 J47:J58 L47:L58 N47:N58 P47:P58 R47:R58 T47:T58 V47:V58 X47:X58 Z47:Z58 AB47:AB58 AD47:AD58 AF47:AF58 B64:B75 D64:D75 F64:F75 H64:H75 J64:J75 L64:L75 N64:N75 P64:P75 R64:R75 T64:T75 V64:V75 X64:X75 Z64:Z75 AB64:AB75 AD64:AD75 AF64:AF75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S76"/>
  <sheetViews>
    <sheetView showGridLines="0" topLeftCell="A40" zoomScale="86" zoomScaleNormal="86" workbookViewId="0">
      <pane xSplit="1" topLeftCell="B1" activePane="topRight" state="frozen"/>
      <selection activeCell="A37" sqref="A37"/>
      <selection pane="topRight" activeCell="J73" sqref="J73"/>
    </sheetView>
  </sheetViews>
  <sheetFormatPr defaultColWidth="8.5703125" defaultRowHeight="15" x14ac:dyDescent="0.25"/>
  <cols>
    <col min="1" max="1" width="11" customWidth="1"/>
    <col min="2" max="2" width="17" customWidth="1"/>
    <col min="3" max="3" width="13" customWidth="1"/>
    <col min="4" max="4" width="19.28515625" customWidth="1"/>
    <col min="5" max="5" width="14.28515625" customWidth="1"/>
    <col min="6" max="6" width="17" customWidth="1"/>
    <col min="7" max="7" width="13" customWidth="1"/>
    <col min="8" max="8" width="18.7109375" customWidth="1"/>
    <col min="9" max="9" width="13" customWidth="1"/>
    <col min="10" max="10" width="25.7109375" customWidth="1"/>
    <col min="11" max="11" width="14.42578125" customWidth="1"/>
    <col min="12" max="12" width="38.140625" customWidth="1"/>
    <col min="13" max="13" width="13" customWidth="1"/>
    <col min="14" max="14" width="17" customWidth="1"/>
    <col min="15" max="15" width="22" customWidth="1"/>
    <col min="16" max="16" width="17" customWidth="1"/>
    <col min="17" max="17" width="13" customWidth="1"/>
    <col min="18" max="18" width="2" customWidth="1"/>
    <col min="19" max="19" width="13" customWidth="1"/>
  </cols>
  <sheetData>
    <row r="1" spans="1:19" ht="25.5" customHeight="1" x14ac:dyDescent="0.25">
      <c r="A1" s="66" t="s">
        <v>248</v>
      </c>
      <c r="B1" s="66"/>
      <c r="C1" s="66"/>
      <c r="D1" s="66"/>
      <c r="E1" s="66"/>
      <c r="F1" s="66"/>
      <c r="G1" s="66"/>
      <c r="H1" s="66"/>
      <c r="I1" s="66"/>
      <c r="J1" s="66"/>
      <c r="K1" s="66"/>
      <c r="L1" s="66"/>
      <c r="M1" s="66"/>
      <c r="N1" s="66"/>
      <c r="O1" s="66"/>
      <c r="P1" s="66"/>
      <c r="Q1" s="66"/>
    </row>
    <row r="2" spans="1:19" ht="45.75" customHeight="1" x14ac:dyDescent="0.25">
      <c r="A2" s="67" t="s">
        <v>249</v>
      </c>
      <c r="B2" s="67"/>
      <c r="C2" s="67"/>
      <c r="D2" s="67"/>
      <c r="E2" s="67"/>
      <c r="F2" s="67"/>
      <c r="G2" s="67"/>
      <c r="H2" s="67"/>
      <c r="I2" s="67"/>
      <c r="J2" s="67"/>
      <c r="K2" s="67"/>
      <c r="L2" s="67"/>
      <c r="M2" s="67"/>
      <c r="N2" s="67"/>
      <c r="O2" s="67"/>
      <c r="P2" s="67"/>
      <c r="Q2" s="67"/>
    </row>
    <row r="3" spans="1:19" ht="15" customHeight="1" x14ac:dyDescent="0.25">
      <c r="A3" s="68" t="s">
        <v>2</v>
      </c>
      <c r="B3" s="68"/>
      <c r="C3" s="68"/>
      <c r="D3" s="68"/>
      <c r="E3" s="68"/>
      <c r="F3" s="68"/>
      <c r="G3" s="68"/>
      <c r="H3" s="68"/>
      <c r="I3" s="68"/>
      <c r="J3" s="68"/>
      <c r="K3" s="68"/>
      <c r="L3" s="68"/>
      <c r="M3" s="68"/>
      <c r="N3" s="68"/>
      <c r="O3" s="68"/>
      <c r="P3" s="68"/>
      <c r="Q3" s="68"/>
    </row>
    <row r="4" spans="1:19" ht="24" customHeight="1" x14ac:dyDescent="0.25">
      <c r="A4" s="69" t="s">
        <v>250</v>
      </c>
      <c r="B4" s="69"/>
      <c r="C4" s="69" t="s">
        <v>4</v>
      </c>
      <c r="D4" s="69"/>
      <c r="E4" s="69" t="s">
        <v>5</v>
      </c>
      <c r="F4" s="69"/>
      <c r="G4" s="69" t="s">
        <v>6</v>
      </c>
      <c r="H4" s="69"/>
      <c r="I4" s="69" t="s">
        <v>251</v>
      </c>
      <c r="J4" s="69"/>
      <c r="K4" s="69" t="s">
        <v>252</v>
      </c>
      <c r="L4" s="69"/>
      <c r="M4" s="69" t="s">
        <v>253</v>
      </c>
      <c r="N4" s="69"/>
      <c r="O4" s="69" t="s">
        <v>254</v>
      </c>
      <c r="P4" s="69"/>
    </row>
    <row r="5" spans="1:19" ht="21.75" customHeight="1" x14ac:dyDescent="0.25">
      <c r="A5" s="71">
        <f>SUM(B25:Q25,B42:Q42,B59:Q59,B76:Q76)</f>
        <v>82</v>
      </c>
      <c r="B5" s="71"/>
      <c r="C5" s="71">
        <v>384</v>
      </c>
      <c r="D5" s="71"/>
      <c r="E5" s="71">
        <f>MAX(0,C5-A5)</f>
        <v>302</v>
      </c>
      <c r="F5" s="71"/>
      <c r="G5" s="74">
        <f>IF(C5=0,0,A5/C5)</f>
        <v>0.21354166666666666</v>
      </c>
      <c r="H5" s="74"/>
      <c r="I5" s="71">
        <v>4</v>
      </c>
      <c r="J5" s="71"/>
      <c r="K5" s="71">
        <v>8</v>
      </c>
      <c r="L5" s="71"/>
      <c r="M5" s="71">
        <v>4</v>
      </c>
      <c r="N5" s="71"/>
      <c r="O5" s="71">
        <v>12</v>
      </c>
      <c r="P5" s="71"/>
    </row>
    <row r="7" spans="1:19" ht="24" customHeight="1" x14ac:dyDescent="0.25">
      <c r="A7" s="72" t="s">
        <v>255</v>
      </c>
      <c r="B7" s="72"/>
      <c r="C7" s="72"/>
      <c r="D7" s="72"/>
      <c r="E7" s="72"/>
      <c r="F7" s="72"/>
      <c r="G7" s="72"/>
      <c r="H7" s="72"/>
      <c r="I7" s="72"/>
      <c r="J7" s="72"/>
      <c r="K7" s="72"/>
      <c r="L7" s="72"/>
      <c r="M7" s="72"/>
      <c r="N7" s="72"/>
      <c r="O7" s="72"/>
      <c r="P7" s="72"/>
      <c r="Q7" s="72"/>
    </row>
    <row r="10" spans="1:19" ht="19.5" customHeight="1" x14ac:dyDescent="0.25">
      <c r="A10" s="73" t="s">
        <v>256</v>
      </c>
      <c r="B10" s="73"/>
      <c r="C10" s="73"/>
      <c r="D10" s="73"/>
      <c r="E10" s="73"/>
      <c r="F10" s="73"/>
      <c r="G10" s="73"/>
      <c r="H10" s="73"/>
      <c r="I10" s="73"/>
      <c r="J10" s="73"/>
      <c r="K10" s="73"/>
      <c r="L10" s="73"/>
      <c r="M10" s="73"/>
      <c r="N10" s="73"/>
      <c r="O10" s="73"/>
      <c r="P10" s="73"/>
      <c r="Q10" s="73"/>
    </row>
    <row r="11" spans="1:19" ht="18" customHeight="1" x14ac:dyDescent="0.25">
      <c r="A11" s="6" t="s">
        <v>13</v>
      </c>
      <c r="B11" s="70" t="s">
        <v>257</v>
      </c>
      <c r="C11" s="70"/>
      <c r="D11" s="70" t="s">
        <v>258</v>
      </c>
      <c r="E11" s="70"/>
      <c r="F11" s="70" t="s">
        <v>259</v>
      </c>
      <c r="G11" s="70"/>
      <c r="H11" s="70" t="s">
        <v>260</v>
      </c>
      <c r="I11" s="70"/>
      <c r="J11" s="70" t="s">
        <v>261</v>
      </c>
      <c r="K11" s="70"/>
      <c r="L11" s="70" t="s">
        <v>262</v>
      </c>
      <c r="M11" s="70"/>
      <c r="N11" s="70" t="s">
        <v>263</v>
      </c>
      <c r="O11" s="70"/>
      <c r="P11" s="70" t="s">
        <v>264</v>
      </c>
      <c r="Q11" s="70"/>
    </row>
    <row r="12" spans="1:19" ht="15" customHeight="1" x14ac:dyDescent="0.25">
      <c r="A12" s="7" t="s">
        <v>30</v>
      </c>
      <c r="B12" s="7" t="s">
        <v>31</v>
      </c>
      <c r="C12" s="7" t="s">
        <v>32</v>
      </c>
      <c r="D12" s="7" t="s">
        <v>31</v>
      </c>
      <c r="E12" s="7" t="s">
        <v>32</v>
      </c>
      <c r="F12" s="7" t="s">
        <v>31</v>
      </c>
      <c r="G12" s="7" t="s">
        <v>32</v>
      </c>
      <c r="H12" s="7" t="s">
        <v>31</v>
      </c>
      <c r="I12" s="7" t="s">
        <v>32</v>
      </c>
      <c r="J12" s="7" t="s">
        <v>31</v>
      </c>
      <c r="K12" s="7" t="s">
        <v>32</v>
      </c>
      <c r="L12" s="7" t="s">
        <v>31</v>
      </c>
      <c r="M12" s="7" t="s">
        <v>32</v>
      </c>
      <c r="N12" s="7" t="s">
        <v>31</v>
      </c>
      <c r="O12" s="7" t="s">
        <v>32</v>
      </c>
      <c r="P12" s="7" t="s">
        <v>31</v>
      </c>
      <c r="Q12" s="7" t="s">
        <v>32</v>
      </c>
      <c r="S12" s="8" t="s">
        <v>265</v>
      </c>
    </row>
    <row r="13" spans="1:19" ht="15" customHeight="1" x14ac:dyDescent="0.25">
      <c r="A13" s="9">
        <v>1</v>
      </c>
      <c r="B13" s="14" t="s">
        <v>266</v>
      </c>
      <c r="C13" s="15" t="s">
        <v>267</v>
      </c>
      <c r="D13" s="14"/>
      <c r="E13" s="15"/>
      <c r="F13" s="14"/>
      <c r="G13" s="15"/>
      <c r="H13" s="14"/>
      <c r="I13" s="15"/>
      <c r="J13" s="14"/>
      <c r="K13" s="15"/>
      <c r="L13" s="14"/>
      <c r="M13" s="15"/>
      <c r="N13" s="14"/>
      <c r="O13" s="15"/>
      <c r="P13" s="14"/>
      <c r="Q13" s="15"/>
    </row>
    <row r="14" spans="1:19" ht="15" customHeight="1" x14ac:dyDescent="0.25">
      <c r="A14" s="9">
        <v>2</v>
      </c>
      <c r="B14" s="14" t="s">
        <v>266</v>
      </c>
      <c r="C14" s="15" t="s">
        <v>42</v>
      </c>
      <c r="D14" s="14"/>
      <c r="E14" s="15"/>
      <c r="F14" s="14"/>
      <c r="G14" s="15"/>
      <c r="H14" s="14"/>
      <c r="I14" s="15"/>
      <c r="J14" s="14"/>
      <c r="K14" s="15"/>
      <c r="L14" s="14"/>
      <c r="M14" s="15"/>
      <c r="N14" s="14"/>
      <c r="O14" s="15"/>
      <c r="P14" s="14"/>
      <c r="Q14" s="15"/>
    </row>
    <row r="15" spans="1:19" ht="15" customHeight="1" x14ac:dyDescent="0.25">
      <c r="A15" s="9">
        <v>3</v>
      </c>
      <c r="B15" s="14" t="s">
        <v>266</v>
      </c>
      <c r="C15" s="15" t="s">
        <v>268</v>
      </c>
      <c r="D15" s="14"/>
      <c r="E15" s="15"/>
      <c r="F15" s="14"/>
      <c r="G15" s="15"/>
      <c r="H15" s="14"/>
      <c r="I15" s="15"/>
      <c r="J15" s="14"/>
      <c r="K15" s="15"/>
      <c r="L15" s="14"/>
      <c r="M15" s="15"/>
      <c r="N15" s="14"/>
      <c r="O15" s="15"/>
      <c r="P15" s="14"/>
      <c r="Q15" s="15"/>
    </row>
    <row r="16" spans="1:19" ht="15" customHeight="1" x14ac:dyDescent="0.25">
      <c r="A16" s="9">
        <v>4</v>
      </c>
      <c r="B16" s="14" t="s">
        <v>266</v>
      </c>
      <c r="C16" s="15" t="s">
        <v>269</v>
      </c>
      <c r="D16" s="14"/>
      <c r="E16" s="15"/>
      <c r="F16" s="14"/>
      <c r="G16" s="15"/>
      <c r="H16" s="14"/>
      <c r="I16" s="15"/>
      <c r="J16" s="14"/>
      <c r="K16" s="15"/>
      <c r="L16" s="14"/>
      <c r="M16" s="15"/>
      <c r="N16" s="14"/>
      <c r="O16" s="15"/>
      <c r="P16" s="14"/>
      <c r="Q16" s="15"/>
    </row>
    <row r="17" spans="1:19" ht="15" customHeight="1" x14ac:dyDescent="0.25">
      <c r="A17" s="9">
        <v>5</v>
      </c>
      <c r="B17" s="14" t="s">
        <v>266</v>
      </c>
      <c r="C17" s="15" t="s">
        <v>270</v>
      </c>
      <c r="D17" s="14"/>
      <c r="E17" s="15"/>
      <c r="F17" s="14"/>
      <c r="G17" s="15"/>
      <c r="H17" s="14"/>
      <c r="I17" s="15"/>
      <c r="J17" s="14"/>
      <c r="K17" s="15"/>
      <c r="L17" s="14"/>
      <c r="M17" s="15"/>
      <c r="N17" s="14"/>
      <c r="O17" s="15"/>
      <c r="P17" s="14"/>
      <c r="Q17" s="15"/>
    </row>
    <row r="18" spans="1:19" ht="15" customHeight="1" x14ac:dyDescent="0.25">
      <c r="A18" s="9">
        <v>6</v>
      </c>
      <c r="B18" s="14" t="s">
        <v>266</v>
      </c>
      <c r="C18" s="15" t="s">
        <v>42</v>
      </c>
      <c r="D18" s="14"/>
      <c r="E18" s="15"/>
      <c r="F18" s="14"/>
      <c r="G18" s="15"/>
      <c r="H18" s="14"/>
      <c r="I18" s="15"/>
      <c r="J18" s="14"/>
      <c r="K18" s="15"/>
      <c r="L18" s="14"/>
      <c r="M18" s="15"/>
      <c r="N18" s="14"/>
      <c r="O18" s="15"/>
      <c r="P18" s="14"/>
      <c r="Q18" s="15"/>
    </row>
    <row r="19" spans="1:19" ht="15" customHeight="1" x14ac:dyDescent="0.25">
      <c r="A19" s="9">
        <v>7</v>
      </c>
      <c r="B19" s="14" t="s">
        <v>266</v>
      </c>
      <c r="C19" s="15" t="s">
        <v>42</v>
      </c>
      <c r="D19" s="14"/>
      <c r="E19" s="15"/>
      <c r="F19" s="14"/>
      <c r="G19" s="15"/>
      <c r="H19" s="14"/>
      <c r="I19" s="15"/>
      <c r="J19" s="14"/>
      <c r="K19" s="15"/>
      <c r="L19" s="14"/>
      <c r="M19" s="15"/>
      <c r="N19" s="14"/>
      <c r="O19" s="15"/>
      <c r="P19" s="14"/>
      <c r="Q19" s="15"/>
    </row>
    <row r="20" spans="1:19" ht="15" customHeight="1" x14ac:dyDescent="0.25">
      <c r="A20" s="9">
        <v>8</v>
      </c>
      <c r="B20" s="14" t="s">
        <v>266</v>
      </c>
      <c r="C20" s="15" t="s">
        <v>42</v>
      </c>
      <c r="D20" s="14"/>
      <c r="E20" s="15"/>
      <c r="F20" s="14"/>
      <c r="G20" s="15"/>
      <c r="H20" s="14"/>
      <c r="I20" s="15"/>
      <c r="J20" s="14"/>
      <c r="K20" s="15"/>
      <c r="L20" s="14"/>
      <c r="M20" s="15"/>
      <c r="N20" s="14"/>
      <c r="O20" s="15"/>
      <c r="P20" s="14"/>
      <c r="Q20" s="15"/>
    </row>
    <row r="21" spans="1:19" ht="15" customHeight="1" x14ac:dyDescent="0.25">
      <c r="A21" s="9">
        <v>9</v>
      </c>
      <c r="B21" s="14" t="s">
        <v>266</v>
      </c>
      <c r="C21" s="15" t="s">
        <v>271</v>
      </c>
      <c r="D21" s="14"/>
      <c r="E21" s="15"/>
      <c r="F21" s="14"/>
      <c r="G21" s="15"/>
      <c r="H21" s="14"/>
      <c r="I21" s="15"/>
      <c r="J21" s="14"/>
      <c r="K21" s="15"/>
      <c r="L21" s="14"/>
      <c r="M21" s="15"/>
      <c r="N21" s="14"/>
      <c r="O21" s="15"/>
      <c r="P21" s="14"/>
      <c r="Q21" s="15"/>
    </row>
    <row r="22" spans="1:19" ht="15" customHeight="1" x14ac:dyDescent="0.25">
      <c r="A22" s="9">
        <v>10</v>
      </c>
      <c r="B22" s="14" t="s">
        <v>266</v>
      </c>
      <c r="C22" s="15" t="s">
        <v>272</v>
      </c>
      <c r="D22" s="14"/>
      <c r="E22" s="15"/>
      <c r="F22" s="14"/>
      <c r="G22" s="15"/>
      <c r="H22" s="14"/>
      <c r="I22" s="15"/>
      <c r="J22" s="14"/>
      <c r="K22" s="15"/>
      <c r="L22" s="14"/>
      <c r="M22" s="15"/>
      <c r="N22" s="14"/>
      <c r="O22" s="15"/>
      <c r="P22" s="14"/>
      <c r="Q22" s="15"/>
    </row>
    <row r="23" spans="1:19" ht="15" customHeight="1" x14ac:dyDescent="0.25">
      <c r="A23" s="9">
        <v>11</v>
      </c>
      <c r="B23" s="14"/>
      <c r="C23" s="15"/>
      <c r="D23" s="14"/>
      <c r="E23" s="15"/>
      <c r="F23" s="14"/>
      <c r="G23" s="15"/>
      <c r="H23" s="14"/>
      <c r="I23" s="15"/>
      <c r="J23" s="14"/>
      <c r="K23" s="15"/>
      <c r="L23" s="14"/>
      <c r="M23" s="15"/>
      <c r="N23" s="14"/>
      <c r="O23" s="15"/>
      <c r="P23" s="14"/>
      <c r="Q23" s="15"/>
    </row>
    <row r="24" spans="1:19" ht="15" customHeight="1" x14ac:dyDescent="0.25">
      <c r="A24" s="9">
        <v>12</v>
      </c>
      <c r="B24" s="14"/>
      <c r="C24" s="15"/>
      <c r="D24" s="14"/>
      <c r="E24" s="15"/>
      <c r="F24" s="14"/>
      <c r="G24" s="15"/>
      <c r="H24" s="14"/>
      <c r="I24" s="15"/>
      <c r="J24" s="14"/>
      <c r="K24" s="15"/>
      <c r="L24" s="14"/>
      <c r="M24" s="15"/>
      <c r="N24" s="14"/>
      <c r="O24" s="15"/>
      <c r="P24" s="14"/>
      <c r="Q24" s="15"/>
    </row>
    <row r="25" spans="1:19" ht="16.5" customHeight="1" x14ac:dyDescent="0.25">
      <c r="A25" s="16" t="s">
        <v>64</v>
      </c>
      <c r="B25" s="17">
        <f>COUNTA(B13:B24)</f>
        <v>10</v>
      </c>
      <c r="C25" s="18" t="s">
        <v>65</v>
      </c>
      <c r="D25" s="17">
        <f>COUNTA(D13:D24)</f>
        <v>0</v>
      </c>
      <c r="E25" s="18" t="s">
        <v>65</v>
      </c>
      <c r="F25" s="17">
        <f>COUNTA(F13:F24)</f>
        <v>0</v>
      </c>
      <c r="G25" s="18" t="s">
        <v>65</v>
      </c>
      <c r="H25" s="17">
        <f>COUNTA(H13:H24)</f>
        <v>0</v>
      </c>
      <c r="I25" s="18" t="s">
        <v>65</v>
      </c>
      <c r="J25" s="17">
        <f>COUNTA(J13:J24)</f>
        <v>0</v>
      </c>
      <c r="K25" s="18" t="s">
        <v>65</v>
      </c>
      <c r="L25" s="17">
        <f>COUNTA(L13:L24)</f>
        <v>0</v>
      </c>
      <c r="M25" s="18" t="s">
        <v>65</v>
      </c>
      <c r="N25" s="17">
        <f>COUNTA(N13:N24)</f>
        <v>0</v>
      </c>
      <c r="O25" s="18" t="s">
        <v>65</v>
      </c>
      <c r="P25" s="17">
        <f>COUNTA(P13:P24)</f>
        <v>0</v>
      </c>
      <c r="Q25" s="18" t="s">
        <v>65</v>
      </c>
      <c r="S25" s="20">
        <f>SUM(B25:Q25)</f>
        <v>10</v>
      </c>
    </row>
    <row r="26" spans="1:19" x14ac:dyDescent="0.25">
      <c r="C26" s="21"/>
      <c r="E26" s="21"/>
      <c r="G26" s="21"/>
      <c r="I26" s="21"/>
      <c r="K26" s="21"/>
      <c r="M26" s="21"/>
      <c r="O26" s="21"/>
      <c r="Q26" s="21"/>
    </row>
    <row r="27" spans="1:19" ht="19.5" customHeight="1" x14ac:dyDescent="0.25">
      <c r="A27" s="73" t="s">
        <v>273</v>
      </c>
      <c r="B27" s="73"/>
      <c r="C27" s="73"/>
      <c r="D27" s="73"/>
      <c r="E27" s="73"/>
      <c r="F27" s="73"/>
      <c r="G27" s="73"/>
      <c r="H27" s="73"/>
      <c r="I27" s="73"/>
      <c r="J27" s="73"/>
      <c r="K27" s="73"/>
      <c r="L27" s="73"/>
      <c r="M27" s="73"/>
      <c r="N27" s="73"/>
      <c r="O27" s="73"/>
      <c r="P27" s="73"/>
      <c r="Q27" s="73"/>
    </row>
    <row r="28" spans="1:19" ht="18" customHeight="1" x14ac:dyDescent="0.25">
      <c r="A28" s="6" t="s">
        <v>13</v>
      </c>
      <c r="B28" s="70" t="s">
        <v>274</v>
      </c>
      <c r="C28" s="70"/>
      <c r="D28" s="70" t="s">
        <v>275</v>
      </c>
      <c r="E28" s="70"/>
      <c r="F28" s="70" t="s">
        <v>276</v>
      </c>
      <c r="G28" s="70"/>
      <c r="H28" s="70" t="s">
        <v>277</v>
      </c>
      <c r="I28" s="70"/>
      <c r="J28" s="70" t="s">
        <v>278</v>
      </c>
      <c r="K28" s="70"/>
      <c r="L28" s="70" t="s">
        <v>279</v>
      </c>
      <c r="M28" s="70"/>
      <c r="N28" s="70" t="s">
        <v>280</v>
      </c>
      <c r="O28" s="70"/>
      <c r="P28" s="70" t="s">
        <v>281</v>
      </c>
      <c r="Q28" s="70"/>
    </row>
    <row r="29" spans="1:19" ht="15" customHeight="1" x14ac:dyDescent="0.25">
      <c r="A29" s="7" t="s">
        <v>30</v>
      </c>
      <c r="B29" s="7" t="s">
        <v>31</v>
      </c>
      <c r="C29" s="22" t="s">
        <v>32</v>
      </c>
      <c r="D29" s="7" t="s">
        <v>31</v>
      </c>
      <c r="E29" s="22" t="s">
        <v>32</v>
      </c>
      <c r="F29" s="7" t="s">
        <v>31</v>
      </c>
      <c r="G29" s="22" t="s">
        <v>32</v>
      </c>
      <c r="H29" s="7" t="s">
        <v>31</v>
      </c>
      <c r="I29" s="22" t="s">
        <v>32</v>
      </c>
      <c r="J29" s="7" t="s">
        <v>31</v>
      </c>
      <c r="K29" s="22" t="s">
        <v>32</v>
      </c>
      <c r="L29" s="7" t="s">
        <v>31</v>
      </c>
      <c r="M29" s="22" t="s">
        <v>32</v>
      </c>
      <c r="N29" s="7" t="s">
        <v>31</v>
      </c>
      <c r="O29" s="22" t="s">
        <v>32</v>
      </c>
      <c r="P29" s="7" t="s">
        <v>31</v>
      </c>
      <c r="Q29" s="22" t="s">
        <v>32</v>
      </c>
      <c r="S29" s="8" t="s">
        <v>265</v>
      </c>
    </row>
    <row r="30" spans="1:19" ht="15" customHeight="1" x14ac:dyDescent="0.25">
      <c r="A30" s="9">
        <v>1</v>
      </c>
      <c r="B30" s="14" t="s">
        <v>266</v>
      </c>
      <c r="C30" s="15" t="s">
        <v>282</v>
      </c>
      <c r="D30" s="14"/>
      <c r="E30" s="15"/>
      <c r="F30" s="14"/>
      <c r="G30" s="15"/>
      <c r="H30" s="14"/>
      <c r="I30" s="15"/>
      <c r="J30" s="14" t="s">
        <v>283</v>
      </c>
      <c r="K30" s="15" t="s">
        <v>284</v>
      </c>
      <c r="L30" s="14"/>
      <c r="M30" s="15"/>
      <c r="N30" s="14" t="s">
        <v>43</v>
      </c>
      <c r="O30" s="15" t="s">
        <v>42</v>
      </c>
      <c r="P30" s="14"/>
      <c r="Q30" s="15"/>
    </row>
    <row r="31" spans="1:19" ht="15" customHeight="1" x14ac:dyDescent="0.25">
      <c r="A31" s="9">
        <v>2</v>
      </c>
      <c r="B31" s="14" t="s">
        <v>266</v>
      </c>
      <c r="C31" s="15" t="s">
        <v>42</v>
      </c>
      <c r="D31" s="14"/>
      <c r="E31" s="15"/>
      <c r="F31" s="14"/>
      <c r="G31" s="15"/>
      <c r="H31" s="14"/>
      <c r="I31" s="15"/>
      <c r="J31" s="14" t="s">
        <v>285</v>
      </c>
      <c r="K31" s="15"/>
      <c r="L31" s="14"/>
      <c r="M31" s="15"/>
      <c r="N31" s="14" t="s">
        <v>45</v>
      </c>
      <c r="O31" s="15" t="s">
        <v>286</v>
      </c>
      <c r="P31" s="14"/>
      <c r="Q31" s="15"/>
    </row>
    <row r="32" spans="1:19" ht="15" customHeight="1" x14ac:dyDescent="0.25">
      <c r="A32" s="9">
        <v>3</v>
      </c>
      <c r="B32" s="14" t="s">
        <v>266</v>
      </c>
      <c r="C32" s="15" t="s">
        <v>287</v>
      </c>
      <c r="D32" s="14"/>
      <c r="E32" s="15"/>
      <c r="F32" s="14"/>
      <c r="G32" s="15"/>
      <c r="H32" s="14"/>
      <c r="I32" s="15"/>
      <c r="J32" s="14" t="s">
        <v>288</v>
      </c>
      <c r="K32" s="15"/>
      <c r="L32" s="14"/>
      <c r="M32" s="15"/>
      <c r="N32" s="14"/>
      <c r="O32" s="15"/>
      <c r="P32" s="14"/>
      <c r="Q32" s="15"/>
    </row>
    <row r="33" spans="1:19" ht="15" customHeight="1" x14ac:dyDescent="0.25">
      <c r="A33" s="9">
        <v>4</v>
      </c>
      <c r="B33" s="14" t="s">
        <v>266</v>
      </c>
      <c r="C33" s="15" t="s">
        <v>42</v>
      </c>
      <c r="D33" s="14"/>
      <c r="E33" s="15"/>
      <c r="F33" s="14"/>
      <c r="G33" s="15"/>
      <c r="H33" s="14"/>
      <c r="I33" s="15"/>
      <c r="J33" s="14"/>
      <c r="K33" s="15"/>
      <c r="L33" s="14"/>
      <c r="M33" s="15"/>
      <c r="N33" s="14"/>
      <c r="O33" s="15"/>
      <c r="P33" s="14"/>
      <c r="Q33" s="15"/>
    </row>
    <row r="34" spans="1:19" ht="15" customHeight="1" x14ac:dyDescent="0.25">
      <c r="A34" s="9">
        <v>5</v>
      </c>
      <c r="B34" s="14" t="s">
        <v>266</v>
      </c>
      <c r="C34" s="15" t="s">
        <v>42</v>
      </c>
      <c r="D34" s="14"/>
      <c r="E34" s="15"/>
      <c r="F34" s="14"/>
      <c r="G34" s="15"/>
      <c r="H34" s="14"/>
      <c r="I34" s="15"/>
      <c r="J34" s="14"/>
      <c r="K34" s="15"/>
      <c r="L34" s="14"/>
      <c r="M34" s="15"/>
      <c r="N34" s="14"/>
      <c r="O34" s="15"/>
      <c r="P34" s="14"/>
      <c r="Q34" s="15"/>
    </row>
    <row r="35" spans="1:19" ht="15" customHeight="1" x14ac:dyDescent="0.25">
      <c r="A35" s="9">
        <v>6</v>
      </c>
      <c r="B35" s="14" t="s">
        <v>266</v>
      </c>
      <c r="C35" s="15" t="s">
        <v>42</v>
      </c>
      <c r="D35" s="14"/>
      <c r="E35" s="15"/>
      <c r="F35" s="14"/>
      <c r="G35" s="15"/>
      <c r="H35" s="14"/>
      <c r="I35" s="15"/>
      <c r="J35" s="14"/>
      <c r="K35" s="15"/>
      <c r="L35" s="14"/>
      <c r="M35" s="15"/>
      <c r="N35" s="14"/>
      <c r="O35" s="15"/>
      <c r="P35" s="14"/>
      <c r="Q35" s="15"/>
    </row>
    <row r="36" spans="1:19" ht="15" customHeight="1" x14ac:dyDescent="0.25">
      <c r="A36" s="9">
        <v>7</v>
      </c>
      <c r="B36" s="14" t="s">
        <v>266</v>
      </c>
      <c r="C36" s="15" t="s">
        <v>289</v>
      </c>
      <c r="D36" s="14"/>
      <c r="E36" s="15"/>
      <c r="F36" s="14"/>
      <c r="G36" s="15"/>
      <c r="H36" s="14"/>
      <c r="I36" s="15"/>
      <c r="J36" s="14"/>
      <c r="K36" s="15"/>
      <c r="L36" s="14"/>
      <c r="M36" s="15"/>
      <c r="N36" s="14"/>
      <c r="O36" s="15"/>
      <c r="P36" s="14"/>
      <c r="Q36" s="15"/>
    </row>
    <row r="37" spans="1:19" ht="15" customHeight="1" x14ac:dyDescent="0.25">
      <c r="A37" s="9">
        <v>8</v>
      </c>
      <c r="B37" s="14" t="s">
        <v>266</v>
      </c>
      <c r="C37" s="15" t="s">
        <v>290</v>
      </c>
      <c r="D37" s="14"/>
      <c r="E37" s="15"/>
      <c r="F37" s="14"/>
      <c r="G37" s="15"/>
      <c r="H37" s="14"/>
      <c r="I37" s="15"/>
      <c r="J37" s="14"/>
      <c r="K37" s="15"/>
      <c r="L37" s="14"/>
      <c r="M37" s="15"/>
      <c r="N37" s="14"/>
      <c r="O37" s="15"/>
      <c r="P37" s="14"/>
      <c r="Q37" s="15"/>
    </row>
    <row r="38" spans="1:19" ht="15" customHeight="1" x14ac:dyDescent="0.25">
      <c r="A38" s="9">
        <v>9</v>
      </c>
      <c r="B38" s="14" t="s">
        <v>291</v>
      </c>
      <c r="C38" s="15" t="s">
        <v>292</v>
      </c>
      <c r="D38" s="14"/>
      <c r="E38" s="15"/>
      <c r="F38" s="14"/>
      <c r="G38" s="15"/>
      <c r="H38" s="14"/>
      <c r="I38" s="15"/>
      <c r="J38" s="14"/>
      <c r="K38" s="15"/>
      <c r="L38" s="14"/>
      <c r="M38" s="15"/>
      <c r="N38" s="14"/>
      <c r="O38" s="15"/>
      <c r="P38" s="14"/>
      <c r="Q38" s="15"/>
    </row>
    <row r="39" spans="1:19" ht="15" customHeight="1" x14ac:dyDescent="0.25">
      <c r="A39" s="9">
        <v>10</v>
      </c>
      <c r="B39" s="14"/>
      <c r="C39" s="15"/>
      <c r="D39" s="14"/>
      <c r="E39" s="15"/>
      <c r="F39" s="14"/>
      <c r="G39" s="15"/>
      <c r="H39" s="14"/>
      <c r="I39" s="15"/>
      <c r="J39" s="14"/>
      <c r="K39" s="15"/>
      <c r="L39" s="14"/>
      <c r="M39" s="15"/>
      <c r="N39" s="14"/>
      <c r="O39" s="15"/>
      <c r="P39" s="14"/>
      <c r="Q39" s="15"/>
    </row>
    <row r="40" spans="1:19" ht="15" customHeight="1" x14ac:dyDescent="0.25">
      <c r="A40" s="9">
        <v>11</v>
      </c>
      <c r="B40" s="14"/>
      <c r="C40" s="15"/>
      <c r="D40" s="14"/>
      <c r="E40" s="15"/>
      <c r="F40" s="14"/>
      <c r="G40" s="15"/>
      <c r="H40" s="14"/>
      <c r="I40" s="15"/>
      <c r="J40" s="14"/>
      <c r="K40" s="15"/>
      <c r="L40" s="14"/>
      <c r="M40" s="15"/>
      <c r="N40" s="14"/>
      <c r="O40" s="15"/>
      <c r="P40" s="14"/>
      <c r="Q40" s="15"/>
    </row>
    <row r="41" spans="1:19" ht="15" customHeight="1" x14ac:dyDescent="0.25">
      <c r="A41" s="9">
        <v>12</v>
      </c>
      <c r="B41" s="14"/>
      <c r="C41" s="15"/>
      <c r="D41" s="14"/>
      <c r="E41" s="15"/>
      <c r="F41" s="14"/>
      <c r="G41" s="15"/>
      <c r="H41" s="14"/>
      <c r="I41" s="15"/>
      <c r="J41" s="14"/>
      <c r="K41" s="15"/>
      <c r="L41" s="14"/>
      <c r="M41" s="15"/>
      <c r="N41" s="14"/>
      <c r="O41" s="15"/>
      <c r="P41" s="14"/>
      <c r="Q41" s="15"/>
    </row>
    <row r="42" spans="1:19" ht="16.5" customHeight="1" x14ac:dyDescent="0.25">
      <c r="A42" s="16" t="s">
        <v>64</v>
      </c>
      <c r="B42" s="17">
        <f>COUNTA(B30:B41)</f>
        <v>9</v>
      </c>
      <c r="C42" s="18" t="s">
        <v>65</v>
      </c>
      <c r="D42" s="17">
        <f>COUNTA(D30:D41)</f>
        <v>0</v>
      </c>
      <c r="E42" s="18" t="s">
        <v>65</v>
      </c>
      <c r="F42" s="17">
        <f>COUNTA(F30:F41)</f>
        <v>0</v>
      </c>
      <c r="G42" s="18" t="s">
        <v>65</v>
      </c>
      <c r="H42" s="17">
        <f>COUNTA(H30:H41)</f>
        <v>0</v>
      </c>
      <c r="I42" s="18" t="s">
        <v>65</v>
      </c>
      <c r="J42" s="17">
        <f>COUNTA(J30:J41)</f>
        <v>3</v>
      </c>
      <c r="K42" s="18" t="s">
        <v>65</v>
      </c>
      <c r="L42" s="17">
        <f>COUNTA(L30:L41)</f>
        <v>0</v>
      </c>
      <c r="M42" s="18" t="s">
        <v>65</v>
      </c>
      <c r="N42" s="17">
        <f>COUNTA(N30:N41)</f>
        <v>2</v>
      </c>
      <c r="O42" s="18" t="s">
        <v>65</v>
      </c>
      <c r="P42" s="17">
        <f>COUNTA(P30:P41)</f>
        <v>0</v>
      </c>
      <c r="Q42" s="18" t="s">
        <v>65</v>
      </c>
      <c r="S42" s="20">
        <f>SUM(B42:Q42)</f>
        <v>14</v>
      </c>
    </row>
    <row r="43" spans="1:19" x14ac:dyDescent="0.25">
      <c r="C43" s="21"/>
      <c r="E43" s="21"/>
      <c r="G43" s="21"/>
      <c r="I43" s="21"/>
      <c r="K43" s="21"/>
      <c r="M43" s="21"/>
      <c r="O43" s="21"/>
      <c r="Q43" s="21"/>
    </row>
    <row r="44" spans="1:19" ht="19.5" customHeight="1" x14ac:dyDescent="0.25">
      <c r="A44" s="73" t="s">
        <v>293</v>
      </c>
      <c r="B44" s="73"/>
      <c r="C44" s="73"/>
      <c r="D44" s="73"/>
      <c r="E44" s="73"/>
      <c r="F44" s="73"/>
      <c r="G44" s="73"/>
      <c r="H44" s="73"/>
      <c r="I44" s="73"/>
      <c r="J44" s="73"/>
      <c r="K44" s="73"/>
      <c r="L44" s="73"/>
      <c r="M44" s="73"/>
      <c r="N44" s="73"/>
      <c r="O44" s="73"/>
      <c r="P44" s="73"/>
      <c r="Q44" s="73"/>
    </row>
    <row r="45" spans="1:19" ht="18" customHeight="1" x14ac:dyDescent="0.25">
      <c r="A45" s="6" t="s">
        <v>13</v>
      </c>
      <c r="B45" s="70" t="s">
        <v>294</v>
      </c>
      <c r="C45" s="70"/>
      <c r="D45" s="70" t="s">
        <v>295</v>
      </c>
      <c r="E45" s="70"/>
      <c r="F45" s="70" t="s">
        <v>296</v>
      </c>
      <c r="G45" s="70"/>
      <c r="H45" s="70" t="s">
        <v>297</v>
      </c>
      <c r="I45" s="70"/>
      <c r="J45" s="70" t="s">
        <v>298</v>
      </c>
      <c r="K45" s="70"/>
      <c r="L45" s="70" t="s">
        <v>299</v>
      </c>
      <c r="M45" s="70"/>
      <c r="N45" s="70" t="s">
        <v>300</v>
      </c>
      <c r="O45" s="70"/>
      <c r="P45" s="70" t="s">
        <v>301</v>
      </c>
      <c r="Q45" s="70"/>
    </row>
    <row r="46" spans="1:19" ht="15" customHeight="1" x14ac:dyDescent="0.25">
      <c r="A46" s="7" t="s">
        <v>30</v>
      </c>
      <c r="B46" s="7" t="s">
        <v>31</v>
      </c>
      <c r="C46" s="22" t="s">
        <v>32</v>
      </c>
      <c r="D46" s="7" t="s">
        <v>31</v>
      </c>
      <c r="E46" s="22" t="s">
        <v>32</v>
      </c>
      <c r="F46" s="7" t="s">
        <v>31</v>
      </c>
      <c r="G46" s="22" t="s">
        <v>32</v>
      </c>
      <c r="H46" s="7" t="s">
        <v>31</v>
      </c>
      <c r="I46" s="22" t="s">
        <v>32</v>
      </c>
      <c r="J46" s="7" t="s">
        <v>31</v>
      </c>
      <c r="K46" s="22" t="s">
        <v>32</v>
      </c>
      <c r="L46" s="7" t="s">
        <v>31</v>
      </c>
      <c r="M46" s="22" t="s">
        <v>32</v>
      </c>
      <c r="N46" s="7" t="s">
        <v>31</v>
      </c>
      <c r="O46" s="22" t="s">
        <v>32</v>
      </c>
      <c r="P46" s="7" t="s">
        <v>31</v>
      </c>
      <c r="Q46" s="22" t="s">
        <v>32</v>
      </c>
      <c r="S46" s="8" t="s">
        <v>265</v>
      </c>
    </row>
    <row r="47" spans="1:19" ht="15" customHeight="1" x14ac:dyDescent="0.25">
      <c r="A47" s="9">
        <v>1</v>
      </c>
      <c r="B47" s="14" t="s">
        <v>39</v>
      </c>
      <c r="C47" s="15" t="s">
        <v>302</v>
      </c>
      <c r="D47" s="14" t="s">
        <v>88</v>
      </c>
      <c r="E47" s="15" t="s">
        <v>303</v>
      </c>
      <c r="F47" s="14" t="s">
        <v>149</v>
      </c>
      <c r="G47" s="15" t="s">
        <v>304</v>
      </c>
      <c r="H47" s="14" t="s">
        <v>151</v>
      </c>
      <c r="I47" s="15" t="s">
        <v>305</v>
      </c>
      <c r="J47" s="14" t="s">
        <v>306</v>
      </c>
      <c r="K47" s="15" t="s">
        <v>307</v>
      </c>
      <c r="L47" s="14" t="s">
        <v>308</v>
      </c>
      <c r="M47" s="15" t="s">
        <v>309</v>
      </c>
      <c r="N47" s="14" t="s">
        <v>310</v>
      </c>
      <c r="O47" s="15" t="s">
        <v>311</v>
      </c>
      <c r="P47" s="14"/>
      <c r="Q47" s="15"/>
    </row>
    <row r="48" spans="1:19" ht="15" customHeight="1" x14ac:dyDescent="0.25">
      <c r="A48" s="9">
        <v>2</v>
      </c>
      <c r="B48" s="14" t="s">
        <v>39</v>
      </c>
      <c r="C48" s="15" t="s">
        <v>312</v>
      </c>
      <c r="D48" s="14" t="s">
        <v>88</v>
      </c>
      <c r="E48" s="15" t="s">
        <v>313</v>
      </c>
      <c r="F48" s="14" t="s">
        <v>149</v>
      </c>
      <c r="G48" s="15" t="s">
        <v>314</v>
      </c>
      <c r="H48" s="14" t="s">
        <v>151</v>
      </c>
      <c r="I48" s="15" t="s">
        <v>315</v>
      </c>
      <c r="J48" s="14" t="s">
        <v>316</v>
      </c>
      <c r="K48" s="15" t="s">
        <v>317</v>
      </c>
      <c r="L48" s="14"/>
      <c r="M48" s="15"/>
      <c r="N48" s="14" t="s">
        <v>109</v>
      </c>
      <c r="O48" s="15" t="s">
        <v>318</v>
      </c>
      <c r="P48" s="14"/>
      <c r="Q48" s="15"/>
    </row>
    <row r="49" spans="1:19" ht="15" customHeight="1" x14ac:dyDescent="0.25">
      <c r="A49" s="9">
        <v>3</v>
      </c>
      <c r="B49" s="14" t="s">
        <v>39</v>
      </c>
      <c r="C49" s="15" t="s">
        <v>319</v>
      </c>
      <c r="D49" s="14" t="s">
        <v>88</v>
      </c>
      <c r="E49" s="15" t="s">
        <v>320</v>
      </c>
      <c r="F49" s="14" t="s">
        <v>149</v>
      </c>
      <c r="G49" s="15" t="s">
        <v>42</v>
      </c>
      <c r="H49" s="14" t="s">
        <v>151</v>
      </c>
      <c r="I49" s="15" t="s">
        <v>321</v>
      </c>
      <c r="J49" s="14"/>
      <c r="K49" s="15"/>
      <c r="L49" s="14"/>
      <c r="M49" s="15"/>
      <c r="N49" s="14" t="s">
        <v>322</v>
      </c>
      <c r="O49" s="15" t="s">
        <v>323</v>
      </c>
      <c r="P49" s="14"/>
      <c r="Q49" s="15"/>
    </row>
    <row r="50" spans="1:19" ht="15" customHeight="1" x14ac:dyDescent="0.25">
      <c r="A50" s="9">
        <v>4</v>
      </c>
      <c r="B50" s="14" t="s">
        <v>39</v>
      </c>
      <c r="C50" s="15" t="s">
        <v>324</v>
      </c>
      <c r="D50" s="14" t="s">
        <v>88</v>
      </c>
      <c r="E50" s="15" t="s">
        <v>325</v>
      </c>
      <c r="F50" s="14" t="s">
        <v>149</v>
      </c>
      <c r="G50" s="15" t="s">
        <v>326</v>
      </c>
      <c r="H50" s="14" t="s">
        <v>151</v>
      </c>
      <c r="I50" s="15" t="s">
        <v>327</v>
      </c>
      <c r="J50" s="14"/>
      <c r="K50" s="15"/>
      <c r="L50" s="14"/>
      <c r="M50" s="15"/>
      <c r="N50" s="14"/>
      <c r="O50" s="15"/>
      <c r="P50" s="14"/>
      <c r="Q50" s="15"/>
    </row>
    <row r="51" spans="1:19" ht="15" customHeight="1" x14ac:dyDescent="0.25">
      <c r="A51" s="9">
        <v>5</v>
      </c>
      <c r="B51" s="14" t="s">
        <v>39</v>
      </c>
      <c r="C51" s="15" t="s">
        <v>328</v>
      </c>
      <c r="D51" s="14" t="s">
        <v>88</v>
      </c>
      <c r="E51" s="15" t="s">
        <v>329</v>
      </c>
      <c r="F51" s="14" t="s">
        <v>149</v>
      </c>
      <c r="G51" s="15" t="s">
        <v>330</v>
      </c>
      <c r="H51" s="14" t="s">
        <v>151</v>
      </c>
      <c r="I51" s="15" t="s">
        <v>331</v>
      </c>
      <c r="J51" s="14"/>
      <c r="K51" s="15"/>
      <c r="L51" s="14"/>
      <c r="M51" s="15"/>
      <c r="N51" s="14"/>
      <c r="O51" s="15"/>
      <c r="P51" s="14"/>
      <c r="Q51" s="15"/>
    </row>
    <row r="52" spans="1:19" ht="15" customHeight="1" x14ac:dyDescent="0.25">
      <c r="A52" s="9">
        <v>6</v>
      </c>
      <c r="B52" s="14" t="s">
        <v>332</v>
      </c>
      <c r="C52" s="15" t="s">
        <v>333</v>
      </c>
      <c r="D52" s="14" t="s">
        <v>88</v>
      </c>
      <c r="E52" s="15" t="s">
        <v>334</v>
      </c>
      <c r="F52" s="14" t="s">
        <v>149</v>
      </c>
      <c r="G52" s="15" t="s">
        <v>335</v>
      </c>
      <c r="H52" s="14" t="s">
        <v>151</v>
      </c>
      <c r="I52" s="15" t="s">
        <v>336</v>
      </c>
      <c r="J52" s="14"/>
      <c r="K52" s="15"/>
      <c r="L52" s="14"/>
      <c r="M52" s="15"/>
      <c r="N52" s="14"/>
      <c r="O52" s="15"/>
      <c r="P52" s="14"/>
      <c r="Q52" s="15"/>
    </row>
    <row r="53" spans="1:19" ht="15" customHeight="1" x14ac:dyDescent="0.25">
      <c r="A53" s="9">
        <v>7</v>
      </c>
      <c r="B53" s="14" t="s">
        <v>332</v>
      </c>
      <c r="C53" s="15" t="s">
        <v>337</v>
      </c>
      <c r="D53" s="14"/>
      <c r="E53" s="15"/>
      <c r="F53" s="14" t="s">
        <v>149</v>
      </c>
      <c r="G53" s="15" t="s">
        <v>338</v>
      </c>
      <c r="H53" s="14" t="s">
        <v>151</v>
      </c>
      <c r="I53" s="15" t="s">
        <v>339</v>
      </c>
      <c r="J53" s="14"/>
      <c r="K53" s="15"/>
      <c r="L53" s="14"/>
      <c r="M53" s="15"/>
      <c r="N53" s="14"/>
      <c r="O53" s="15"/>
      <c r="P53" s="14"/>
      <c r="Q53" s="15"/>
    </row>
    <row r="54" spans="1:19" ht="15" customHeight="1" x14ac:dyDescent="0.25">
      <c r="A54" s="9">
        <v>8</v>
      </c>
      <c r="B54" s="14" t="s">
        <v>332</v>
      </c>
      <c r="C54" s="15" t="s">
        <v>340</v>
      </c>
      <c r="D54" s="14"/>
      <c r="E54" s="15"/>
      <c r="F54" s="14" t="s">
        <v>149</v>
      </c>
      <c r="G54" s="15" t="s">
        <v>42</v>
      </c>
      <c r="H54" s="14"/>
      <c r="I54" s="15"/>
      <c r="J54" s="14"/>
      <c r="K54" s="15"/>
      <c r="L54" s="14"/>
      <c r="M54" s="15"/>
      <c r="N54" s="14"/>
      <c r="O54" s="15"/>
      <c r="P54" s="14"/>
      <c r="Q54" s="15"/>
    </row>
    <row r="55" spans="1:19" ht="15" customHeight="1" x14ac:dyDescent="0.25">
      <c r="A55" s="9">
        <v>9</v>
      </c>
      <c r="B55" s="14" t="s">
        <v>332</v>
      </c>
      <c r="C55" s="15" t="s">
        <v>341</v>
      </c>
      <c r="D55" s="14"/>
      <c r="E55" s="15"/>
      <c r="F55" s="14"/>
      <c r="G55" s="15"/>
      <c r="H55" s="14"/>
      <c r="I55" s="15"/>
      <c r="J55" s="14"/>
      <c r="K55" s="15"/>
      <c r="L55" s="14"/>
      <c r="M55" s="15"/>
      <c r="N55" s="14"/>
      <c r="O55" s="15"/>
      <c r="P55" s="14"/>
      <c r="Q55" s="15"/>
    </row>
    <row r="56" spans="1:19" ht="15" customHeight="1" x14ac:dyDescent="0.25">
      <c r="A56" s="9">
        <v>10</v>
      </c>
      <c r="B56" s="14"/>
      <c r="C56" s="15"/>
      <c r="D56" s="14"/>
      <c r="E56" s="15"/>
      <c r="F56" s="14"/>
      <c r="G56" s="15"/>
      <c r="H56" s="14"/>
      <c r="I56" s="15"/>
      <c r="J56" s="14"/>
      <c r="K56" s="15"/>
      <c r="L56" s="14"/>
      <c r="M56" s="15"/>
      <c r="N56" s="14"/>
      <c r="O56" s="15"/>
      <c r="P56" s="14"/>
      <c r="Q56" s="15"/>
    </row>
    <row r="57" spans="1:19" ht="15" customHeight="1" x14ac:dyDescent="0.25">
      <c r="A57" s="9">
        <v>11</v>
      </c>
      <c r="B57" s="14"/>
      <c r="C57" s="15"/>
      <c r="D57" s="14"/>
      <c r="E57" s="15"/>
      <c r="F57" s="14"/>
      <c r="G57" s="15"/>
      <c r="H57" s="14"/>
      <c r="I57" s="15"/>
      <c r="J57" s="14"/>
      <c r="K57" s="15"/>
      <c r="L57" s="14"/>
      <c r="M57" s="15"/>
      <c r="N57" s="14"/>
      <c r="O57" s="15"/>
      <c r="P57" s="14"/>
      <c r="Q57" s="15"/>
    </row>
    <row r="58" spans="1:19" ht="15" customHeight="1" x14ac:dyDescent="0.25">
      <c r="A58" s="9">
        <v>12</v>
      </c>
      <c r="B58" s="14"/>
      <c r="C58" s="15"/>
      <c r="D58" s="14"/>
      <c r="E58" s="15"/>
      <c r="F58" s="14"/>
      <c r="G58" s="15"/>
      <c r="H58" s="14"/>
      <c r="I58" s="15"/>
      <c r="J58" s="14"/>
      <c r="K58" s="15"/>
      <c r="L58" s="14"/>
      <c r="M58" s="15"/>
      <c r="N58" s="14"/>
      <c r="O58" s="15"/>
      <c r="P58" s="14"/>
      <c r="Q58" s="15"/>
    </row>
    <row r="59" spans="1:19" ht="16.5" customHeight="1" x14ac:dyDescent="0.25">
      <c r="A59" s="16" t="s">
        <v>64</v>
      </c>
      <c r="B59" s="17">
        <f>COUNTA(B47:B58)</f>
        <v>9</v>
      </c>
      <c r="C59" s="18" t="s">
        <v>65</v>
      </c>
      <c r="D59" s="17">
        <f>COUNTA(D47:D58)</f>
        <v>6</v>
      </c>
      <c r="E59" s="18" t="s">
        <v>65</v>
      </c>
      <c r="F59" s="17">
        <f>COUNTA(F47:F58)</f>
        <v>8</v>
      </c>
      <c r="G59" s="18" t="s">
        <v>65</v>
      </c>
      <c r="H59" s="17">
        <f>COUNTA(H47:H58)</f>
        <v>7</v>
      </c>
      <c r="I59" s="18" t="s">
        <v>65</v>
      </c>
      <c r="J59" s="17">
        <f>COUNTA(J47:J58)</f>
        <v>2</v>
      </c>
      <c r="K59" s="18" t="s">
        <v>65</v>
      </c>
      <c r="L59" s="17">
        <f>COUNTA(L47:L58)</f>
        <v>1</v>
      </c>
      <c r="M59" s="18" t="s">
        <v>65</v>
      </c>
      <c r="N59" s="17">
        <f>COUNTA(N47:N58)</f>
        <v>3</v>
      </c>
      <c r="O59" s="18" t="s">
        <v>65</v>
      </c>
      <c r="P59" s="17">
        <f>COUNTA(P47:P58)</f>
        <v>0</v>
      </c>
      <c r="Q59" s="18" t="s">
        <v>65</v>
      </c>
      <c r="S59" s="20">
        <f>SUM(B59:Q59)</f>
        <v>36</v>
      </c>
    </row>
    <row r="60" spans="1:19" x14ac:dyDescent="0.25">
      <c r="C60" s="21"/>
      <c r="E60" s="21"/>
      <c r="G60" s="21"/>
      <c r="I60" s="21"/>
      <c r="K60" s="21"/>
      <c r="M60" s="21"/>
      <c r="O60" s="21"/>
      <c r="Q60" s="21"/>
    </row>
    <row r="61" spans="1:19" ht="19.5" customHeight="1" x14ac:dyDescent="0.25">
      <c r="A61" s="73" t="s">
        <v>342</v>
      </c>
      <c r="B61" s="73"/>
      <c r="C61" s="73"/>
      <c r="D61" s="73"/>
      <c r="E61" s="73"/>
      <c r="F61" s="73"/>
      <c r="G61" s="73"/>
      <c r="H61" s="73"/>
      <c r="I61" s="73"/>
      <c r="J61" s="73"/>
      <c r="K61" s="73"/>
      <c r="L61" s="73"/>
      <c r="M61" s="73"/>
      <c r="N61" s="73"/>
      <c r="O61" s="73"/>
      <c r="P61" s="73"/>
      <c r="Q61" s="73"/>
    </row>
    <row r="62" spans="1:19" ht="18" customHeight="1" x14ac:dyDescent="0.25">
      <c r="A62" s="6" t="s">
        <v>13</v>
      </c>
      <c r="B62" s="70" t="s">
        <v>343</v>
      </c>
      <c r="C62" s="70"/>
      <c r="D62" s="70" t="s">
        <v>344</v>
      </c>
      <c r="E62" s="70"/>
      <c r="F62" s="70" t="s">
        <v>345</v>
      </c>
      <c r="G62" s="70"/>
      <c r="H62" s="70" t="s">
        <v>346</v>
      </c>
      <c r="I62" s="70"/>
      <c r="J62" s="70" t="s">
        <v>347</v>
      </c>
      <c r="K62" s="70"/>
      <c r="L62" s="70" t="s">
        <v>348</v>
      </c>
      <c r="M62" s="70"/>
      <c r="N62" s="70" t="s">
        <v>349</v>
      </c>
      <c r="O62" s="70"/>
      <c r="P62" s="70" t="s">
        <v>350</v>
      </c>
      <c r="Q62" s="70"/>
    </row>
    <row r="63" spans="1:19" ht="15" customHeight="1" x14ac:dyDescent="0.25">
      <c r="A63" s="7" t="s">
        <v>30</v>
      </c>
      <c r="B63" s="7" t="s">
        <v>31</v>
      </c>
      <c r="C63" s="22" t="s">
        <v>32</v>
      </c>
      <c r="D63" s="7" t="s">
        <v>31</v>
      </c>
      <c r="E63" s="22" t="s">
        <v>32</v>
      </c>
      <c r="F63" s="7" t="s">
        <v>31</v>
      </c>
      <c r="G63" s="22" t="s">
        <v>32</v>
      </c>
      <c r="H63" s="7" t="s">
        <v>31</v>
      </c>
      <c r="I63" s="22" t="s">
        <v>32</v>
      </c>
      <c r="J63" s="7" t="s">
        <v>31</v>
      </c>
      <c r="K63" s="22" t="s">
        <v>32</v>
      </c>
      <c r="L63" s="7" t="s">
        <v>31</v>
      </c>
      <c r="M63" s="22" t="s">
        <v>32</v>
      </c>
      <c r="N63" s="7" t="s">
        <v>31</v>
      </c>
      <c r="O63" s="22" t="s">
        <v>32</v>
      </c>
      <c r="P63" s="7" t="s">
        <v>31</v>
      </c>
      <c r="Q63" s="22" t="s">
        <v>32</v>
      </c>
      <c r="S63" s="8" t="s">
        <v>265</v>
      </c>
    </row>
    <row r="64" spans="1:19" ht="15" customHeight="1" x14ac:dyDescent="0.25">
      <c r="A64" s="9">
        <v>1</v>
      </c>
      <c r="B64" s="14" t="s">
        <v>39</v>
      </c>
      <c r="C64" s="15" t="s">
        <v>351</v>
      </c>
      <c r="D64" s="14"/>
      <c r="E64" s="15"/>
      <c r="F64" s="14"/>
      <c r="G64" s="15"/>
      <c r="H64" s="14" t="s">
        <v>352</v>
      </c>
      <c r="I64" s="15" t="s">
        <v>353</v>
      </c>
      <c r="J64" s="14" t="s">
        <v>354</v>
      </c>
      <c r="K64" s="24" t="s">
        <v>355</v>
      </c>
      <c r="L64" s="14" t="s">
        <v>356</v>
      </c>
      <c r="M64" s="15" t="s">
        <v>357</v>
      </c>
      <c r="N64" s="14" t="s">
        <v>104</v>
      </c>
      <c r="O64" s="15" t="s">
        <v>42</v>
      </c>
      <c r="P64" s="14"/>
      <c r="Q64" s="15"/>
    </row>
    <row r="65" spans="1:19" ht="15" customHeight="1" x14ac:dyDescent="0.25">
      <c r="A65" s="9">
        <v>2</v>
      </c>
      <c r="B65" s="14" t="s">
        <v>39</v>
      </c>
      <c r="C65" s="15" t="s">
        <v>358</v>
      </c>
      <c r="D65" s="14"/>
      <c r="E65" s="15"/>
      <c r="F65" s="14"/>
      <c r="G65" s="15"/>
      <c r="H65" s="14" t="s">
        <v>359</v>
      </c>
      <c r="I65" s="15" t="s">
        <v>360</v>
      </c>
      <c r="J65" s="14"/>
      <c r="K65" s="24"/>
      <c r="L65" s="14" t="s">
        <v>362</v>
      </c>
      <c r="M65" s="15" t="s">
        <v>363</v>
      </c>
      <c r="N65" s="14" t="s">
        <v>104</v>
      </c>
      <c r="O65" s="15" t="s">
        <v>364</v>
      </c>
      <c r="P65" s="14"/>
      <c r="Q65" s="15"/>
    </row>
    <row r="66" spans="1:19" ht="15" customHeight="1" x14ac:dyDescent="0.25">
      <c r="A66" s="9">
        <v>3</v>
      </c>
      <c r="B66" s="14" t="s">
        <v>39</v>
      </c>
      <c r="C66" s="15" t="s">
        <v>365</v>
      </c>
      <c r="D66" s="14"/>
      <c r="E66" s="15"/>
      <c r="F66" s="14"/>
      <c r="G66" s="15"/>
      <c r="H66" s="14" t="s">
        <v>366</v>
      </c>
      <c r="I66" s="15" t="s">
        <v>367</v>
      </c>
      <c r="J66" s="14" t="s">
        <v>368</v>
      </c>
      <c r="K66" s="24" t="s">
        <v>369</v>
      </c>
      <c r="M66" s="21"/>
      <c r="N66" s="14"/>
      <c r="O66" s="15"/>
      <c r="P66" s="14"/>
      <c r="Q66" s="15"/>
    </row>
    <row r="67" spans="1:19" ht="15" customHeight="1" x14ac:dyDescent="0.25">
      <c r="A67" s="9">
        <v>4</v>
      </c>
      <c r="B67" s="14" t="s">
        <v>39</v>
      </c>
      <c r="C67" s="15" t="s">
        <v>370</v>
      </c>
      <c r="D67" s="14"/>
      <c r="E67" s="15"/>
      <c r="F67" s="14"/>
      <c r="G67" s="15"/>
      <c r="H67" s="14" t="s">
        <v>366</v>
      </c>
      <c r="I67" s="15" t="s">
        <v>371</v>
      </c>
      <c r="J67" s="14"/>
      <c r="K67" s="15"/>
      <c r="L67" s="14"/>
      <c r="M67" s="15"/>
      <c r="N67" s="14"/>
      <c r="O67" s="15"/>
      <c r="P67" s="14"/>
      <c r="Q67" s="15"/>
    </row>
    <row r="68" spans="1:19" ht="15" customHeight="1" x14ac:dyDescent="0.25">
      <c r="A68" s="9">
        <v>5</v>
      </c>
      <c r="B68" s="14" t="s">
        <v>39</v>
      </c>
      <c r="C68" s="15" t="s">
        <v>372</v>
      </c>
      <c r="D68" s="14"/>
      <c r="E68" s="15"/>
      <c r="F68" s="14"/>
      <c r="G68" s="15"/>
      <c r="H68" s="14" t="s">
        <v>366</v>
      </c>
      <c r="I68" s="15" t="s">
        <v>373</v>
      </c>
      <c r="J68" s="14"/>
      <c r="K68" s="15"/>
      <c r="L68" s="14"/>
      <c r="M68" s="15"/>
      <c r="N68" s="14"/>
      <c r="O68" s="15"/>
      <c r="P68" s="14"/>
      <c r="Q68" s="15"/>
    </row>
    <row r="69" spans="1:19" ht="15" customHeight="1" x14ac:dyDescent="0.25">
      <c r="A69" s="9">
        <v>6</v>
      </c>
      <c r="B69" s="14" t="s">
        <v>39</v>
      </c>
      <c r="C69" s="15" t="s">
        <v>42</v>
      </c>
      <c r="D69" s="14"/>
      <c r="E69" s="15"/>
      <c r="F69" s="14"/>
      <c r="G69" s="15"/>
      <c r="H69" s="14" t="s">
        <v>366</v>
      </c>
      <c r="I69" s="15" t="s">
        <v>374</v>
      </c>
      <c r="J69" s="14"/>
      <c r="K69" s="15"/>
      <c r="L69" s="14"/>
      <c r="M69" s="15"/>
      <c r="N69" s="14"/>
      <c r="O69" s="15"/>
      <c r="P69" s="14"/>
      <c r="Q69" s="15"/>
    </row>
    <row r="70" spans="1:19" ht="15" customHeight="1" x14ac:dyDescent="0.25">
      <c r="A70" s="9">
        <v>7</v>
      </c>
      <c r="B70" s="14" t="s">
        <v>39</v>
      </c>
      <c r="C70" s="15" t="s">
        <v>42</v>
      </c>
      <c r="D70" s="14"/>
      <c r="E70" s="15"/>
      <c r="F70" s="14"/>
      <c r="G70" s="15"/>
      <c r="H70" s="14" t="s">
        <v>375</v>
      </c>
      <c r="I70" s="15" t="s">
        <v>42</v>
      </c>
      <c r="J70" s="14"/>
      <c r="K70" s="15"/>
      <c r="L70" s="14"/>
      <c r="M70" s="15"/>
      <c r="N70" s="14"/>
      <c r="O70" s="15"/>
      <c r="P70" s="14"/>
      <c r="Q70" s="15"/>
    </row>
    <row r="71" spans="1:19" ht="15" customHeight="1" x14ac:dyDescent="0.25">
      <c r="A71" s="9">
        <v>8</v>
      </c>
      <c r="B71" s="14" t="s">
        <v>376</v>
      </c>
      <c r="C71" s="15" t="s">
        <v>377</v>
      </c>
      <c r="D71" s="14"/>
      <c r="E71" s="15"/>
      <c r="F71" s="14"/>
      <c r="G71" s="15"/>
      <c r="H71" s="14" t="s">
        <v>375</v>
      </c>
      <c r="I71" s="15" t="s">
        <v>42</v>
      </c>
      <c r="J71" s="14"/>
      <c r="K71" s="15"/>
      <c r="L71" s="14"/>
      <c r="M71" s="15"/>
      <c r="N71" s="14"/>
      <c r="O71" s="15"/>
      <c r="P71" s="14"/>
      <c r="Q71" s="15"/>
    </row>
    <row r="72" spans="1:19" ht="15" customHeight="1" x14ac:dyDescent="0.25">
      <c r="A72" s="9">
        <v>9</v>
      </c>
      <c r="B72" s="14"/>
      <c r="C72" s="15"/>
      <c r="D72" s="14"/>
      <c r="E72" s="15"/>
      <c r="F72" s="14"/>
      <c r="G72" s="15"/>
      <c r="H72" s="14"/>
      <c r="I72" s="15"/>
      <c r="J72" s="14"/>
      <c r="K72" s="15"/>
      <c r="L72" s="14"/>
      <c r="M72" s="15"/>
      <c r="N72" s="14"/>
      <c r="O72" s="15"/>
      <c r="P72" s="14"/>
      <c r="Q72" s="15"/>
    </row>
    <row r="73" spans="1:19" ht="15" customHeight="1" x14ac:dyDescent="0.25">
      <c r="A73" s="9">
        <v>10</v>
      </c>
      <c r="B73" s="14"/>
      <c r="C73" s="15"/>
      <c r="D73" s="14"/>
      <c r="E73" s="15"/>
      <c r="F73" s="14"/>
      <c r="G73" s="15"/>
      <c r="H73" s="14"/>
      <c r="I73" s="15"/>
      <c r="J73" s="14"/>
      <c r="K73" s="15"/>
      <c r="L73" s="14"/>
      <c r="M73" s="15"/>
      <c r="N73" s="14"/>
      <c r="O73" s="15"/>
      <c r="P73" s="14"/>
      <c r="Q73" s="15"/>
    </row>
    <row r="74" spans="1:19" ht="15" customHeight="1" x14ac:dyDescent="0.25">
      <c r="A74" s="9">
        <v>11</v>
      </c>
      <c r="B74" s="14"/>
      <c r="C74" s="15"/>
      <c r="D74" s="14"/>
      <c r="E74" s="15"/>
      <c r="F74" s="14"/>
      <c r="G74" s="15"/>
      <c r="H74" s="14"/>
      <c r="I74" s="15"/>
      <c r="J74" s="14"/>
      <c r="K74" s="15"/>
      <c r="L74" s="14"/>
      <c r="M74" s="15"/>
      <c r="N74" s="14"/>
      <c r="O74" s="15"/>
      <c r="P74" s="14"/>
      <c r="Q74" s="15"/>
    </row>
    <row r="75" spans="1:19" ht="15" customHeight="1" x14ac:dyDescent="0.25">
      <c r="A75" s="9">
        <v>12</v>
      </c>
      <c r="B75" s="14"/>
      <c r="C75" s="15"/>
      <c r="D75" s="14"/>
      <c r="E75" s="15"/>
      <c r="F75" s="14"/>
      <c r="G75" s="15"/>
      <c r="H75" s="14"/>
      <c r="I75" s="15"/>
      <c r="J75" s="14"/>
      <c r="K75" s="15"/>
      <c r="L75" s="14"/>
      <c r="M75" s="15"/>
      <c r="N75" s="14"/>
      <c r="O75" s="15"/>
      <c r="P75" s="14"/>
      <c r="Q75" s="15"/>
    </row>
    <row r="76" spans="1:19" ht="16.5" customHeight="1" x14ac:dyDescent="0.25">
      <c r="A76" s="16" t="s">
        <v>64</v>
      </c>
      <c r="B76" s="17">
        <f>COUNTA(B64:B75)</f>
        <v>8</v>
      </c>
      <c r="C76" s="18" t="s">
        <v>65</v>
      </c>
      <c r="D76" s="17">
        <f>COUNTA(D64:D75)</f>
        <v>0</v>
      </c>
      <c r="E76" s="18" t="s">
        <v>65</v>
      </c>
      <c r="F76" s="17">
        <f>COUNTA(F64:F75)</f>
        <v>0</v>
      </c>
      <c r="G76" s="18" t="s">
        <v>65</v>
      </c>
      <c r="H76" s="17">
        <f>COUNTA(H64:H75)</f>
        <v>8</v>
      </c>
      <c r="I76" s="18" t="s">
        <v>65</v>
      </c>
      <c r="J76" s="17">
        <f>COUNTA(J64:J75)</f>
        <v>2</v>
      </c>
      <c r="K76" s="18" t="s">
        <v>65</v>
      </c>
      <c r="L76" s="17">
        <f>COUNTA(L64:L75)</f>
        <v>2</v>
      </c>
      <c r="M76" s="18" t="s">
        <v>65</v>
      </c>
      <c r="N76" s="17">
        <f>COUNTA(N64:N75)</f>
        <v>2</v>
      </c>
      <c r="O76" s="18" t="s">
        <v>65</v>
      </c>
      <c r="P76" s="17">
        <f>COUNTA(P64:P75)</f>
        <v>0</v>
      </c>
      <c r="Q76" s="18" t="s">
        <v>65</v>
      </c>
      <c r="S76" s="20">
        <f>SUM(B76:Q76)</f>
        <v>22</v>
      </c>
    </row>
  </sheetData>
  <mergeCells count="56">
    <mergeCell ref="A61:Q61"/>
    <mergeCell ref="B62:C62"/>
    <mergeCell ref="D62:E62"/>
    <mergeCell ref="F62:G62"/>
    <mergeCell ref="H62:I62"/>
    <mergeCell ref="J62:K62"/>
    <mergeCell ref="L62:M62"/>
    <mergeCell ref="N62:O62"/>
    <mergeCell ref="P62:Q62"/>
    <mergeCell ref="F11:G11"/>
    <mergeCell ref="H11:I11"/>
    <mergeCell ref="A44:Q44"/>
    <mergeCell ref="B45:C45"/>
    <mergeCell ref="D45:E45"/>
    <mergeCell ref="F45:G45"/>
    <mergeCell ref="H45:I45"/>
    <mergeCell ref="J45:K45"/>
    <mergeCell ref="L45:M45"/>
    <mergeCell ref="N45:O45"/>
    <mergeCell ref="P45:Q45"/>
    <mergeCell ref="A27:Q27"/>
    <mergeCell ref="B28:C28"/>
    <mergeCell ref="D28:E28"/>
    <mergeCell ref="F28:G28"/>
    <mergeCell ref="H28:I28"/>
    <mergeCell ref="J28:K28"/>
    <mergeCell ref="L28:M28"/>
    <mergeCell ref="N28:O28"/>
    <mergeCell ref="P28:Q28"/>
    <mergeCell ref="J11:K11"/>
    <mergeCell ref="K5:L5"/>
    <mergeCell ref="M5:N5"/>
    <mergeCell ref="O5:P5"/>
    <mergeCell ref="A7:Q7"/>
    <mergeCell ref="A10:Q10"/>
    <mergeCell ref="A5:B5"/>
    <mergeCell ref="C5:D5"/>
    <mergeCell ref="E5:F5"/>
    <mergeCell ref="G5:H5"/>
    <mergeCell ref="I5:J5"/>
    <mergeCell ref="L11:M11"/>
    <mergeCell ref="N11:O11"/>
    <mergeCell ref="P11:Q11"/>
    <mergeCell ref="B11:C11"/>
    <mergeCell ref="D11:E11"/>
    <mergeCell ref="A1:Q1"/>
    <mergeCell ref="A2:Q2"/>
    <mergeCell ref="A3:Q3"/>
    <mergeCell ref="A4:B4"/>
    <mergeCell ref="C4:D4"/>
    <mergeCell ref="E4:F4"/>
    <mergeCell ref="G4:H4"/>
    <mergeCell ref="I4:J4"/>
    <mergeCell ref="K4:L4"/>
    <mergeCell ref="M4:N4"/>
    <mergeCell ref="O4:P4"/>
  </mergeCells>
  <conditionalFormatting sqref="B13:B24 D13:D24 F13:F24 H13:H24 J13:J24 L13:L24 N13:N24 P13:P24 B30:B41 D30:D41 F30:F41 H30:H41 L30:L41 N30:N41 P30:P41 B47:B58 D47:D58 F47:F58 H47:H58 J47:J58 L47:L58 N47:N58 P47:P58 L64:L65 B64:B75 D64:D75 F64:F75 H64:H75 J64:J75 N64:N75 P64:P75 L67:L75">
    <cfRule type="expression" dxfId="24" priority="3">
      <formula>LEN(B13)&gt;0</formula>
    </cfRule>
  </conditionalFormatting>
  <conditionalFormatting sqref="B25 D25 F25 H25 J25 L25 N25 P25 B42 D42 F42 H42 J42 L42 N42 P42 B59 D59 F59 H59 J59 L59 N59 P59 B76 D76 F76 H76 J76 L76 N76 P76">
    <cfRule type="expression" dxfId="23" priority="5">
      <formula>B25&gt;=12</formula>
    </cfRule>
    <cfRule type="expression" dxfId="22" priority="6">
      <formula>B25=0</formula>
    </cfRule>
  </conditionalFormatting>
  <conditionalFormatting sqref="C13:C24 E13:E24 G13:G24 I13:I24 K13:K24 M13:M24 O13:O24 Q13:Q24 C30:C41 E30:E41 G30:G41 I30:I41 K30:K41 M30:M41 O30:O41 Q30:Q41 C47:C58 E47:E58 G47:G58 I47:I58 K47:K58 M47:M58 O47:O58 Q47:Q58 C64:C75 E64:E75 G64:G75 I64:I75 K64:K75 O64:O75 Q64:Q75 M65 M67:M75">
    <cfRule type="expression" dxfId="21" priority="4">
      <formula>AND(LEN(B13)&gt;0,LEN(C13)=0)</formula>
    </cfRule>
  </conditionalFormatting>
  <conditionalFormatting sqref="J30:J41">
    <cfRule type="expression" dxfId="20" priority="2">
      <formula>LEN(J30)&gt;0</formula>
    </cfRule>
  </conditionalFormatting>
  <conditionalFormatting sqref="M64">
    <cfRule type="expression" dxfId="19" priority="7">
      <formula>AND(LEN(#REF!)&gt;0,LEN(M64)=0)</formula>
    </cfRule>
  </conditionalFormatting>
  <pageMargins left="0.75" right="0.75" top="1" bottom="1" header="0.511811023622047" footer="0.511811023622047"/>
  <pageSetup paperSize="3" orientation="landscape"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100-000000000000}">
          <x14:formula1>
            <xm:f>'Ready Models'!$A$8:$A$157</xm:f>
          </x14:formula1>
          <x14:formula2>
            <xm:f>0</xm:f>
          </x14:formula2>
          <xm:sqref>B13:B24 D13:D24 F13:F24 H13:H24 J13:J24 L13:L24 N13:N24 P13:P24 B30:B41 D30:D41 F30:F41 H30:H41 J30:J41 L30:L41 N30:N41 P30:P41 B47:B58 D47:D58 F47:F58 H47:H58 J47:J58 L47:L58 N47:N58 P47:P58 B64:B75 D64:D75 F64:F75 H64:H75 J64:J75 L64:L75 N64:N75 P64:P75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6E"/>
  </sheetPr>
  <dimension ref="A1:S51"/>
  <sheetViews>
    <sheetView showGridLines="0" tabSelected="1" topLeftCell="D1" zoomScaleNormal="100" workbookViewId="0">
      <pane ySplit="10" topLeftCell="A11" activePane="bottomLeft" state="frozen"/>
      <selection pane="bottomLeft" activeCell="E15" sqref="E15"/>
    </sheetView>
  </sheetViews>
  <sheetFormatPr defaultColWidth="8.5703125" defaultRowHeight="15" x14ac:dyDescent="0.25"/>
  <cols>
    <col min="1" max="1" width="32" customWidth="1"/>
    <col min="2" max="2" width="19" customWidth="1"/>
    <col min="3" max="3" width="7" customWidth="1"/>
    <col min="4" max="4" width="2" customWidth="1"/>
    <col min="5" max="5" width="32" customWidth="1"/>
    <col min="6" max="6" width="21.42578125" customWidth="1"/>
    <col min="7" max="7" width="7" customWidth="1"/>
    <col min="8" max="8" width="2" customWidth="1"/>
    <col min="9" max="9" width="32" customWidth="1"/>
    <col min="10" max="10" width="21.140625" customWidth="1"/>
    <col min="11" max="11" width="7" customWidth="1"/>
    <col min="12" max="12" width="2" customWidth="1"/>
    <col min="13" max="13" width="32.85546875" customWidth="1"/>
    <col min="14" max="14" width="26.7109375" customWidth="1"/>
    <col min="15" max="15" width="7" customWidth="1"/>
    <col min="16" max="16" width="2" customWidth="1"/>
    <col min="17" max="17" width="32" customWidth="1"/>
    <col min="18" max="18" width="19" customWidth="1"/>
    <col min="19" max="19" width="7" customWidth="1"/>
  </cols>
  <sheetData>
    <row r="1" spans="1:19" ht="25.5" customHeight="1" x14ac:dyDescent="0.25">
      <c r="A1" s="77" t="s">
        <v>378</v>
      </c>
      <c r="B1" s="77"/>
      <c r="C1" s="77"/>
      <c r="D1" s="77"/>
      <c r="E1" s="77"/>
      <c r="F1" s="77"/>
      <c r="G1" s="77"/>
      <c r="H1" s="77"/>
      <c r="I1" s="77"/>
      <c r="J1" s="77"/>
      <c r="K1" s="77"/>
      <c r="L1" s="77"/>
      <c r="M1" s="77"/>
      <c r="N1" s="77"/>
      <c r="O1" s="77"/>
      <c r="P1" s="77"/>
      <c r="Q1" s="77"/>
      <c r="R1" s="77"/>
      <c r="S1" s="77"/>
    </row>
    <row r="2" spans="1:19" ht="48" customHeight="1" x14ac:dyDescent="0.25">
      <c r="A2" s="78" t="s">
        <v>379</v>
      </c>
      <c r="B2" s="78"/>
      <c r="C2" s="78"/>
      <c r="D2" s="78"/>
      <c r="E2" s="78"/>
      <c r="F2" s="78"/>
      <c r="G2" s="78"/>
      <c r="H2" s="78"/>
      <c r="I2" s="78"/>
      <c r="J2" s="78"/>
      <c r="K2" s="78"/>
      <c r="L2" s="78"/>
      <c r="M2" s="78"/>
      <c r="N2" s="78"/>
      <c r="O2" s="78"/>
      <c r="P2" s="78"/>
      <c r="Q2" s="78"/>
      <c r="R2" s="78"/>
      <c r="S2" s="78"/>
    </row>
    <row r="3" spans="1:19" x14ac:dyDescent="0.25">
      <c r="A3" s="68" t="s">
        <v>380</v>
      </c>
      <c r="B3" s="68"/>
      <c r="C3" s="68"/>
      <c r="D3" s="68"/>
      <c r="E3" s="68"/>
      <c r="F3" s="68"/>
      <c r="G3" s="68"/>
      <c r="H3" s="68"/>
      <c r="I3" s="68"/>
      <c r="J3" s="68"/>
      <c r="K3" s="68"/>
      <c r="L3" s="68"/>
      <c r="M3" s="68"/>
      <c r="N3" s="68"/>
      <c r="O3" s="68"/>
      <c r="P3" s="68"/>
      <c r="Q3" s="68"/>
      <c r="R3" s="68"/>
      <c r="S3" s="68"/>
    </row>
    <row r="4" spans="1:19" ht="24" customHeight="1" x14ac:dyDescent="0.25">
      <c r="A4" s="69" t="s">
        <v>381</v>
      </c>
      <c r="B4" s="69"/>
      <c r="C4" s="69"/>
      <c r="E4" s="69" t="s">
        <v>382</v>
      </c>
      <c r="F4" s="69"/>
      <c r="G4" s="69"/>
      <c r="I4" s="69" t="s">
        <v>383</v>
      </c>
      <c r="J4" s="69"/>
      <c r="K4" s="69"/>
      <c r="M4" s="69" t="s">
        <v>384</v>
      </c>
      <c r="N4" s="69"/>
      <c r="O4" s="69"/>
      <c r="Q4" s="79" t="s">
        <v>385</v>
      </c>
      <c r="R4" s="79"/>
      <c r="S4" s="79"/>
    </row>
    <row r="5" spans="1:19" ht="21.75" customHeight="1" x14ac:dyDescent="0.25">
      <c r="A5" s="80">
        <f>SUM(C11:C50)+SUMPRODUCT((A11:A50&lt;&gt;"")*(C11:C50=""))</f>
        <v>9</v>
      </c>
      <c r="B5" s="80"/>
      <c r="C5" s="80"/>
      <c r="E5" s="80">
        <f>SUM(G11:G50)+SUMPRODUCT((E11:E50&lt;&gt;"")*(G11:G50=""))</f>
        <v>8</v>
      </c>
      <c r="F5" s="80"/>
      <c r="G5" s="80"/>
      <c r="I5" s="80">
        <f>SUM(K11:K50)+SUMPRODUCT((I11:I50&lt;&gt;"")*(K11:K50=""))</f>
        <v>12</v>
      </c>
      <c r="J5" s="80"/>
      <c r="K5" s="80"/>
      <c r="M5" s="80">
        <f>SUM(O11:O50)+SUMPRODUCT((M11:M50&lt;&gt;"")*(O11:O50=""))</f>
        <v>14</v>
      </c>
      <c r="N5" s="80"/>
      <c r="O5" s="80"/>
      <c r="Q5" s="81">
        <f>SUM(S11:S50)+SUMPRODUCT((Q11:Q50&lt;&gt;"")*(S11:S50=""))</f>
        <v>1</v>
      </c>
      <c r="R5" s="81"/>
      <c r="S5" s="81"/>
    </row>
    <row r="7" spans="1:19" ht="21.75" customHeight="1" x14ac:dyDescent="0.25">
      <c r="A7" s="82" t="s">
        <v>386</v>
      </c>
      <c r="B7" s="82"/>
      <c r="C7" s="82"/>
      <c r="D7" s="82"/>
      <c r="E7" s="82"/>
      <c r="F7" s="82"/>
      <c r="G7" s="82"/>
      <c r="H7" s="82"/>
      <c r="I7" s="82"/>
      <c r="J7" s="82"/>
      <c r="K7" s="82"/>
      <c r="L7" s="82"/>
      <c r="M7" s="82"/>
      <c r="N7" s="82"/>
      <c r="O7" s="82"/>
      <c r="P7" s="82"/>
      <c r="Q7" s="82"/>
      <c r="R7" s="82"/>
      <c r="S7" s="82"/>
    </row>
    <row r="9" spans="1:19" ht="19.5" customHeight="1" x14ac:dyDescent="0.25">
      <c r="A9" s="83" t="s">
        <v>387</v>
      </c>
      <c r="B9" s="83"/>
      <c r="C9" s="83"/>
      <c r="E9" s="83" t="s">
        <v>388</v>
      </c>
      <c r="F9" s="83"/>
      <c r="G9" s="83"/>
      <c r="I9" s="83" t="s">
        <v>389</v>
      </c>
      <c r="J9" s="83"/>
      <c r="K9" s="83"/>
      <c r="M9" s="83" t="s">
        <v>390</v>
      </c>
      <c r="N9" s="83"/>
      <c r="O9" s="83"/>
      <c r="Q9" s="84" t="s">
        <v>391</v>
      </c>
      <c r="R9" s="84"/>
      <c r="S9" s="84"/>
    </row>
    <row r="10" spans="1:19" ht="15.75" customHeight="1" x14ac:dyDescent="0.25">
      <c r="A10" s="26" t="s">
        <v>392</v>
      </c>
      <c r="B10" s="26" t="s">
        <v>393</v>
      </c>
      <c r="C10" s="26" t="s">
        <v>34</v>
      </c>
      <c r="E10" s="26" t="s">
        <v>392</v>
      </c>
      <c r="F10" s="26" t="s">
        <v>393</v>
      </c>
      <c r="G10" s="26" t="s">
        <v>34</v>
      </c>
      <c r="I10" s="26" t="s">
        <v>392</v>
      </c>
      <c r="J10" s="26" t="s">
        <v>393</v>
      </c>
      <c r="K10" s="26" t="s">
        <v>34</v>
      </c>
      <c r="M10" s="26" t="s">
        <v>392</v>
      </c>
      <c r="N10" s="26" t="s">
        <v>393</v>
      </c>
      <c r="O10" s="26" t="s">
        <v>34</v>
      </c>
      <c r="Q10" s="27" t="s">
        <v>392</v>
      </c>
      <c r="R10" s="27" t="s">
        <v>393</v>
      </c>
      <c r="S10" s="27" t="s">
        <v>34</v>
      </c>
    </row>
    <row r="11" spans="1:19" ht="15" customHeight="1" x14ac:dyDescent="0.25">
      <c r="A11" s="28" t="s">
        <v>332</v>
      </c>
      <c r="B11" s="29" t="s">
        <v>394</v>
      </c>
      <c r="C11" s="30">
        <v>1</v>
      </c>
      <c r="E11" s="28" t="s">
        <v>395</v>
      </c>
      <c r="F11" s="29" t="s">
        <v>396</v>
      </c>
      <c r="G11" s="30">
        <v>1</v>
      </c>
      <c r="I11" s="28" t="s">
        <v>153</v>
      </c>
      <c r="J11" s="29" t="s">
        <v>397</v>
      </c>
      <c r="K11" s="30">
        <v>1</v>
      </c>
      <c r="M11" s="28" t="s">
        <v>238</v>
      </c>
      <c r="N11" s="29" t="s">
        <v>398</v>
      </c>
      <c r="O11" s="30">
        <v>1</v>
      </c>
      <c r="Q11" s="31" t="s">
        <v>86</v>
      </c>
      <c r="R11" s="32"/>
      <c r="S11" s="33">
        <v>1</v>
      </c>
    </row>
    <row r="12" spans="1:19" ht="15" customHeight="1" x14ac:dyDescent="0.25">
      <c r="A12" s="28" t="s">
        <v>399</v>
      </c>
      <c r="B12" s="29" t="s">
        <v>400</v>
      </c>
      <c r="C12" s="30">
        <v>1</v>
      </c>
      <c r="E12" s="28" t="s">
        <v>151</v>
      </c>
      <c r="F12" s="29" t="s">
        <v>401</v>
      </c>
      <c r="G12" s="30">
        <v>1</v>
      </c>
      <c r="I12" s="28" t="s">
        <v>151</v>
      </c>
      <c r="J12" s="29" t="s">
        <v>402</v>
      </c>
      <c r="K12" s="30">
        <v>1</v>
      </c>
      <c r="M12" s="28" t="s">
        <v>92</v>
      </c>
      <c r="N12" s="29" t="s">
        <v>403</v>
      </c>
      <c r="O12" s="30">
        <v>1</v>
      </c>
      <c r="Q12" s="31"/>
      <c r="R12" s="32"/>
      <c r="S12" s="33"/>
    </row>
    <row r="13" spans="1:19" ht="15" customHeight="1" x14ac:dyDescent="0.25">
      <c r="A13" s="28" t="s">
        <v>232</v>
      </c>
      <c r="B13" s="29" t="s">
        <v>404</v>
      </c>
      <c r="C13" s="30">
        <v>1</v>
      </c>
      <c r="E13" s="28" t="s">
        <v>405</v>
      </c>
      <c r="F13" s="29" t="s">
        <v>406</v>
      </c>
      <c r="G13" s="30">
        <v>1</v>
      </c>
      <c r="I13" s="28" t="s">
        <v>407</v>
      </c>
      <c r="J13" s="29" t="s">
        <v>408</v>
      </c>
      <c r="K13" s="30">
        <v>1</v>
      </c>
      <c r="M13" s="28" t="s">
        <v>409</v>
      </c>
      <c r="N13" s="29" t="s">
        <v>410</v>
      </c>
      <c r="O13" s="30">
        <v>1</v>
      </c>
      <c r="Q13" s="31"/>
      <c r="R13" s="32"/>
      <c r="S13" s="33"/>
    </row>
    <row r="14" spans="1:19" ht="15" customHeight="1" x14ac:dyDescent="0.25">
      <c r="A14" s="28" t="s">
        <v>411</v>
      </c>
      <c r="B14" s="29" t="s">
        <v>412</v>
      </c>
      <c r="C14" s="30">
        <v>1</v>
      </c>
      <c r="E14" s="28" t="s">
        <v>413</v>
      </c>
      <c r="F14" s="29" t="s">
        <v>414</v>
      </c>
      <c r="G14" s="30">
        <v>1</v>
      </c>
      <c r="I14" s="28" t="s">
        <v>407</v>
      </c>
      <c r="J14" s="29" t="s">
        <v>415</v>
      </c>
      <c r="K14" s="30">
        <v>1</v>
      </c>
      <c r="M14" s="28" t="s">
        <v>211</v>
      </c>
      <c r="N14" s="29" t="s">
        <v>416</v>
      </c>
      <c r="O14" s="30">
        <v>1</v>
      </c>
      <c r="Q14" s="31"/>
      <c r="R14" s="32"/>
      <c r="S14" s="33"/>
    </row>
    <row r="15" spans="1:19" ht="15" customHeight="1" x14ac:dyDescent="0.25">
      <c r="A15" s="28" t="s">
        <v>417</v>
      </c>
      <c r="B15" s="29" t="s">
        <v>418</v>
      </c>
      <c r="C15" s="30">
        <v>1</v>
      </c>
      <c r="E15" s="28" t="s">
        <v>146</v>
      </c>
      <c r="F15" s="29" t="s">
        <v>419</v>
      </c>
      <c r="G15" s="30">
        <v>1</v>
      </c>
      <c r="I15" s="28" t="s">
        <v>407</v>
      </c>
      <c r="J15" s="29" t="s">
        <v>420</v>
      </c>
      <c r="K15" s="30">
        <v>1</v>
      </c>
      <c r="M15" s="28" t="s">
        <v>39</v>
      </c>
      <c r="N15" s="29" t="s">
        <v>42</v>
      </c>
      <c r="O15" s="30">
        <v>1</v>
      </c>
      <c r="Q15" s="31"/>
      <c r="R15" s="32"/>
      <c r="S15" s="33"/>
    </row>
    <row r="16" spans="1:19" ht="15" customHeight="1" x14ac:dyDescent="0.25">
      <c r="A16" s="28" t="s">
        <v>421</v>
      </c>
      <c r="B16" s="29" t="s">
        <v>422</v>
      </c>
      <c r="C16" s="30">
        <v>1</v>
      </c>
      <c r="E16" s="28" t="s">
        <v>423</v>
      </c>
      <c r="F16" s="29" t="s">
        <v>424</v>
      </c>
      <c r="G16" s="30">
        <v>1</v>
      </c>
      <c r="I16" s="28" t="s">
        <v>407</v>
      </c>
      <c r="J16" s="29" t="s">
        <v>425</v>
      </c>
      <c r="K16" s="30">
        <v>1</v>
      </c>
      <c r="M16" s="28" t="s">
        <v>426</v>
      </c>
      <c r="N16" s="29" t="s">
        <v>427</v>
      </c>
      <c r="O16" s="30">
        <v>1</v>
      </c>
      <c r="Q16" s="31"/>
      <c r="R16" s="32"/>
      <c r="S16" s="33"/>
    </row>
    <row r="17" spans="1:19" ht="15" customHeight="1" x14ac:dyDescent="0.25">
      <c r="A17" s="28" t="s">
        <v>421</v>
      </c>
      <c r="B17" s="29" t="s">
        <v>428</v>
      </c>
      <c r="C17" s="30">
        <v>1</v>
      </c>
      <c r="E17" s="28" t="s">
        <v>429</v>
      </c>
      <c r="F17" s="29" t="s">
        <v>430</v>
      </c>
      <c r="G17" s="30">
        <v>1</v>
      </c>
      <c r="I17" s="28" t="s">
        <v>407</v>
      </c>
      <c r="J17" s="29" t="s">
        <v>431</v>
      </c>
      <c r="K17" s="30">
        <v>1</v>
      </c>
      <c r="M17" s="28" t="s">
        <v>361</v>
      </c>
      <c r="N17" s="29" t="s">
        <v>432</v>
      </c>
      <c r="O17" s="30">
        <v>1</v>
      </c>
      <c r="Q17" s="31"/>
      <c r="R17" s="32"/>
      <c r="S17" s="33"/>
    </row>
    <row r="18" spans="1:19" ht="15" customHeight="1" x14ac:dyDescent="0.25">
      <c r="A18" s="28" t="s">
        <v>433</v>
      </c>
      <c r="B18" s="29" t="s">
        <v>434</v>
      </c>
      <c r="C18" s="30">
        <v>1</v>
      </c>
      <c r="E18" s="28" t="s">
        <v>429</v>
      </c>
      <c r="F18" s="29" t="s">
        <v>435</v>
      </c>
      <c r="G18" s="30">
        <v>1</v>
      </c>
      <c r="I18" s="28" t="s">
        <v>407</v>
      </c>
      <c r="J18" s="29" t="s">
        <v>436</v>
      </c>
      <c r="K18" s="30">
        <v>1</v>
      </c>
      <c r="M18" s="28" t="s">
        <v>215</v>
      </c>
      <c r="N18" s="29" t="s">
        <v>437</v>
      </c>
      <c r="O18" s="30">
        <v>1</v>
      </c>
      <c r="Q18" s="31"/>
      <c r="R18" s="32"/>
      <c r="S18" s="33"/>
    </row>
    <row r="19" spans="1:19" ht="15" customHeight="1" x14ac:dyDescent="0.25">
      <c r="A19" s="28" t="s">
        <v>438</v>
      </c>
      <c r="B19" s="29" t="s">
        <v>439</v>
      </c>
      <c r="C19" s="30">
        <v>1</v>
      </c>
      <c r="E19" s="28"/>
      <c r="F19" s="29"/>
      <c r="G19" s="30"/>
      <c r="I19" s="28" t="s">
        <v>407</v>
      </c>
      <c r="J19" s="29" t="s">
        <v>440</v>
      </c>
      <c r="K19" s="30">
        <v>1</v>
      </c>
      <c r="M19" s="28" t="s">
        <v>86</v>
      </c>
      <c r="N19" s="29" t="s">
        <v>441</v>
      </c>
      <c r="O19" s="30">
        <v>1</v>
      </c>
      <c r="Q19" s="31"/>
      <c r="R19" s="32"/>
      <c r="S19" s="33"/>
    </row>
    <row r="20" spans="1:19" ht="15" customHeight="1" x14ac:dyDescent="0.25">
      <c r="A20" s="28"/>
      <c r="B20" s="29"/>
      <c r="C20" s="30"/>
      <c r="E20" s="28"/>
      <c r="F20" s="29"/>
      <c r="G20" s="30"/>
      <c r="I20" s="28" t="s">
        <v>332</v>
      </c>
      <c r="J20" s="29" t="s">
        <v>442</v>
      </c>
      <c r="K20" s="30">
        <v>1</v>
      </c>
      <c r="M20" s="28" t="s">
        <v>443</v>
      </c>
      <c r="N20" s="29" t="s">
        <v>444</v>
      </c>
      <c r="O20" s="30">
        <v>1</v>
      </c>
      <c r="Q20" s="31"/>
      <c r="R20" s="32"/>
      <c r="S20" s="33"/>
    </row>
    <row r="21" spans="1:19" ht="15" customHeight="1" x14ac:dyDescent="0.25">
      <c r="A21" s="28"/>
      <c r="B21" s="29"/>
      <c r="C21" s="30"/>
      <c r="E21" s="28"/>
      <c r="F21" s="29"/>
      <c r="G21" s="30"/>
      <c r="I21" s="28" t="s">
        <v>144</v>
      </c>
      <c r="J21" s="29" t="s">
        <v>445</v>
      </c>
      <c r="K21" s="30">
        <v>1</v>
      </c>
      <c r="M21" s="28" t="s">
        <v>446</v>
      </c>
      <c r="N21" s="29" t="s">
        <v>447</v>
      </c>
      <c r="O21" s="30">
        <v>1</v>
      </c>
      <c r="Q21" s="31"/>
      <c r="R21" s="32"/>
      <c r="S21" s="33"/>
    </row>
    <row r="22" spans="1:19" ht="15" customHeight="1" x14ac:dyDescent="0.25">
      <c r="A22" s="28"/>
      <c r="B22" s="29"/>
      <c r="C22" s="30"/>
      <c r="E22" s="28"/>
      <c r="F22" s="29"/>
      <c r="G22" s="30"/>
      <c r="I22" s="28" t="s">
        <v>448</v>
      </c>
      <c r="J22" s="29" t="s">
        <v>449</v>
      </c>
      <c r="K22" s="30">
        <v>1</v>
      </c>
      <c r="M22" s="28" t="s">
        <v>438</v>
      </c>
      <c r="N22" s="29" t="s">
        <v>450</v>
      </c>
      <c r="O22" s="30">
        <v>1</v>
      </c>
      <c r="Q22" s="31"/>
      <c r="R22" s="32"/>
      <c r="S22" s="33"/>
    </row>
    <row r="23" spans="1:19" ht="15" customHeight="1" x14ac:dyDescent="0.25">
      <c r="A23" s="28"/>
      <c r="B23" s="29"/>
      <c r="C23" s="30"/>
      <c r="E23" s="28"/>
      <c r="F23" s="29"/>
      <c r="G23" s="30"/>
      <c r="I23" s="28"/>
      <c r="J23" s="29"/>
      <c r="K23" s="30"/>
      <c r="M23" s="28" t="s">
        <v>451</v>
      </c>
      <c r="N23" s="29" t="s">
        <v>452</v>
      </c>
      <c r="O23" s="30">
        <v>1</v>
      </c>
      <c r="Q23" s="31"/>
      <c r="R23" s="32"/>
      <c r="S23" s="33"/>
    </row>
    <row r="24" spans="1:19" ht="15" customHeight="1" x14ac:dyDescent="0.25">
      <c r="A24" s="28"/>
      <c r="B24" s="29"/>
      <c r="C24" s="30"/>
      <c r="E24" s="28"/>
      <c r="F24" s="29"/>
      <c r="G24" s="30"/>
      <c r="I24" s="28"/>
      <c r="J24" s="29"/>
      <c r="K24" s="30"/>
      <c r="M24" s="28" t="s">
        <v>453</v>
      </c>
      <c r="N24" s="29" t="s">
        <v>454</v>
      </c>
      <c r="O24" s="30">
        <v>1</v>
      </c>
      <c r="Q24" s="31"/>
      <c r="R24" s="32"/>
      <c r="S24" s="33"/>
    </row>
    <row r="25" spans="1:19" ht="15" customHeight="1" x14ac:dyDescent="0.25">
      <c r="A25" s="28"/>
      <c r="B25" s="29"/>
      <c r="C25" s="30"/>
      <c r="E25" s="28"/>
      <c r="F25" s="29"/>
      <c r="G25" s="30"/>
      <c r="I25" s="28"/>
      <c r="J25" s="29"/>
      <c r="K25" s="30"/>
      <c r="M25" s="28"/>
      <c r="N25" s="29"/>
      <c r="O25" s="30"/>
      <c r="Q25" s="31"/>
      <c r="R25" s="32"/>
      <c r="S25" s="33"/>
    </row>
    <row r="26" spans="1:19" ht="15" customHeight="1" x14ac:dyDescent="0.25">
      <c r="A26" s="28"/>
      <c r="B26" s="29"/>
      <c r="C26" s="30"/>
      <c r="E26" s="28"/>
      <c r="F26" s="29"/>
      <c r="G26" s="30"/>
      <c r="I26" s="28"/>
      <c r="J26" s="29"/>
      <c r="K26" s="30"/>
      <c r="M26" s="28"/>
      <c r="N26" s="29"/>
      <c r="O26" s="30"/>
      <c r="Q26" s="31"/>
      <c r="R26" s="32"/>
      <c r="S26" s="33"/>
    </row>
    <row r="27" spans="1:19" ht="15" customHeight="1" x14ac:dyDescent="0.25">
      <c r="A27" s="28"/>
      <c r="B27" s="29"/>
      <c r="C27" s="30"/>
      <c r="E27" s="28"/>
      <c r="F27" s="29"/>
      <c r="G27" s="30"/>
      <c r="I27" s="28"/>
      <c r="J27" s="29"/>
      <c r="K27" s="30"/>
      <c r="M27" s="28"/>
      <c r="N27" s="29"/>
      <c r="O27" s="30"/>
      <c r="Q27" s="31"/>
      <c r="R27" s="32"/>
      <c r="S27" s="33"/>
    </row>
    <row r="28" spans="1:19" ht="15" customHeight="1" x14ac:dyDescent="0.25">
      <c r="A28" s="28"/>
      <c r="B28" s="29"/>
      <c r="C28" s="30"/>
      <c r="E28" s="28"/>
      <c r="F28" s="29"/>
      <c r="G28" s="30"/>
      <c r="I28" s="28"/>
      <c r="J28" s="29"/>
      <c r="K28" s="30"/>
      <c r="M28" s="28"/>
      <c r="N28" s="29"/>
      <c r="O28" s="30"/>
      <c r="Q28" s="31"/>
      <c r="R28" s="32"/>
      <c r="S28" s="33"/>
    </row>
    <row r="29" spans="1:19" ht="15" customHeight="1" x14ac:dyDescent="0.25">
      <c r="A29" s="28"/>
      <c r="B29" s="29"/>
      <c r="C29" s="30"/>
      <c r="E29" s="28"/>
      <c r="F29" s="29"/>
      <c r="G29" s="30"/>
      <c r="I29" s="28"/>
      <c r="J29" s="29"/>
      <c r="K29" s="30"/>
      <c r="M29" s="28"/>
      <c r="N29" s="29"/>
      <c r="O29" s="30"/>
      <c r="Q29" s="31"/>
      <c r="R29" s="32"/>
      <c r="S29" s="33"/>
    </row>
    <row r="30" spans="1:19" ht="15" customHeight="1" x14ac:dyDescent="0.25">
      <c r="A30" s="28"/>
      <c r="B30" s="29"/>
      <c r="C30" s="30"/>
      <c r="E30" s="28"/>
      <c r="F30" s="29"/>
      <c r="G30" s="30"/>
      <c r="I30" s="28"/>
      <c r="J30" s="29"/>
      <c r="K30" s="30"/>
      <c r="M30" s="28"/>
      <c r="N30" s="29"/>
      <c r="O30" s="30"/>
      <c r="Q30" s="31"/>
      <c r="R30" s="32"/>
      <c r="S30" s="33"/>
    </row>
    <row r="31" spans="1:19" ht="15" customHeight="1" x14ac:dyDescent="0.25">
      <c r="A31" s="28"/>
      <c r="B31" s="29"/>
      <c r="C31" s="30"/>
      <c r="E31" s="28"/>
      <c r="F31" s="29"/>
      <c r="G31" s="30"/>
      <c r="I31" s="28"/>
      <c r="J31" s="29"/>
      <c r="K31" s="30"/>
      <c r="M31" s="28"/>
      <c r="N31" s="29"/>
      <c r="O31" s="30"/>
      <c r="Q31" s="31"/>
      <c r="R31" s="32"/>
      <c r="S31" s="33"/>
    </row>
    <row r="32" spans="1:19" ht="15" customHeight="1" x14ac:dyDescent="0.25">
      <c r="A32" s="28"/>
      <c r="B32" s="29"/>
      <c r="C32" s="30"/>
      <c r="E32" s="28"/>
      <c r="F32" s="29"/>
      <c r="G32" s="30"/>
      <c r="I32" s="28"/>
      <c r="J32" s="29"/>
      <c r="K32" s="30"/>
      <c r="M32" s="28"/>
      <c r="N32" s="29"/>
      <c r="O32" s="30"/>
      <c r="Q32" s="31"/>
      <c r="R32" s="32"/>
      <c r="S32" s="33"/>
    </row>
    <row r="33" spans="1:19" ht="15" customHeight="1" x14ac:dyDescent="0.25">
      <c r="A33" s="28"/>
      <c r="B33" s="29"/>
      <c r="C33" s="30"/>
      <c r="E33" s="28"/>
      <c r="F33" s="29"/>
      <c r="G33" s="30"/>
      <c r="I33" s="28"/>
      <c r="J33" s="29"/>
      <c r="K33" s="30"/>
      <c r="M33" s="28"/>
      <c r="N33" s="29"/>
      <c r="O33" s="30"/>
      <c r="Q33" s="31"/>
      <c r="R33" s="32"/>
      <c r="S33" s="33"/>
    </row>
    <row r="34" spans="1:19" ht="15" customHeight="1" x14ac:dyDescent="0.25">
      <c r="A34" s="28"/>
      <c r="B34" s="29"/>
      <c r="C34" s="30"/>
      <c r="E34" s="28"/>
      <c r="F34" s="29"/>
      <c r="G34" s="30"/>
      <c r="I34" s="28"/>
      <c r="J34" s="29"/>
      <c r="K34" s="30"/>
      <c r="M34" s="28"/>
      <c r="N34" s="29"/>
      <c r="O34" s="30"/>
      <c r="Q34" s="31"/>
      <c r="R34" s="32"/>
      <c r="S34" s="33"/>
    </row>
    <row r="35" spans="1:19" ht="15" customHeight="1" x14ac:dyDescent="0.25">
      <c r="A35" s="28"/>
      <c r="B35" s="29"/>
      <c r="C35" s="30"/>
      <c r="E35" s="28"/>
      <c r="F35" s="29"/>
      <c r="G35" s="30"/>
      <c r="I35" s="28"/>
      <c r="J35" s="29"/>
      <c r="K35" s="30"/>
      <c r="M35" s="28"/>
      <c r="N35" s="29"/>
      <c r="O35" s="30"/>
      <c r="Q35" s="31"/>
      <c r="R35" s="32"/>
      <c r="S35" s="33"/>
    </row>
    <row r="36" spans="1:19" ht="15" customHeight="1" x14ac:dyDescent="0.25">
      <c r="A36" s="28"/>
      <c r="B36" s="29"/>
      <c r="C36" s="30"/>
      <c r="E36" s="28"/>
      <c r="F36" s="29"/>
      <c r="G36" s="30"/>
      <c r="I36" s="28"/>
      <c r="J36" s="29"/>
      <c r="K36" s="30"/>
      <c r="M36" s="28"/>
      <c r="N36" s="29"/>
      <c r="O36" s="30"/>
      <c r="Q36" s="31"/>
      <c r="R36" s="32"/>
      <c r="S36" s="33"/>
    </row>
    <row r="37" spans="1:19" ht="15" customHeight="1" x14ac:dyDescent="0.25">
      <c r="A37" s="28"/>
      <c r="B37" s="29"/>
      <c r="C37" s="30"/>
      <c r="E37" s="28"/>
      <c r="F37" s="29"/>
      <c r="G37" s="30"/>
      <c r="I37" s="28"/>
      <c r="J37" s="29"/>
      <c r="K37" s="30"/>
      <c r="M37" s="28"/>
      <c r="N37" s="29"/>
      <c r="O37" s="30"/>
      <c r="Q37" s="31"/>
      <c r="R37" s="32"/>
      <c r="S37" s="33"/>
    </row>
    <row r="38" spans="1:19" ht="15" customHeight="1" x14ac:dyDescent="0.25">
      <c r="A38" s="28"/>
      <c r="B38" s="29"/>
      <c r="C38" s="30"/>
      <c r="E38" s="28"/>
      <c r="F38" s="29"/>
      <c r="G38" s="30"/>
      <c r="I38" s="28"/>
      <c r="J38" s="29"/>
      <c r="K38" s="30"/>
      <c r="M38" s="28"/>
      <c r="N38" s="29"/>
      <c r="O38" s="30"/>
      <c r="Q38" s="31"/>
      <c r="R38" s="32"/>
      <c r="S38" s="33"/>
    </row>
    <row r="39" spans="1:19" ht="15" customHeight="1" x14ac:dyDescent="0.25">
      <c r="A39" s="28"/>
      <c r="B39" s="29"/>
      <c r="C39" s="30"/>
      <c r="E39" s="28"/>
      <c r="F39" s="29"/>
      <c r="G39" s="30"/>
      <c r="I39" s="28"/>
      <c r="J39" s="29"/>
      <c r="K39" s="30"/>
      <c r="M39" s="28"/>
      <c r="N39" s="29"/>
      <c r="O39" s="30"/>
      <c r="Q39" s="31"/>
      <c r="R39" s="32"/>
      <c r="S39" s="33"/>
    </row>
    <row r="40" spans="1:19" ht="15" customHeight="1" x14ac:dyDescent="0.25">
      <c r="A40" s="28"/>
      <c r="B40" s="29"/>
      <c r="C40" s="30"/>
      <c r="E40" s="28"/>
      <c r="F40" s="29"/>
      <c r="G40" s="30"/>
      <c r="I40" s="28"/>
      <c r="J40" s="29"/>
      <c r="K40" s="30"/>
      <c r="M40" s="28"/>
      <c r="N40" s="29"/>
      <c r="O40" s="30"/>
      <c r="Q40" s="31"/>
      <c r="R40" s="32"/>
      <c r="S40" s="33"/>
    </row>
    <row r="41" spans="1:19" ht="15" customHeight="1" x14ac:dyDescent="0.25">
      <c r="A41" s="28"/>
      <c r="B41" s="29"/>
      <c r="C41" s="30"/>
      <c r="E41" s="28"/>
      <c r="F41" s="29"/>
      <c r="G41" s="30"/>
      <c r="I41" s="28"/>
      <c r="J41" s="29"/>
      <c r="K41" s="30"/>
      <c r="M41" s="28"/>
      <c r="N41" s="29"/>
      <c r="O41" s="30"/>
      <c r="Q41" s="31"/>
      <c r="R41" s="32"/>
      <c r="S41" s="33"/>
    </row>
    <row r="42" spans="1:19" ht="15" customHeight="1" x14ac:dyDescent="0.25">
      <c r="A42" s="28"/>
      <c r="B42" s="29"/>
      <c r="C42" s="30"/>
      <c r="E42" s="28"/>
      <c r="F42" s="29"/>
      <c r="G42" s="30"/>
      <c r="I42" s="28"/>
      <c r="J42" s="29"/>
      <c r="K42" s="30"/>
      <c r="M42" s="28"/>
      <c r="N42" s="29"/>
      <c r="O42" s="30"/>
      <c r="Q42" s="31"/>
      <c r="R42" s="32"/>
      <c r="S42" s="33"/>
    </row>
    <row r="43" spans="1:19" ht="15" customHeight="1" x14ac:dyDescent="0.25">
      <c r="A43" s="28"/>
      <c r="B43" s="29"/>
      <c r="C43" s="30"/>
      <c r="E43" s="28"/>
      <c r="F43" s="29"/>
      <c r="G43" s="30"/>
      <c r="I43" s="28"/>
      <c r="J43" s="29"/>
      <c r="K43" s="30"/>
      <c r="M43" s="28"/>
      <c r="N43" s="29"/>
      <c r="O43" s="30"/>
      <c r="Q43" s="31"/>
      <c r="R43" s="32"/>
      <c r="S43" s="33"/>
    </row>
    <row r="44" spans="1:19" ht="15" customHeight="1" x14ac:dyDescent="0.25">
      <c r="A44" s="28"/>
      <c r="B44" s="29"/>
      <c r="C44" s="30"/>
      <c r="E44" s="28"/>
      <c r="F44" s="29"/>
      <c r="G44" s="30"/>
      <c r="I44" s="28"/>
      <c r="J44" s="29"/>
      <c r="K44" s="30"/>
      <c r="M44" s="28"/>
      <c r="N44" s="29"/>
      <c r="O44" s="30"/>
      <c r="Q44" s="31"/>
      <c r="R44" s="32"/>
      <c r="S44" s="33"/>
    </row>
    <row r="45" spans="1:19" ht="15" customHeight="1" x14ac:dyDescent="0.25">
      <c r="A45" s="28"/>
      <c r="B45" s="29"/>
      <c r="C45" s="30"/>
      <c r="E45" s="28"/>
      <c r="F45" s="29"/>
      <c r="G45" s="30"/>
      <c r="I45" s="28"/>
      <c r="J45" s="29"/>
      <c r="K45" s="30"/>
      <c r="M45" s="28"/>
      <c r="N45" s="29"/>
      <c r="O45" s="30"/>
      <c r="Q45" s="31"/>
      <c r="R45" s="32"/>
      <c r="S45" s="33"/>
    </row>
    <row r="46" spans="1:19" ht="15" customHeight="1" x14ac:dyDescent="0.25">
      <c r="A46" s="28"/>
      <c r="B46" s="29"/>
      <c r="C46" s="30"/>
      <c r="E46" s="28"/>
      <c r="F46" s="29"/>
      <c r="G46" s="30"/>
      <c r="I46" s="28"/>
      <c r="J46" s="29"/>
      <c r="K46" s="30"/>
      <c r="M46" s="28"/>
      <c r="N46" s="29"/>
      <c r="O46" s="30"/>
      <c r="Q46" s="31"/>
      <c r="R46" s="32"/>
      <c r="S46" s="33"/>
    </row>
    <row r="47" spans="1:19" ht="15" customHeight="1" x14ac:dyDescent="0.25">
      <c r="A47" s="28"/>
      <c r="B47" s="29"/>
      <c r="C47" s="30"/>
      <c r="E47" s="28"/>
      <c r="F47" s="29"/>
      <c r="G47" s="30"/>
      <c r="I47" s="28"/>
      <c r="J47" s="29"/>
      <c r="K47" s="30"/>
      <c r="M47" s="28"/>
      <c r="N47" s="29"/>
      <c r="O47" s="30"/>
      <c r="Q47" s="31"/>
      <c r="R47" s="32"/>
      <c r="S47" s="33"/>
    </row>
    <row r="48" spans="1:19" ht="15" customHeight="1" x14ac:dyDescent="0.25">
      <c r="A48" s="28"/>
      <c r="B48" s="29"/>
      <c r="C48" s="30"/>
      <c r="E48" s="28"/>
      <c r="F48" s="29"/>
      <c r="G48" s="30"/>
      <c r="I48" s="28"/>
      <c r="J48" s="29"/>
      <c r="K48" s="30"/>
      <c r="M48" s="28"/>
      <c r="N48" s="29"/>
      <c r="O48" s="30"/>
      <c r="Q48" s="31"/>
      <c r="R48" s="32"/>
      <c r="S48" s="33"/>
    </row>
    <row r="49" spans="1:19" ht="15" customHeight="1" x14ac:dyDescent="0.25">
      <c r="A49" s="28"/>
      <c r="B49" s="29"/>
      <c r="C49" s="30"/>
      <c r="E49" s="28"/>
      <c r="F49" s="29"/>
      <c r="G49" s="30"/>
      <c r="I49" s="28"/>
      <c r="J49" s="29"/>
      <c r="K49" s="30"/>
      <c r="M49" s="28"/>
      <c r="N49" s="29"/>
      <c r="O49" s="30"/>
      <c r="Q49" s="31"/>
      <c r="R49" s="32"/>
      <c r="S49" s="33"/>
    </row>
    <row r="50" spans="1:19" ht="15" customHeight="1" x14ac:dyDescent="0.25">
      <c r="A50" s="28"/>
      <c r="B50" s="29"/>
      <c r="C50" s="30"/>
      <c r="E50" s="28"/>
      <c r="F50" s="29"/>
      <c r="G50" s="30"/>
      <c r="I50" s="28"/>
      <c r="J50" s="29"/>
      <c r="K50" s="30"/>
      <c r="M50" s="28"/>
      <c r="N50" s="29"/>
      <c r="O50" s="30"/>
      <c r="Q50" s="31"/>
      <c r="R50" s="32"/>
      <c r="S50" s="33"/>
    </row>
    <row r="51" spans="1:19" x14ac:dyDescent="0.25">
      <c r="A51" s="34" t="s">
        <v>455</v>
      </c>
      <c r="B51" s="7" t="str">
        <f>COUNTA(A11:A50)&amp;" / 40"</f>
        <v>9 / 40</v>
      </c>
      <c r="C51" s="35">
        <f>SUM(C11:C50)+SUMPRODUCT((A11:A50&lt;&gt;"")*(C11:C50=""))</f>
        <v>9</v>
      </c>
      <c r="E51" s="34" t="s">
        <v>455</v>
      </c>
      <c r="F51" s="7" t="str">
        <f>COUNTA(E11:E50)&amp;" / 40"</f>
        <v>8 / 40</v>
      </c>
      <c r="G51" s="35">
        <f>SUM(G11:G50)+SUMPRODUCT((E11:E50&lt;&gt;"")*(G11:G50=""))</f>
        <v>8</v>
      </c>
      <c r="I51" s="34" t="s">
        <v>455</v>
      </c>
      <c r="J51" s="7" t="str">
        <f>COUNTA(I11:I50)&amp;" / 40"</f>
        <v>12 / 40</v>
      </c>
      <c r="K51" s="35">
        <f>SUM(K11:K50)+SUMPRODUCT((I11:I50&lt;&gt;"")*(K11:K50=""))</f>
        <v>12</v>
      </c>
      <c r="M51" s="34" t="s">
        <v>455</v>
      </c>
      <c r="N51" s="7" t="str">
        <f>COUNTA(M11:M50)&amp;" / 40"</f>
        <v>14 / 40</v>
      </c>
      <c r="O51" s="35">
        <f>SUM(O11:O50)+SUMPRODUCT((M11:M50&lt;&gt;"")*(O11:O50=""))</f>
        <v>14</v>
      </c>
      <c r="Q51" s="36" t="s">
        <v>455</v>
      </c>
      <c r="R51" s="37" t="str">
        <f>COUNTA(Q11:Q50)&amp;" / 40"</f>
        <v>1 / 40</v>
      </c>
      <c r="S51" s="38">
        <f>SUM(S11:S50)+SUMPRODUCT((Q11:Q50&lt;&gt;"")*(S11:S50=""))</f>
        <v>1</v>
      </c>
    </row>
  </sheetData>
  <mergeCells count="19">
    <mergeCell ref="A7:S7"/>
    <mergeCell ref="A9:C9"/>
    <mergeCell ref="E9:G9"/>
    <mergeCell ref="I9:K9"/>
    <mergeCell ref="M9:O9"/>
    <mergeCell ref="Q9:S9"/>
    <mergeCell ref="A5:C5"/>
    <mergeCell ref="E5:G5"/>
    <mergeCell ref="I5:K5"/>
    <mergeCell ref="M5:O5"/>
    <mergeCell ref="Q5:S5"/>
    <mergeCell ref="A1:S1"/>
    <mergeCell ref="A2:S2"/>
    <mergeCell ref="A3:S3"/>
    <mergeCell ref="A4:C4"/>
    <mergeCell ref="E4:G4"/>
    <mergeCell ref="I4:K4"/>
    <mergeCell ref="M4:O4"/>
    <mergeCell ref="Q4:S4"/>
  </mergeCells>
  <conditionalFormatting sqref="A11:A50">
    <cfRule type="expression" dxfId="18" priority="2">
      <formula>LEN(A11)&gt;0</formula>
    </cfRule>
  </conditionalFormatting>
  <conditionalFormatting sqref="E11:E50">
    <cfRule type="expression" dxfId="17" priority="3">
      <formula>LEN(E11)&gt;0</formula>
    </cfRule>
  </conditionalFormatting>
  <conditionalFormatting sqref="I11:I50">
    <cfRule type="expression" dxfId="16" priority="4">
      <formula>LEN(I11)&gt;0</formula>
    </cfRule>
  </conditionalFormatting>
  <conditionalFormatting sqref="M11:M50">
    <cfRule type="expression" dxfId="15" priority="5">
      <formula>LEN(M11)&gt;0</formula>
    </cfRule>
  </conditionalFormatting>
  <conditionalFormatting sqref="Q11:Q50">
    <cfRule type="expression" dxfId="14" priority="6">
      <formula>LEN(Q11)&gt;0</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0000000}">
          <x14:formula1>
            <xm:f>'Ready Models'!$A$8:$A$157</xm:f>
          </x14:formula1>
          <x14:formula2>
            <xm:f>0</xm:f>
          </x14:formula2>
          <xm:sqref>A11:A50 E11:E50 I11:I50 M11:M50 Q11:Q50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F5C7A"/>
  </sheetPr>
  <dimension ref="A1:O51"/>
  <sheetViews>
    <sheetView showGridLines="0" zoomScaleNormal="100" workbookViewId="0">
      <pane ySplit="10" topLeftCell="A11" activePane="bottomLeft" state="frozen"/>
      <selection pane="bottomLeft" activeCell="B24" sqref="B24"/>
    </sheetView>
  </sheetViews>
  <sheetFormatPr defaultColWidth="8.5703125" defaultRowHeight="15" x14ac:dyDescent="0.25"/>
  <cols>
    <col min="1" max="1" width="32" customWidth="1"/>
    <col min="2" max="2" width="26.5703125" customWidth="1"/>
    <col min="3" max="3" width="7" customWidth="1"/>
    <col min="4" max="4" width="2" customWidth="1"/>
    <col min="5" max="5" width="32" customWidth="1"/>
    <col min="6" max="6" width="19" customWidth="1"/>
    <col min="7" max="7" width="7" customWidth="1"/>
    <col min="8" max="8" width="2" customWidth="1"/>
    <col min="9" max="9" width="32" customWidth="1"/>
    <col min="10" max="10" width="19" customWidth="1"/>
    <col min="11" max="11" width="7" customWidth="1"/>
    <col min="12" max="12" width="2" customWidth="1"/>
    <col min="13" max="13" width="32" customWidth="1"/>
    <col min="14" max="14" width="19" customWidth="1"/>
    <col min="15" max="15" width="7" customWidth="1"/>
  </cols>
  <sheetData>
    <row r="1" spans="1:15" ht="25.5" customHeight="1" x14ac:dyDescent="0.25">
      <c r="A1" s="85" t="s">
        <v>456</v>
      </c>
      <c r="B1" s="85"/>
      <c r="C1" s="85"/>
      <c r="D1" s="85"/>
      <c r="E1" s="85"/>
      <c r="F1" s="85"/>
      <c r="G1" s="85"/>
      <c r="H1" s="85"/>
      <c r="I1" s="85"/>
      <c r="J1" s="85"/>
      <c r="K1" s="85"/>
      <c r="L1" s="85"/>
      <c r="M1" s="85"/>
      <c r="N1" s="85"/>
      <c r="O1" s="85"/>
    </row>
    <row r="2" spans="1:15" ht="45.75" customHeight="1" x14ac:dyDescent="0.25">
      <c r="A2" s="67" t="s">
        <v>457</v>
      </c>
      <c r="B2" s="67"/>
      <c r="C2" s="67"/>
      <c r="D2" s="67"/>
      <c r="E2" s="67"/>
      <c r="F2" s="67"/>
      <c r="G2" s="67"/>
      <c r="H2" s="67"/>
      <c r="I2" s="67"/>
      <c r="J2" s="67"/>
      <c r="K2" s="67"/>
      <c r="L2" s="67"/>
      <c r="M2" s="67"/>
      <c r="N2" s="67"/>
      <c r="O2" s="67"/>
    </row>
    <row r="3" spans="1:15" x14ac:dyDescent="0.25">
      <c r="A3" s="68" t="s">
        <v>458</v>
      </c>
      <c r="B3" s="68"/>
      <c r="C3" s="68"/>
      <c r="D3" s="68"/>
      <c r="E3" s="68"/>
      <c r="F3" s="68"/>
      <c r="G3" s="68"/>
      <c r="H3" s="68"/>
      <c r="I3" s="68"/>
      <c r="J3" s="68"/>
      <c r="K3" s="68"/>
      <c r="L3" s="68"/>
      <c r="M3" s="68"/>
      <c r="N3" s="68"/>
      <c r="O3" s="68"/>
    </row>
    <row r="4" spans="1:15" ht="24" customHeight="1" x14ac:dyDescent="0.25">
      <c r="A4" s="69" t="s">
        <v>459</v>
      </c>
      <c r="B4" s="69"/>
      <c r="C4" s="69"/>
      <c r="E4" s="69" t="s">
        <v>460</v>
      </c>
      <c r="F4" s="69"/>
      <c r="G4" s="69"/>
      <c r="I4" s="69" t="s">
        <v>461</v>
      </c>
      <c r="J4" s="69"/>
      <c r="K4" s="69"/>
      <c r="M4" s="69" t="s">
        <v>462</v>
      </c>
      <c r="N4" s="69"/>
      <c r="O4" s="69"/>
    </row>
    <row r="5" spans="1:15" ht="21.75" customHeight="1" x14ac:dyDescent="0.25">
      <c r="A5" s="80">
        <f>SUM(C11:C50)+SUMPRODUCT((A11:A50&lt;&gt;"")*(C11:C50=""))</f>
        <v>10</v>
      </c>
      <c r="B5" s="80"/>
      <c r="C5" s="80"/>
      <c r="E5" s="80">
        <f>SUM(G11:G50)+SUMPRODUCT((E11:E50&lt;&gt;"")*(G11:G50=""))</f>
        <v>0</v>
      </c>
      <c r="F5" s="80"/>
      <c r="G5" s="80"/>
      <c r="I5" s="80">
        <f>SUM(K11:K50)+SUMPRODUCT((I11:I50&lt;&gt;"")*(K11:K50=""))</f>
        <v>0</v>
      </c>
      <c r="J5" s="80"/>
      <c r="K5" s="80"/>
      <c r="M5" s="80">
        <f>SUM(O11:O50)+SUMPRODUCT((M11:M50&lt;&gt;"")*(O11:O50=""))</f>
        <v>0</v>
      </c>
      <c r="N5" s="80"/>
      <c r="O5" s="80"/>
    </row>
    <row r="7" spans="1:15" ht="21.75" customHeight="1" x14ac:dyDescent="0.25">
      <c r="A7" s="72" t="s">
        <v>463</v>
      </c>
      <c r="B7" s="72"/>
      <c r="C7" s="72"/>
      <c r="D7" s="72"/>
      <c r="E7" s="72"/>
      <c r="F7" s="72"/>
      <c r="G7" s="72"/>
      <c r="H7" s="72"/>
      <c r="I7" s="72"/>
      <c r="J7" s="72"/>
      <c r="K7" s="72"/>
      <c r="L7" s="72"/>
      <c r="M7" s="72"/>
      <c r="N7" s="72"/>
      <c r="O7" s="72"/>
    </row>
    <row r="9" spans="1:15" ht="19.5" customHeight="1" x14ac:dyDescent="0.25">
      <c r="A9" s="86" t="s">
        <v>464</v>
      </c>
      <c r="B9" s="86"/>
      <c r="C9" s="86"/>
      <c r="E9" s="87" t="s">
        <v>465</v>
      </c>
      <c r="F9" s="87"/>
      <c r="G9" s="87"/>
      <c r="I9" s="86" t="s">
        <v>466</v>
      </c>
      <c r="J9" s="86"/>
      <c r="K9" s="86"/>
      <c r="M9" s="87" t="s">
        <v>467</v>
      </c>
      <c r="N9" s="87"/>
      <c r="O9" s="87"/>
    </row>
    <row r="10" spans="1:15" ht="15.75" customHeight="1" x14ac:dyDescent="0.25">
      <c r="A10" s="26" t="s">
        <v>392</v>
      </c>
      <c r="B10" s="26" t="s">
        <v>393</v>
      </c>
      <c r="C10" s="26" t="s">
        <v>34</v>
      </c>
      <c r="E10" s="26" t="s">
        <v>468</v>
      </c>
      <c r="F10" s="26" t="s">
        <v>393</v>
      </c>
      <c r="G10" s="26" t="s">
        <v>34</v>
      </c>
      <c r="I10" s="26" t="s">
        <v>392</v>
      </c>
      <c r="J10" s="26" t="s">
        <v>393</v>
      </c>
      <c r="K10" s="26" t="s">
        <v>34</v>
      </c>
      <c r="M10" s="26" t="s">
        <v>468</v>
      </c>
      <c r="N10" s="26" t="s">
        <v>393</v>
      </c>
      <c r="O10" s="26" t="s">
        <v>34</v>
      </c>
    </row>
    <row r="11" spans="1:15" ht="15" customHeight="1" x14ac:dyDescent="0.25">
      <c r="A11" s="39" t="s">
        <v>151</v>
      </c>
      <c r="B11" s="40" t="s">
        <v>469</v>
      </c>
      <c r="C11" s="41">
        <v>1</v>
      </c>
      <c r="E11" s="42"/>
      <c r="F11" s="43"/>
      <c r="G11" s="44"/>
      <c r="I11" s="39"/>
      <c r="J11" s="40"/>
      <c r="K11" s="41"/>
      <c r="M11" s="42"/>
      <c r="N11" s="43"/>
      <c r="O11" s="44"/>
    </row>
    <row r="12" spans="1:15" ht="15" customHeight="1" x14ac:dyDescent="0.25">
      <c r="A12" s="39" t="s">
        <v>322</v>
      </c>
      <c r="B12" s="40" t="s">
        <v>470</v>
      </c>
      <c r="C12" s="41">
        <v>1</v>
      </c>
      <c r="E12" s="42"/>
      <c r="F12" s="43"/>
      <c r="G12" s="44"/>
      <c r="I12" s="39"/>
      <c r="J12" s="40"/>
      <c r="K12" s="41"/>
      <c r="M12" s="42"/>
      <c r="N12" s="43"/>
      <c r="O12" s="44"/>
    </row>
    <row r="13" spans="1:15" ht="15" customHeight="1" x14ac:dyDescent="0.25">
      <c r="A13" s="39" t="s">
        <v>471</v>
      </c>
      <c r="B13" s="40" t="s">
        <v>472</v>
      </c>
      <c r="C13" s="41">
        <v>1</v>
      </c>
      <c r="E13" s="42"/>
      <c r="F13" s="43"/>
      <c r="G13" s="44"/>
      <c r="I13" s="39"/>
      <c r="J13" s="40"/>
      <c r="K13" s="41"/>
      <c r="M13" s="42"/>
      <c r="N13" s="43"/>
      <c r="O13" s="44"/>
    </row>
    <row r="14" spans="1:15" ht="15" customHeight="1" x14ac:dyDescent="0.25">
      <c r="A14" s="39" t="s">
        <v>473</v>
      </c>
      <c r="B14" s="40" t="s">
        <v>474</v>
      </c>
      <c r="C14" s="41">
        <v>1</v>
      </c>
      <c r="E14" s="42"/>
      <c r="F14" s="43"/>
      <c r="G14" s="44"/>
      <c r="I14" s="39"/>
      <c r="J14" s="40"/>
      <c r="K14" s="41"/>
      <c r="M14" s="42"/>
      <c r="N14" s="43"/>
      <c r="O14" s="44"/>
    </row>
    <row r="15" spans="1:15" ht="15" customHeight="1" x14ac:dyDescent="0.25">
      <c r="A15" s="39" t="s">
        <v>332</v>
      </c>
      <c r="B15" s="40" t="s">
        <v>475</v>
      </c>
      <c r="C15" s="41">
        <v>1</v>
      </c>
      <c r="E15" s="42"/>
      <c r="F15" s="43"/>
      <c r="G15" s="44"/>
      <c r="I15" s="39"/>
      <c r="J15" s="40"/>
      <c r="K15" s="41"/>
      <c r="M15" s="42"/>
      <c r="N15" s="43"/>
      <c r="O15" s="44"/>
    </row>
    <row r="16" spans="1:15" ht="15" customHeight="1" x14ac:dyDescent="0.25">
      <c r="A16" s="39" t="s">
        <v>208</v>
      </c>
      <c r="B16" s="40" t="s">
        <v>476</v>
      </c>
      <c r="C16" s="41">
        <v>1</v>
      </c>
      <c r="E16" s="42"/>
      <c r="F16" s="43"/>
      <c r="G16" s="44"/>
      <c r="I16" s="39"/>
      <c r="J16" s="40"/>
      <c r="K16" s="41"/>
      <c r="M16" s="42"/>
      <c r="N16" s="43"/>
      <c r="O16" s="44"/>
    </row>
    <row r="17" spans="1:15" ht="15" customHeight="1" x14ac:dyDescent="0.25">
      <c r="A17" s="39" t="s">
        <v>39</v>
      </c>
      <c r="B17" s="40" t="s">
        <v>477</v>
      </c>
      <c r="C17" s="41">
        <v>1</v>
      </c>
      <c r="E17" s="42"/>
      <c r="F17" s="43"/>
      <c r="G17" s="44"/>
      <c r="I17" s="39"/>
      <c r="J17" s="40"/>
      <c r="K17" s="41"/>
      <c r="M17" s="42"/>
      <c r="N17" s="43"/>
      <c r="O17" s="44"/>
    </row>
    <row r="18" spans="1:15" ht="15" customHeight="1" x14ac:dyDescent="0.25">
      <c r="A18" s="39" t="s">
        <v>246</v>
      </c>
      <c r="B18" s="40" t="s">
        <v>478</v>
      </c>
      <c r="C18" s="41">
        <v>1</v>
      </c>
      <c r="E18" s="42"/>
      <c r="F18" s="43"/>
      <c r="G18" s="44"/>
      <c r="I18" s="39"/>
      <c r="J18" s="40"/>
      <c r="K18" s="41"/>
      <c r="M18" s="42"/>
      <c r="N18" s="43"/>
      <c r="O18" s="44"/>
    </row>
    <row r="19" spans="1:15" ht="15" customHeight="1" x14ac:dyDescent="0.25">
      <c r="A19" s="39" t="s">
        <v>479</v>
      </c>
      <c r="B19" s="40" t="s">
        <v>480</v>
      </c>
      <c r="C19" s="41">
        <v>1</v>
      </c>
      <c r="E19" s="42"/>
      <c r="F19" s="43"/>
      <c r="G19" s="44"/>
      <c r="I19" s="39"/>
      <c r="J19" s="40"/>
      <c r="K19" s="41"/>
      <c r="M19" s="42"/>
      <c r="N19" s="43"/>
      <c r="O19" s="44"/>
    </row>
    <row r="20" spans="1:15" ht="15" customHeight="1" x14ac:dyDescent="0.25">
      <c r="A20" s="39" t="s">
        <v>86</v>
      </c>
      <c r="B20" s="40" t="s">
        <v>481</v>
      </c>
      <c r="C20" s="41">
        <v>1</v>
      </c>
      <c r="E20" s="42"/>
      <c r="F20" s="43"/>
      <c r="G20" s="44"/>
      <c r="I20" s="39"/>
      <c r="J20" s="40"/>
      <c r="K20" s="41"/>
      <c r="M20" s="42"/>
      <c r="N20" s="43"/>
      <c r="O20" s="44"/>
    </row>
    <row r="21" spans="1:15" ht="15" customHeight="1" x14ac:dyDescent="0.25">
      <c r="A21" s="39"/>
      <c r="B21" s="40"/>
      <c r="C21" s="41"/>
      <c r="E21" s="42"/>
      <c r="F21" s="43"/>
      <c r="G21" s="44"/>
      <c r="I21" s="39"/>
      <c r="J21" s="40"/>
      <c r="K21" s="41"/>
      <c r="M21" s="42"/>
      <c r="N21" s="43"/>
      <c r="O21" s="44"/>
    </row>
    <row r="22" spans="1:15" ht="15" customHeight="1" x14ac:dyDescent="0.25">
      <c r="A22" s="39"/>
      <c r="B22" s="40"/>
      <c r="C22" s="41"/>
      <c r="E22" s="42"/>
      <c r="F22" s="43"/>
      <c r="G22" s="44"/>
      <c r="I22" s="39"/>
      <c r="J22" s="40"/>
      <c r="K22" s="41"/>
      <c r="M22" s="42"/>
      <c r="N22" s="43"/>
      <c r="O22" s="44"/>
    </row>
    <row r="23" spans="1:15" ht="15" customHeight="1" x14ac:dyDescent="0.25">
      <c r="A23" s="39"/>
      <c r="B23" s="40"/>
      <c r="C23" s="41"/>
      <c r="E23" s="42"/>
      <c r="F23" s="43"/>
      <c r="G23" s="44"/>
      <c r="I23" s="39"/>
      <c r="J23" s="40"/>
      <c r="K23" s="41"/>
      <c r="M23" s="42"/>
      <c r="N23" s="43"/>
      <c r="O23" s="44"/>
    </row>
    <row r="24" spans="1:15" ht="15" customHeight="1" x14ac:dyDescent="0.25">
      <c r="A24" s="39"/>
      <c r="B24" s="40"/>
      <c r="C24" s="41"/>
      <c r="E24" s="42"/>
      <c r="F24" s="43"/>
      <c r="G24" s="44"/>
      <c r="I24" s="39"/>
      <c r="J24" s="40"/>
      <c r="K24" s="41"/>
      <c r="M24" s="42"/>
      <c r="N24" s="43"/>
      <c r="O24" s="44"/>
    </row>
    <row r="25" spans="1:15" ht="15" customHeight="1" x14ac:dyDescent="0.25">
      <c r="A25" s="39"/>
      <c r="B25" s="40"/>
      <c r="C25" s="41"/>
      <c r="E25" s="42"/>
      <c r="F25" s="43"/>
      <c r="G25" s="44"/>
      <c r="I25" s="39"/>
      <c r="J25" s="40"/>
      <c r="K25" s="41"/>
      <c r="M25" s="42"/>
      <c r="N25" s="43"/>
      <c r="O25" s="44"/>
    </row>
    <row r="26" spans="1:15" ht="15" customHeight="1" x14ac:dyDescent="0.25">
      <c r="A26" s="39"/>
      <c r="B26" s="40"/>
      <c r="C26" s="41"/>
      <c r="E26" s="42"/>
      <c r="F26" s="43"/>
      <c r="G26" s="44"/>
      <c r="I26" s="39"/>
      <c r="J26" s="40"/>
      <c r="K26" s="41"/>
      <c r="M26" s="42"/>
      <c r="N26" s="43"/>
      <c r="O26" s="44"/>
    </row>
    <row r="27" spans="1:15" ht="15" customHeight="1" x14ac:dyDescent="0.25">
      <c r="A27" s="39"/>
      <c r="B27" s="40"/>
      <c r="C27" s="41"/>
      <c r="E27" s="42"/>
      <c r="F27" s="43"/>
      <c r="G27" s="44"/>
      <c r="I27" s="39"/>
      <c r="J27" s="40"/>
      <c r="K27" s="41"/>
      <c r="M27" s="42"/>
      <c r="N27" s="43"/>
      <c r="O27" s="44"/>
    </row>
    <row r="28" spans="1:15" ht="15" customHeight="1" x14ac:dyDescent="0.25">
      <c r="A28" s="39"/>
      <c r="B28" s="40"/>
      <c r="C28" s="41"/>
      <c r="E28" s="42"/>
      <c r="F28" s="43"/>
      <c r="G28" s="44"/>
      <c r="I28" s="39"/>
      <c r="J28" s="40"/>
      <c r="K28" s="41"/>
      <c r="M28" s="42"/>
      <c r="N28" s="43"/>
      <c r="O28" s="44"/>
    </row>
    <row r="29" spans="1:15" ht="15" customHeight="1" x14ac:dyDescent="0.25">
      <c r="A29" s="39"/>
      <c r="B29" s="40"/>
      <c r="C29" s="41"/>
      <c r="E29" s="42"/>
      <c r="F29" s="43"/>
      <c r="G29" s="44"/>
      <c r="I29" s="39"/>
      <c r="J29" s="40"/>
      <c r="K29" s="41"/>
      <c r="M29" s="42"/>
      <c r="N29" s="43"/>
      <c r="O29" s="44"/>
    </row>
    <row r="30" spans="1:15" ht="15" customHeight="1" x14ac:dyDescent="0.25">
      <c r="A30" s="39"/>
      <c r="B30" s="40"/>
      <c r="C30" s="41"/>
      <c r="E30" s="42"/>
      <c r="F30" s="43"/>
      <c r="G30" s="44"/>
      <c r="I30" s="39"/>
      <c r="J30" s="40"/>
      <c r="K30" s="41"/>
      <c r="M30" s="42"/>
      <c r="N30" s="43"/>
      <c r="O30" s="44"/>
    </row>
    <row r="31" spans="1:15" ht="15" customHeight="1" x14ac:dyDescent="0.25">
      <c r="A31" s="39"/>
      <c r="B31" s="40"/>
      <c r="C31" s="41"/>
      <c r="E31" s="42"/>
      <c r="F31" s="43"/>
      <c r="G31" s="44"/>
      <c r="I31" s="39"/>
      <c r="J31" s="40"/>
      <c r="K31" s="41"/>
      <c r="M31" s="42"/>
      <c r="N31" s="43"/>
      <c r="O31" s="44"/>
    </row>
    <row r="32" spans="1:15" ht="15" customHeight="1" x14ac:dyDescent="0.25">
      <c r="A32" s="39"/>
      <c r="B32" s="40"/>
      <c r="C32" s="41"/>
      <c r="E32" s="42"/>
      <c r="F32" s="43"/>
      <c r="G32" s="44"/>
      <c r="I32" s="39"/>
      <c r="J32" s="40"/>
      <c r="K32" s="41"/>
      <c r="M32" s="42"/>
      <c r="N32" s="43"/>
      <c r="O32" s="44"/>
    </row>
    <row r="33" spans="1:15" ht="15" customHeight="1" x14ac:dyDescent="0.25">
      <c r="A33" s="39"/>
      <c r="B33" s="40"/>
      <c r="C33" s="41"/>
      <c r="E33" s="42"/>
      <c r="F33" s="43"/>
      <c r="G33" s="44"/>
      <c r="I33" s="39"/>
      <c r="J33" s="40"/>
      <c r="K33" s="41"/>
      <c r="M33" s="42"/>
      <c r="N33" s="43"/>
      <c r="O33" s="44"/>
    </row>
    <row r="34" spans="1:15" ht="15" customHeight="1" x14ac:dyDescent="0.25">
      <c r="A34" s="39"/>
      <c r="B34" s="40"/>
      <c r="C34" s="41"/>
      <c r="E34" s="42"/>
      <c r="F34" s="43"/>
      <c r="G34" s="44"/>
      <c r="I34" s="39"/>
      <c r="J34" s="40"/>
      <c r="K34" s="41"/>
      <c r="M34" s="42"/>
      <c r="N34" s="43"/>
      <c r="O34" s="44"/>
    </row>
    <row r="35" spans="1:15" ht="15" customHeight="1" x14ac:dyDescent="0.25">
      <c r="A35" s="39"/>
      <c r="B35" s="40"/>
      <c r="C35" s="41"/>
      <c r="E35" s="42"/>
      <c r="F35" s="43"/>
      <c r="G35" s="44"/>
      <c r="I35" s="39"/>
      <c r="J35" s="40"/>
      <c r="K35" s="41"/>
      <c r="M35" s="42"/>
      <c r="N35" s="43"/>
      <c r="O35" s="44"/>
    </row>
    <row r="36" spans="1:15" ht="15" customHeight="1" x14ac:dyDescent="0.25">
      <c r="A36" s="39"/>
      <c r="B36" s="40"/>
      <c r="C36" s="41"/>
      <c r="E36" s="42"/>
      <c r="F36" s="43"/>
      <c r="G36" s="44"/>
      <c r="I36" s="39"/>
      <c r="J36" s="40"/>
      <c r="K36" s="41"/>
      <c r="M36" s="42"/>
      <c r="N36" s="43"/>
      <c r="O36" s="44"/>
    </row>
    <row r="37" spans="1:15" ht="15" customHeight="1" x14ac:dyDescent="0.25">
      <c r="A37" s="39"/>
      <c r="B37" s="40"/>
      <c r="C37" s="41"/>
      <c r="E37" s="42"/>
      <c r="F37" s="43"/>
      <c r="G37" s="44"/>
      <c r="I37" s="39"/>
      <c r="J37" s="40"/>
      <c r="K37" s="41"/>
      <c r="M37" s="42"/>
      <c r="N37" s="43"/>
      <c r="O37" s="44"/>
    </row>
    <row r="38" spans="1:15" ht="15" customHeight="1" x14ac:dyDescent="0.25">
      <c r="A38" s="39"/>
      <c r="B38" s="40"/>
      <c r="C38" s="41"/>
      <c r="E38" s="42"/>
      <c r="F38" s="43"/>
      <c r="G38" s="44"/>
      <c r="I38" s="39"/>
      <c r="J38" s="40"/>
      <c r="K38" s="41"/>
      <c r="M38" s="42"/>
      <c r="N38" s="43"/>
      <c r="O38" s="44"/>
    </row>
    <row r="39" spans="1:15" ht="15" customHeight="1" x14ac:dyDescent="0.25">
      <c r="A39" s="39"/>
      <c r="B39" s="40"/>
      <c r="C39" s="41"/>
      <c r="E39" s="42"/>
      <c r="F39" s="43"/>
      <c r="G39" s="44"/>
      <c r="I39" s="39"/>
      <c r="J39" s="40"/>
      <c r="K39" s="41"/>
      <c r="M39" s="42"/>
      <c r="N39" s="43"/>
      <c r="O39" s="44"/>
    </row>
    <row r="40" spans="1:15" ht="15" customHeight="1" x14ac:dyDescent="0.25">
      <c r="A40" s="39"/>
      <c r="B40" s="40"/>
      <c r="C40" s="41"/>
      <c r="E40" s="42"/>
      <c r="F40" s="43"/>
      <c r="G40" s="44"/>
      <c r="I40" s="39"/>
      <c r="J40" s="40"/>
      <c r="K40" s="41"/>
      <c r="M40" s="42"/>
      <c r="N40" s="43"/>
      <c r="O40" s="44"/>
    </row>
    <row r="41" spans="1:15" ht="15" customHeight="1" x14ac:dyDescent="0.25">
      <c r="A41" s="39"/>
      <c r="B41" s="40"/>
      <c r="C41" s="41"/>
      <c r="E41" s="42"/>
      <c r="F41" s="43"/>
      <c r="G41" s="44"/>
      <c r="I41" s="39"/>
      <c r="J41" s="40"/>
      <c r="K41" s="41"/>
      <c r="M41" s="42"/>
      <c r="N41" s="43"/>
      <c r="O41" s="44"/>
    </row>
    <row r="42" spans="1:15" ht="15" customHeight="1" x14ac:dyDescent="0.25">
      <c r="A42" s="39"/>
      <c r="B42" s="40"/>
      <c r="C42" s="41"/>
      <c r="E42" s="42"/>
      <c r="F42" s="43"/>
      <c r="G42" s="44"/>
      <c r="I42" s="39"/>
      <c r="J42" s="40"/>
      <c r="K42" s="41"/>
      <c r="M42" s="42"/>
      <c r="N42" s="43"/>
      <c r="O42" s="44"/>
    </row>
    <row r="43" spans="1:15" ht="15" customHeight="1" x14ac:dyDescent="0.25">
      <c r="A43" s="39"/>
      <c r="B43" s="40"/>
      <c r="C43" s="41"/>
      <c r="E43" s="42"/>
      <c r="F43" s="43"/>
      <c r="G43" s="44"/>
      <c r="I43" s="39"/>
      <c r="J43" s="40"/>
      <c r="K43" s="41"/>
      <c r="M43" s="42"/>
      <c r="N43" s="43"/>
      <c r="O43" s="44"/>
    </row>
    <row r="44" spans="1:15" ht="15" customHeight="1" x14ac:dyDescent="0.25">
      <c r="A44" s="39"/>
      <c r="B44" s="40"/>
      <c r="C44" s="41"/>
      <c r="E44" s="42"/>
      <c r="F44" s="43"/>
      <c r="G44" s="44"/>
      <c r="I44" s="39"/>
      <c r="J44" s="40"/>
      <c r="K44" s="41"/>
      <c r="M44" s="42"/>
      <c r="N44" s="43"/>
      <c r="O44" s="44"/>
    </row>
    <row r="45" spans="1:15" ht="15" customHeight="1" x14ac:dyDescent="0.25">
      <c r="A45" s="39"/>
      <c r="B45" s="40"/>
      <c r="C45" s="41"/>
      <c r="E45" s="42"/>
      <c r="F45" s="43"/>
      <c r="G45" s="44"/>
      <c r="I45" s="39"/>
      <c r="J45" s="40"/>
      <c r="K45" s="41"/>
      <c r="M45" s="42"/>
      <c r="N45" s="43"/>
      <c r="O45" s="44"/>
    </row>
    <row r="46" spans="1:15" ht="15" customHeight="1" x14ac:dyDescent="0.25">
      <c r="A46" s="39"/>
      <c r="B46" s="40"/>
      <c r="C46" s="41"/>
      <c r="E46" s="42"/>
      <c r="F46" s="43"/>
      <c r="G46" s="44"/>
      <c r="I46" s="39"/>
      <c r="J46" s="40"/>
      <c r="K46" s="41"/>
      <c r="M46" s="42"/>
      <c r="N46" s="43"/>
      <c r="O46" s="44"/>
    </row>
    <row r="47" spans="1:15" ht="15" customHeight="1" x14ac:dyDescent="0.25">
      <c r="A47" s="39"/>
      <c r="B47" s="40"/>
      <c r="C47" s="41"/>
      <c r="E47" s="42"/>
      <c r="F47" s="43"/>
      <c r="G47" s="44"/>
      <c r="I47" s="39"/>
      <c r="J47" s="40"/>
      <c r="K47" s="41"/>
      <c r="M47" s="42"/>
      <c r="N47" s="43"/>
      <c r="O47" s="44"/>
    </row>
    <row r="48" spans="1:15" ht="15" customHeight="1" x14ac:dyDescent="0.25">
      <c r="A48" s="39"/>
      <c r="B48" s="40"/>
      <c r="C48" s="41"/>
      <c r="E48" s="42"/>
      <c r="F48" s="43"/>
      <c r="G48" s="44"/>
      <c r="I48" s="39"/>
      <c r="J48" s="40"/>
      <c r="K48" s="41"/>
      <c r="M48" s="42"/>
      <c r="N48" s="43"/>
      <c r="O48" s="44"/>
    </row>
    <row r="49" spans="1:15" ht="15" customHeight="1" x14ac:dyDescent="0.25">
      <c r="A49" s="39"/>
      <c r="B49" s="40"/>
      <c r="C49" s="41"/>
      <c r="E49" s="42"/>
      <c r="F49" s="43"/>
      <c r="G49" s="44"/>
      <c r="I49" s="39"/>
      <c r="J49" s="40"/>
      <c r="K49" s="41"/>
      <c r="M49" s="42"/>
      <c r="N49" s="43"/>
      <c r="O49" s="44"/>
    </row>
    <row r="50" spans="1:15" ht="15" customHeight="1" x14ac:dyDescent="0.25">
      <c r="A50" s="39"/>
      <c r="B50" s="40"/>
      <c r="C50" s="41"/>
      <c r="E50" s="42"/>
      <c r="F50" s="43"/>
      <c r="G50" s="44"/>
      <c r="I50" s="39"/>
      <c r="J50" s="40"/>
      <c r="K50" s="41"/>
      <c r="M50" s="42"/>
      <c r="N50" s="43"/>
      <c r="O50" s="44"/>
    </row>
    <row r="51" spans="1:15" x14ac:dyDescent="0.25">
      <c r="A51" s="34" t="s">
        <v>455</v>
      </c>
      <c r="B51" s="7" t="str">
        <f>COUNTA(A11:A50)&amp;" / 40"</f>
        <v>10 / 40</v>
      </c>
      <c r="C51" s="35">
        <f>SUM(C11:C50)+SUMPRODUCT((A11:A50&lt;&gt;"")*(C11:C50=""))</f>
        <v>10</v>
      </c>
      <c r="E51" s="34" t="s">
        <v>455</v>
      </c>
      <c r="F51" s="7" t="str">
        <f>COUNTA(E11:E50)&amp;" / 40"</f>
        <v>0 / 40</v>
      </c>
      <c r="G51" s="35">
        <f>SUM(G11:G50)+SUMPRODUCT((E11:E50&lt;&gt;"")*(G11:G50=""))</f>
        <v>0</v>
      </c>
      <c r="I51" s="34" t="s">
        <v>455</v>
      </c>
      <c r="J51" s="7" t="str">
        <f>COUNTA(I11:I50)&amp;" / 40"</f>
        <v>0 / 40</v>
      </c>
      <c r="K51" s="35">
        <f>SUM(K11:K50)+SUMPRODUCT((I11:I50&lt;&gt;"")*(K11:K50=""))</f>
        <v>0</v>
      </c>
      <c r="M51" s="34" t="s">
        <v>455</v>
      </c>
      <c r="N51" s="7" t="str">
        <f>COUNTA(M11:M50)&amp;" / 40"</f>
        <v>0 / 40</v>
      </c>
      <c r="O51" s="35">
        <f>SUM(O11:O50)+SUMPRODUCT((M11:M50&lt;&gt;"")*(O11:O50=""))</f>
        <v>0</v>
      </c>
    </row>
  </sheetData>
  <mergeCells count="16">
    <mergeCell ref="A9:C9"/>
    <mergeCell ref="E9:G9"/>
    <mergeCell ref="I9:K9"/>
    <mergeCell ref="M9:O9"/>
    <mergeCell ref="A5:C5"/>
    <mergeCell ref="E5:G5"/>
    <mergeCell ref="I5:K5"/>
    <mergeCell ref="M5:O5"/>
    <mergeCell ref="A7:O7"/>
    <mergeCell ref="A1:O1"/>
    <mergeCell ref="A2:O2"/>
    <mergeCell ref="A3:O3"/>
    <mergeCell ref="A4:C4"/>
    <mergeCell ref="E4:G4"/>
    <mergeCell ref="I4:K4"/>
    <mergeCell ref="M4:O4"/>
  </mergeCells>
  <conditionalFormatting sqref="A11:A50">
    <cfRule type="expression" dxfId="13" priority="2">
      <formula>LEN(A11)&gt;0</formula>
    </cfRule>
  </conditionalFormatting>
  <conditionalFormatting sqref="E11:E50">
    <cfRule type="expression" dxfId="12" priority="3">
      <formula>LEN(E11)&gt;0</formula>
    </cfRule>
  </conditionalFormatting>
  <conditionalFormatting sqref="I11:I50">
    <cfRule type="expression" dxfId="11" priority="4">
      <formula>LEN(I11)&gt;0</formula>
    </cfRule>
  </conditionalFormatting>
  <conditionalFormatting sqref="M11:M50">
    <cfRule type="expression" dxfId="10" priority="5">
      <formula>LEN(M11)&gt;0</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0000000}">
          <x14:formula1>
            <xm:f>'Ready Models'!$A$8:$A$157</xm:f>
          </x14:formula1>
          <x14:formula2>
            <xm:f>0</xm:f>
          </x14:formula2>
          <xm:sqref>A11:A50 E11:E50 I11:I50 M11:M50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Q20"/>
  <sheetViews>
    <sheetView showGridLines="0" zoomScaleNormal="100" workbookViewId="0">
      <pane xSplit="1" topLeftCell="B1" activePane="topRight" state="frozen"/>
      <selection pane="topRight"/>
    </sheetView>
  </sheetViews>
  <sheetFormatPr defaultColWidth="8.5703125" defaultRowHeight="15" x14ac:dyDescent="0.25"/>
  <cols>
    <col min="1" max="1" width="16" customWidth="1"/>
    <col min="2" max="17" width="8" customWidth="1"/>
    <col min="18" max="18" width="3" customWidth="1"/>
    <col min="19" max="19" width="12" customWidth="1"/>
  </cols>
  <sheetData>
    <row r="1" spans="1:17" ht="25.5" customHeight="1" x14ac:dyDescent="0.25">
      <c r="A1" s="66" t="s">
        <v>482</v>
      </c>
      <c r="B1" s="66"/>
      <c r="C1" s="66"/>
      <c r="D1" s="66"/>
      <c r="E1" s="66"/>
      <c r="F1" s="66"/>
      <c r="G1" s="66"/>
      <c r="H1" s="66"/>
      <c r="I1" s="66"/>
      <c r="J1" s="66"/>
      <c r="K1" s="66"/>
      <c r="L1" s="66"/>
      <c r="M1" s="66"/>
      <c r="N1" s="66"/>
      <c r="O1" s="66"/>
      <c r="P1" s="66"/>
      <c r="Q1" s="66"/>
    </row>
    <row r="2" spans="1:17" ht="30" customHeight="1" x14ac:dyDescent="0.25">
      <c r="A2" s="67" t="s">
        <v>483</v>
      </c>
      <c r="B2" s="67"/>
      <c r="C2" s="67"/>
      <c r="D2" s="67"/>
      <c r="E2" s="67"/>
      <c r="F2" s="67"/>
      <c r="G2" s="67"/>
      <c r="H2" s="67"/>
      <c r="I2" s="67"/>
      <c r="J2" s="67"/>
      <c r="K2" s="67"/>
      <c r="L2" s="67"/>
      <c r="M2" s="67"/>
      <c r="N2" s="67"/>
      <c r="O2" s="67"/>
      <c r="P2" s="67"/>
      <c r="Q2" s="67"/>
    </row>
    <row r="4" spans="1:17" ht="15" customHeight="1" x14ac:dyDescent="0.25">
      <c r="A4" s="68" t="s">
        <v>484</v>
      </c>
      <c r="B4" s="68"/>
      <c r="C4" s="68"/>
      <c r="D4" s="68"/>
      <c r="E4" s="68"/>
      <c r="F4" s="68"/>
      <c r="G4" s="68"/>
      <c r="H4" s="68"/>
      <c r="I4" s="68"/>
      <c r="J4" s="68"/>
      <c r="K4" s="68"/>
      <c r="L4" s="68"/>
      <c r="M4" s="68"/>
      <c r="N4" s="68"/>
      <c r="O4" s="68"/>
      <c r="P4" s="68"/>
      <c r="Q4" s="68"/>
    </row>
    <row r="5" spans="1:17" ht="25.5" customHeight="1" x14ac:dyDescent="0.25">
      <c r="A5" s="5" t="s">
        <v>485</v>
      </c>
      <c r="B5" s="3" t="s">
        <v>486</v>
      </c>
      <c r="C5" s="3" t="s">
        <v>487</v>
      </c>
      <c r="D5" s="3" t="s">
        <v>488</v>
      </c>
      <c r="E5" s="3" t="s">
        <v>489</v>
      </c>
      <c r="F5" s="2" t="s">
        <v>490</v>
      </c>
      <c r="G5" s="2" t="s">
        <v>491</v>
      </c>
      <c r="H5" s="4" t="s">
        <v>492</v>
      </c>
      <c r="I5" s="4" t="s">
        <v>493</v>
      </c>
      <c r="J5" s="4" t="s">
        <v>494</v>
      </c>
      <c r="K5" s="4" t="s">
        <v>495</v>
      </c>
      <c r="L5" s="4" t="s">
        <v>496</v>
      </c>
      <c r="M5" s="4" t="s">
        <v>497</v>
      </c>
      <c r="N5" s="4" t="s">
        <v>498</v>
      </c>
      <c r="O5" s="4" t="s">
        <v>499</v>
      </c>
      <c r="P5" s="4" t="s">
        <v>500</v>
      </c>
      <c r="Q5" s="4" t="s">
        <v>501</v>
      </c>
    </row>
    <row r="6" spans="1:17" ht="19.5" customHeight="1" x14ac:dyDescent="0.25">
      <c r="A6" s="45" t="s">
        <v>502</v>
      </c>
      <c r="B6" s="46">
        <f>'Barn - Back Rack'!B25</f>
        <v>0</v>
      </c>
      <c r="C6" s="46">
        <f>'Barn - Back Rack'!D25</f>
        <v>0</v>
      </c>
      <c r="D6" s="46">
        <f>'Barn - Back Rack'!F25</f>
        <v>0</v>
      </c>
      <c r="E6" s="46">
        <f>'Barn - Back Rack'!H25</f>
        <v>0</v>
      </c>
      <c r="F6" s="46">
        <f>'Barn - Back Rack'!J25</f>
        <v>0</v>
      </c>
      <c r="G6" s="46">
        <f>'Barn - Back Rack'!L25</f>
        <v>3</v>
      </c>
      <c r="H6" s="46">
        <f>'Barn - Back Rack'!N25</f>
        <v>0</v>
      </c>
      <c r="I6" s="46">
        <f>'Barn - Back Rack'!P25</f>
        <v>2</v>
      </c>
      <c r="J6" s="46">
        <f>'Barn - Back Rack'!R25</f>
        <v>10</v>
      </c>
      <c r="K6" s="46">
        <f>'Barn - Back Rack'!T25</f>
        <v>0</v>
      </c>
      <c r="L6" s="46">
        <f>'Barn - Back Rack'!V25</f>
        <v>0</v>
      </c>
      <c r="M6" s="46">
        <f>'Barn - Back Rack'!X25</f>
        <v>0</v>
      </c>
      <c r="N6" s="46">
        <f>'Barn - Back Rack'!Z25</f>
        <v>4</v>
      </c>
      <c r="O6" s="46">
        <f>'Barn - Back Rack'!AB25</f>
        <v>0</v>
      </c>
      <c r="P6" s="46">
        <f>'Barn - Back Rack'!AD25</f>
        <v>6</v>
      </c>
      <c r="Q6" s="46">
        <f>'Barn - Back Rack'!AF25</f>
        <v>6</v>
      </c>
    </row>
    <row r="7" spans="1:17" ht="19.5" customHeight="1" x14ac:dyDescent="0.25">
      <c r="A7" s="45" t="s">
        <v>503</v>
      </c>
      <c r="B7" s="46">
        <f>'Barn - Back Rack'!B42</f>
        <v>0</v>
      </c>
      <c r="C7" s="46">
        <f>'Barn - Back Rack'!D42</f>
        <v>0</v>
      </c>
      <c r="D7" s="46">
        <f>'Barn - Back Rack'!F42</f>
        <v>0</v>
      </c>
      <c r="E7" s="46">
        <f>'Barn - Back Rack'!H42</f>
        <v>0</v>
      </c>
      <c r="F7" s="46">
        <f>'Barn - Back Rack'!J42</f>
        <v>2</v>
      </c>
      <c r="G7" s="46">
        <f>'Barn - Back Rack'!L42</f>
        <v>1</v>
      </c>
      <c r="H7" s="46">
        <f>'Barn - Back Rack'!N42</f>
        <v>1</v>
      </c>
      <c r="I7" s="46">
        <f>'Barn - Back Rack'!P42</f>
        <v>1</v>
      </c>
      <c r="J7" s="46">
        <f>'Barn - Back Rack'!R42</f>
        <v>9</v>
      </c>
      <c r="K7" s="46">
        <f>'Barn - Back Rack'!T42</f>
        <v>10</v>
      </c>
      <c r="L7" s="46">
        <f>'Barn - Back Rack'!V42</f>
        <v>0</v>
      </c>
      <c r="M7" s="46">
        <f>'Barn - Back Rack'!X42</f>
        <v>0</v>
      </c>
      <c r="N7" s="46">
        <f>'Barn - Back Rack'!Z42</f>
        <v>8</v>
      </c>
      <c r="O7" s="46">
        <f>'Barn - Back Rack'!AB42</f>
        <v>0</v>
      </c>
      <c r="P7" s="46">
        <f>'Barn - Back Rack'!AD42</f>
        <v>6</v>
      </c>
      <c r="Q7" s="46">
        <f>'Barn - Back Rack'!AF42</f>
        <v>3</v>
      </c>
    </row>
    <row r="8" spans="1:17" ht="19.5" customHeight="1" x14ac:dyDescent="0.25">
      <c r="A8" s="45" t="s">
        <v>504</v>
      </c>
      <c r="B8" s="46">
        <f>'Barn - Back Rack'!B59</f>
        <v>0</v>
      </c>
      <c r="C8" s="46">
        <f>'Barn - Back Rack'!D59</f>
        <v>0</v>
      </c>
      <c r="D8" s="46">
        <f>'Barn - Back Rack'!F59</f>
        <v>0</v>
      </c>
      <c r="E8" s="46">
        <f>'Barn - Back Rack'!H59</f>
        <v>0</v>
      </c>
      <c r="F8" s="46">
        <f>'Barn - Back Rack'!J59</f>
        <v>1</v>
      </c>
      <c r="G8" s="46">
        <f>'Barn - Back Rack'!L59</f>
        <v>1</v>
      </c>
      <c r="H8" s="46">
        <f>'Barn - Back Rack'!N59</f>
        <v>1</v>
      </c>
      <c r="I8" s="46">
        <f>'Barn - Back Rack'!P59</f>
        <v>1</v>
      </c>
      <c r="J8" s="46">
        <f>'Barn - Back Rack'!R59</f>
        <v>11</v>
      </c>
      <c r="K8" s="46">
        <f>'Barn - Back Rack'!T59</f>
        <v>10</v>
      </c>
      <c r="L8" s="46">
        <f>'Barn - Back Rack'!V59</f>
        <v>7</v>
      </c>
      <c r="M8" s="46">
        <f>'Barn - Back Rack'!X59</f>
        <v>8</v>
      </c>
      <c r="N8" s="46">
        <f>'Barn - Back Rack'!Z59</f>
        <v>0</v>
      </c>
      <c r="O8" s="46">
        <f>'Barn - Back Rack'!AB59</f>
        <v>0</v>
      </c>
      <c r="P8" s="46">
        <f>'Barn - Back Rack'!AD59</f>
        <v>2</v>
      </c>
      <c r="Q8" s="46">
        <f>'Barn - Back Rack'!AF59</f>
        <v>0</v>
      </c>
    </row>
    <row r="9" spans="1:17" ht="19.5" customHeight="1" x14ac:dyDescent="0.25">
      <c r="A9" s="45" t="s">
        <v>505</v>
      </c>
      <c r="B9" s="46">
        <f>'Barn - Back Rack'!B76</f>
        <v>0</v>
      </c>
      <c r="C9" s="46">
        <f>'Barn - Back Rack'!D76</f>
        <v>0</v>
      </c>
      <c r="D9" s="46">
        <f>'Barn - Back Rack'!F76</f>
        <v>0</v>
      </c>
      <c r="E9" s="46">
        <f>'Barn - Back Rack'!H76</f>
        <v>2</v>
      </c>
      <c r="F9" s="46">
        <f>'Barn - Back Rack'!J76</f>
        <v>2</v>
      </c>
      <c r="G9" s="46">
        <f>'Barn - Back Rack'!L76</f>
        <v>1</v>
      </c>
      <c r="H9" s="46">
        <f>'Barn - Back Rack'!N76</f>
        <v>1</v>
      </c>
      <c r="I9" s="46">
        <f>'Barn - Back Rack'!P76</f>
        <v>1</v>
      </c>
      <c r="J9" s="46">
        <f>'Barn - Back Rack'!R76</f>
        <v>5</v>
      </c>
      <c r="K9" s="46">
        <f>'Barn - Back Rack'!T76</f>
        <v>9</v>
      </c>
      <c r="L9" s="46">
        <f>'Barn - Back Rack'!V76</f>
        <v>4</v>
      </c>
      <c r="M9" s="46">
        <f>'Barn - Back Rack'!X76</f>
        <v>5</v>
      </c>
      <c r="N9" s="46">
        <f>'Barn - Back Rack'!Z76</f>
        <v>3</v>
      </c>
      <c r="O9" s="46">
        <f>'Barn - Back Rack'!AB76</f>
        <v>3</v>
      </c>
      <c r="P9" s="46">
        <f>'Barn - Back Rack'!AD76</f>
        <v>2</v>
      </c>
      <c r="Q9" s="46">
        <f>'Barn - Back Rack'!AF76</f>
        <v>2</v>
      </c>
    </row>
    <row r="10" spans="1:17" ht="15" customHeight="1" x14ac:dyDescent="0.25">
      <c r="A10" s="7" t="s">
        <v>506</v>
      </c>
      <c r="B10" s="35">
        <f t="shared" ref="B10:Q10" si="0">SUM(B6:B9)</f>
        <v>0</v>
      </c>
      <c r="C10" s="35">
        <f t="shared" si="0"/>
        <v>0</v>
      </c>
      <c r="D10" s="35">
        <f t="shared" si="0"/>
        <v>0</v>
      </c>
      <c r="E10" s="35">
        <f t="shared" si="0"/>
        <v>2</v>
      </c>
      <c r="F10" s="35">
        <f t="shared" si="0"/>
        <v>5</v>
      </c>
      <c r="G10" s="35">
        <f t="shared" si="0"/>
        <v>6</v>
      </c>
      <c r="H10" s="35">
        <f t="shared" si="0"/>
        <v>3</v>
      </c>
      <c r="I10" s="35">
        <f t="shared" si="0"/>
        <v>5</v>
      </c>
      <c r="J10" s="35">
        <f t="shared" si="0"/>
        <v>35</v>
      </c>
      <c r="K10" s="35">
        <f t="shared" si="0"/>
        <v>29</v>
      </c>
      <c r="L10" s="35">
        <f t="shared" si="0"/>
        <v>11</v>
      </c>
      <c r="M10" s="35">
        <f t="shared" si="0"/>
        <v>13</v>
      </c>
      <c r="N10" s="35">
        <f t="shared" si="0"/>
        <v>15</v>
      </c>
      <c r="O10" s="35">
        <f t="shared" si="0"/>
        <v>3</v>
      </c>
      <c r="P10" s="35">
        <f t="shared" si="0"/>
        <v>16</v>
      </c>
      <c r="Q10" s="35">
        <f t="shared" si="0"/>
        <v>11</v>
      </c>
    </row>
    <row r="11" spans="1:17" ht="15" customHeight="1" x14ac:dyDescent="0.25">
      <c r="A11" s="72" t="s">
        <v>507</v>
      </c>
      <c r="B11" s="72"/>
      <c r="C11" s="72"/>
      <c r="D11" s="72"/>
      <c r="E11" s="72"/>
      <c r="F11" s="72"/>
      <c r="G11" s="72"/>
      <c r="H11" s="72"/>
      <c r="I11" s="72"/>
      <c r="J11" s="72"/>
      <c r="K11" s="72"/>
      <c r="L11" s="72"/>
      <c r="M11" s="72"/>
      <c r="N11" s="72"/>
      <c r="O11" s="72"/>
      <c r="P11" s="72"/>
      <c r="Q11" s="72"/>
    </row>
    <row r="13" spans="1:17" ht="15" customHeight="1" x14ac:dyDescent="0.25">
      <c r="A13" s="68" t="s">
        <v>508</v>
      </c>
      <c r="B13" s="68"/>
      <c r="C13" s="68"/>
      <c r="D13" s="68"/>
      <c r="E13" s="68"/>
      <c r="F13" s="68"/>
      <c r="G13" s="68"/>
      <c r="H13" s="68"/>
      <c r="I13" s="68"/>
    </row>
    <row r="14" spans="1:17" ht="25.5" customHeight="1" x14ac:dyDescent="0.25">
      <c r="A14" s="5" t="s">
        <v>485</v>
      </c>
      <c r="B14" s="4" t="s">
        <v>494</v>
      </c>
      <c r="C14" s="4" t="s">
        <v>495</v>
      </c>
      <c r="D14" s="4" t="s">
        <v>496</v>
      </c>
      <c r="E14" s="4" t="s">
        <v>497</v>
      </c>
      <c r="F14" s="4" t="s">
        <v>498</v>
      </c>
      <c r="G14" s="4" t="s">
        <v>499</v>
      </c>
      <c r="H14" s="4" t="s">
        <v>500</v>
      </c>
      <c r="I14" s="4" t="s">
        <v>501</v>
      </c>
    </row>
    <row r="15" spans="1:17" ht="19.5" customHeight="1" x14ac:dyDescent="0.25">
      <c r="A15" s="45" t="s">
        <v>502</v>
      </c>
      <c r="B15" s="46">
        <f>'Barn - Front Rack'!B25</f>
        <v>10</v>
      </c>
      <c r="C15" s="46">
        <f>'Barn - Front Rack'!D25</f>
        <v>0</v>
      </c>
      <c r="D15" s="46">
        <f>'Barn - Front Rack'!F25</f>
        <v>0</v>
      </c>
      <c r="E15" s="46">
        <f>'Barn - Front Rack'!H25</f>
        <v>0</v>
      </c>
      <c r="F15" s="46">
        <f>'Barn - Front Rack'!J25</f>
        <v>0</v>
      </c>
      <c r="G15" s="46">
        <f>'Barn - Front Rack'!L25</f>
        <v>0</v>
      </c>
      <c r="H15" s="46">
        <f>'Barn - Front Rack'!N25</f>
        <v>0</v>
      </c>
      <c r="I15" s="46">
        <f>'Barn - Front Rack'!P25</f>
        <v>0</v>
      </c>
    </row>
    <row r="16" spans="1:17" ht="19.5" customHeight="1" x14ac:dyDescent="0.25">
      <c r="A16" s="45" t="s">
        <v>503</v>
      </c>
      <c r="B16" s="46">
        <f>'Barn - Front Rack'!B42</f>
        <v>9</v>
      </c>
      <c r="C16" s="46">
        <f>'Barn - Front Rack'!D42</f>
        <v>0</v>
      </c>
      <c r="D16" s="46">
        <f>'Barn - Front Rack'!F42</f>
        <v>0</v>
      </c>
      <c r="E16" s="46">
        <f>'Barn - Front Rack'!H42</f>
        <v>0</v>
      </c>
      <c r="F16" s="46">
        <f>'Barn - Front Rack'!J42</f>
        <v>3</v>
      </c>
      <c r="G16" s="46">
        <f>'Barn - Front Rack'!L42</f>
        <v>0</v>
      </c>
      <c r="H16" s="46">
        <f>'Barn - Front Rack'!N42</f>
        <v>2</v>
      </c>
      <c r="I16" s="46">
        <f>'Barn - Front Rack'!P42</f>
        <v>0</v>
      </c>
    </row>
    <row r="17" spans="1:9" ht="19.5" customHeight="1" x14ac:dyDescent="0.25">
      <c r="A17" s="45" t="s">
        <v>504</v>
      </c>
      <c r="B17" s="46">
        <f>'Barn - Front Rack'!B59</f>
        <v>9</v>
      </c>
      <c r="C17" s="46">
        <f>'Barn - Front Rack'!D59</f>
        <v>6</v>
      </c>
      <c r="D17" s="46">
        <f>'Barn - Front Rack'!F59</f>
        <v>8</v>
      </c>
      <c r="E17" s="46">
        <f>'Barn - Front Rack'!H59</f>
        <v>7</v>
      </c>
      <c r="F17" s="46">
        <f>'Barn - Front Rack'!J59</f>
        <v>2</v>
      </c>
      <c r="G17" s="46">
        <f>'Barn - Front Rack'!L59</f>
        <v>1</v>
      </c>
      <c r="H17" s="46">
        <f>'Barn - Front Rack'!N59</f>
        <v>3</v>
      </c>
      <c r="I17" s="46">
        <f>'Barn - Front Rack'!P59</f>
        <v>0</v>
      </c>
    </row>
    <row r="18" spans="1:9" ht="19.5" customHeight="1" x14ac:dyDescent="0.25">
      <c r="A18" s="45" t="s">
        <v>505</v>
      </c>
      <c r="B18" s="46">
        <f>'Barn - Front Rack'!B76</f>
        <v>8</v>
      </c>
      <c r="C18" s="46">
        <f>'Barn - Front Rack'!D76</f>
        <v>0</v>
      </c>
      <c r="D18" s="46">
        <f>'Barn - Front Rack'!F76</f>
        <v>0</v>
      </c>
      <c r="E18" s="46">
        <f>'Barn - Front Rack'!H76</f>
        <v>8</v>
      </c>
      <c r="F18" s="46">
        <f>'Barn - Front Rack'!J76</f>
        <v>2</v>
      </c>
      <c r="G18" s="46">
        <f>'Barn - Front Rack'!L76</f>
        <v>2</v>
      </c>
      <c r="H18" s="46">
        <f>'Barn - Front Rack'!N76</f>
        <v>2</v>
      </c>
      <c r="I18" s="46">
        <f>'Barn - Front Rack'!P76</f>
        <v>0</v>
      </c>
    </row>
    <row r="19" spans="1:9" ht="15" customHeight="1" x14ac:dyDescent="0.25">
      <c r="A19" s="7" t="s">
        <v>506</v>
      </c>
      <c r="B19" s="35">
        <f t="shared" ref="B19:I19" si="1">SUM(B15:B18)</f>
        <v>36</v>
      </c>
      <c r="C19" s="35">
        <f t="shared" si="1"/>
        <v>6</v>
      </c>
      <c r="D19" s="35">
        <f t="shared" si="1"/>
        <v>8</v>
      </c>
      <c r="E19" s="35">
        <f t="shared" si="1"/>
        <v>15</v>
      </c>
      <c r="F19" s="35">
        <f t="shared" si="1"/>
        <v>7</v>
      </c>
      <c r="G19" s="35">
        <f t="shared" si="1"/>
        <v>3</v>
      </c>
      <c r="H19" s="35">
        <f t="shared" si="1"/>
        <v>7</v>
      </c>
      <c r="I19" s="35">
        <f t="shared" si="1"/>
        <v>0</v>
      </c>
    </row>
    <row r="20" spans="1:9" ht="33.75" customHeight="1" x14ac:dyDescent="0.25">
      <c r="A20" s="72" t="s">
        <v>509</v>
      </c>
      <c r="B20" s="72"/>
      <c r="C20" s="72"/>
      <c r="D20" s="72"/>
      <c r="E20" s="72"/>
      <c r="F20" s="72"/>
      <c r="G20" s="72"/>
      <c r="H20" s="72"/>
      <c r="I20" s="72"/>
    </row>
  </sheetData>
  <mergeCells count="6">
    <mergeCell ref="A20:I20"/>
    <mergeCell ref="A1:Q1"/>
    <mergeCell ref="A2:Q2"/>
    <mergeCell ref="A4:Q4"/>
    <mergeCell ref="A11:Q11"/>
    <mergeCell ref="A13:I13"/>
  </mergeCells>
  <conditionalFormatting sqref="B15:I18">
    <cfRule type="expression" dxfId="9" priority="5">
      <formula>B15&gt;=12</formula>
    </cfRule>
    <cfRule type="expression" dxfId="8" priority="6">
      <formula>B15=0</formula>
    </cfRule>
    <cfRule type="expression" dxfId="7" priority="7">
      <formula>B15&gt;0</formula>
    </cfRule>
  </conditionalFormatting>
  <conditionalFormatting sqref="B6:Q9">
    <cfRule type="expression" dxfId="6" priority="2">
      <formula>B6&gt;=12</formula>
    </cfRule>
    <cfRule type="expression" dxfId="5" priority="3">
      <formula>B6=0</formula>
    </cfRule>
    <cfRule type="expression" dxfId="4" priority="4">
      <formula>B6&gt;0</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N200"/>
  <sheetViews>
    <sheetView showGridLines="0" zoomScaleNormal="100" workbookViewId="0">
      <pane ySplit="7" topLeftCell="A41" activePane="bottomLeft" state="frozen"/>
      <selection pane="bottomLeft" activeCell="A56" sqref="A56"/>
    </sheetView>
  </sheetViews>
  <sheetFormatPr defaultColWidth="8.5703125" defaultRowHeight="15" x14ac:dyDescent="0.25"/>
  <cols>
    <col min="1" max="1" width="36" customWidth="1"/>
    <col min="2" max="5" width="13" hidden="1" customWidth="1"/>
    <col min="6" max="10" width="12" hidden="1" customWidth="1"/>
    <col min="11" max="11" width="12" customWidth="1"/>
    <col min="12" max="12" width="13" customWidth="1"/>
    <col min="13" max="13" width="12" customWidth="1"/>
    <col min="14" max="14" width="42" customWidth="1"/>
  </cols>
  <sheetData>
    <row r="1" spans="1:14" ht="25.5" customHeight="1" x14ac:dyDescent="0.25">
      <c r="A1" s="88" t="s">
        <v>510</v>
      </c>
      <c r="B1" s="88"/>
      <c r="C1" s="88"/>
      <c r="D1" s="88"/>
      <c r="E1" s="88"/>
      <c r="F1" s="88"/>
      <c r="G1" s="88"/>
      <c r="H1" s="88"/>
      <c r="I1" s="88"/>
      <c r="J1" s="88"/>
      <c r="K1" s="88"/>
      <c r="L1" s="88"/>
      <c r="M1" s="88"/>
      <c r="N1" s="88"/>
    </row>
    <row r="2" spans="1:14" ht="57.75" customHeight="1" x14ac:dyDescent="0.25">
      <c r="A2" s="78" t="s">
        <v>511</v>
      </c>
      <c r="B2" s="78"/>
      <c r="C2" s="78"/>
      <c r="D2" s="78"/>
      <c r="E2" s="78"/>
      <c r="F2" s="78"/>
      <c r="G2" s="78"/>
      <c r="H2" s="78"/>
      <c r="I2" s="78"/>
      <c r="J2" s="78"/>
      <c r="K2" s="78"/>
      <c r="L2" s="78"/>
      <c r="M2" s="78"/>
      <c r="N2" s="78"/>
    </row>
    <row r="3" spans="1:14" ht="15" customHeight="1" x14ac:dyDescent="0.25">
      <c r="A3" s="89" t="s">
        <v>512</v>
      </c>
      <c r="B3" s="89"/>
      <c r="C3" s="89"/>
      <c r="D3" s="89"/>
      <c r="E3" s="89"/>
      <c r="F3" s="89"/>
      <c r="G3" s="89"/>
      <c r="H3" s="89"/>
      <c r="I3" s="89"/>
      <c r="J3" s="89"/>
      <c r="K3" s="89"/>
      <c r="L3" s="89"/>
      <c r="M3" s="89"/>
      <c r="N3" s="89"/>
    </row>
    <row r="4" spans="1:14" ht="30" customHeight="1" x14ac:dyDescent="0.25">
      <c r="A4" s="1" t="s">
        <v>513</v>
      </c>
      <c r="B4" s="1" t="s">
        <v>514</v>
      </c>
      <c r="C4" s="1" t="s">
        <v>515</v>
      </c>
      <c r="D4" s="1" t="s">
        <v>516</v>
      </c>
      <c r="E4" s="1" t="s">
        <v>517</v>
      </c>
      <c r="F4" s="1" t="s">
        <v>389</v>
      </c>
      <c r="G4" s="1" t="s">
        <v>518</v>
      </c>
      <c r="H4" s="1" t="s">
        <v>519</v>
      </c>
      <c r="I4" s="1" t="s">
        <v>520</v>
      </c>
      <c r="J4" s="1" t="s">
        <v>521</v>
      </c>
      <c r="K4" s="1" t="s">
        <v>522</v>
      </c>
      <c r="L4" s="1" t="s">
        <v>523</v>
      </c>
      <c r="M4" s="1" t="s">
        <v>524</v>
      </c>
      <c r="N4" s="1" t="s">
        <v>525</v>
      </c>
    </row>
    <row r="5" spans="1:14" ht="21.75" customHeight="1" x14ac:dyDescent="0.25">
      <c r="A5" s="25">
        <f>SUM($K$8:$K$157)-SUM($L$8:$L$157)-SUM($M$8:$M$157)</f>
        <v>279</v>
      </c>
      <c r="B5" s="25">
        <f>SUM($B$8:$B$157)-SUM($L$8:$L$157)</f>
        <v>143</v>
      </c>
      <c r="C5" s="25">
        <f>SUM($C$8:$C$157)</f>
        <v>82</v>
      </c>
      <c r="D5" s="25">
        <f>SUM($D$8:$D$157)</f>
        <v>9</v>
      </c>
      <c r="E5" s="25">
        <f>SUM($E$8:$E$157)</f>
        <v>8</v>
      </c>
      <c r="F5" s="25">
        <f>SUM($F$8:$F$157)</f>
        <v>12</v>
      </c>
      <c r="G5" s="25">
        <f>SUM($G$8:$G$157)</f>
        <v>14</v>
      </c>
      <c r="H5" s="25">
        <f>SUM($H$8:$H$157)</f>
        <v>1</v>
      </c>
      <c r="I5" s="25">
        <f>SUM($I$8:$I$157)-SUMIFS('Equipment Index'!$F$2:$F$1513,'Equipment Index'!$C$2:$C$1513,"MOD",'Equipment Index'!$A$2:$A$1513,"San Antonio")</f>
        <v>10</v>
      </c>
      <c r="J5" s="25">
        <f>SUM($J$8:$J$157)-SUMIFS('Equipment Index'!$F$2:$F$1513,'Equipment Index'!$C$2:$C$1513,"MOD",'Equipment Index'!$A$2:$A$1513,"Dallas")</f>
        <v>0</v>
      </c>
      <c r="K5" s="25">
        <f>SUM($L$8:$L$157)</f>
        <v>146</v>
      </c>
      <c r="L5" s="25">
        <f>SUM($M$8:$M$157)</f>
        <v>0</v>
      </c>
      <c r="M5" s="25">
        <f>SUMPRODUCT(($A$8:$A$157&lt;&gt;"")*1)</f>
        <v>86</v>
      </c>
      <c r="N5" s="25">
        <f>COUNTIF('Equipment Index'!$H$2:$H$1513,"?*")</f>
        <v>5</v>
      </c>
    </row>
    <row r="6" spans="1:14" ht="19.5" customHeight="1" x14ac:dyDescent="0.25">
      <c r="A6" s="82" t="s">
        <v>526</v>
      </c>
      <c r="B6" s="82"/>
      <c r="C6" s="82"/>
      <c r="D6" s="82"/>
      <c r="E6" s="82"/>
      <c r="F6" s="82"/>
      <c r="G6" s="82"/>
      <c r="H6" s="82"/>
      <c r="I6" s="82"/>
      <c r="J6" s="82"/>
      <c r="K6" s="82"/>
      <c r="L6" s="82"/>
      <c r="M6" s="82"/>
      <c r="N6" s="82"/>
    </row>
    <row r="7" spans="1:14" ht="31.5" customHeight="1" x14ac:dyDescent="0.25">
      <c r="A7" s="47" t="s">
        <v>527</v>
      </c>
      <c r="B7" s="47" t="s">
        <v>528</v>
      </c>
      <c r="C7" s="47" t="s">
        <v>529</v>
      </c>
      <c r="D7" s="47" t="s">
        <v>530</v>
      </c>
      <c r="E7" s="47" t="s">
        <v>531</v>
      </c>
      <c r="F7" s="47" t="s">
        <v>532</v>
      </c>
      <c r="G7" s="47" t="s">
        <v>533</v>
      </c>
      <c r="H7" s="48" t="s">
        <v>534</v>
      </c>
      <c r="I7" s="47" t="s">
        <v>535</v>
      </c>
      <c r="J7" s="47" t="s">
        <v>536</v>
      </c>
      <c r="K7" s="49" t="s">
        <v>537</v>
      </c>
      <c r="L7" s="50" t="s">
        <v>538</v>
      </c>
      <c r="M7" s="51" t="s">
        <v>539</v>
      </c>
      <c r="N7" s="47" t="s">
        <v>540</v>
      </c>
    </row>
    <row r="8" spans="1:14" ht="15" customHeight="1" x14ac:dyDescent="0.25">
      <c r="A8" s="52" t="str">
        <f>IFERROR(INDEX('Equipment Index'!$G$2:$G$1513,MATCH(ROW()-7,'Equipment Index'!$J$2:$J$1513,0)),"")</f>
        <v>Bauhuas 2 Group</v>
      </c>
      <c r="B8" s="53">
        <f>IF($A8="","",SUMIFS('Equipment Index'!$F$2:$F$1513,'Equipment Index'!$G$2:$G$1513,$A8,'Equipment Index'!$A$2:$A$1513,"Barn - Back Rack"))</f>
        <v>0</v>
      </c>
      <c r="C8" s="53">
        <f>IF($A8="","",SUMIFS('Equipment Index'!$F$2:$F$1513,'Equipment Index'!$G$2:$G$1513,$A8,'Equipment Index'!$A$2:$A$1513,"Barn - Front Rack"))</f>
        <v>1</v>
      </c>
      <c r="D8" s="53">
        <f>IF($A8="","",SUMIFS('Equipment Index'!$F$2:$F$1513,'Equipment Index'!$G$2:$G$1513,$A8,'Equipment Index'!$A$2:$A$1513,"Front Lobby"))</f>
        <v>0</v>
      </c>
      <c r="E8" s="53">
        <f>IF($A8="","",SUMIFS('Equipment Index'!$F$2:$F$1513,'Equipment Index'!$G$2:$G$1513,$A8,'Equipment Index'!$A$2:$A$1513,"Service Room"))</f>
        <v>0</v>
      </c>
      <c r="F8" s="53">
        <f>IF($A8="","",SUMIFS('Equipment Index'!$F$2:$F$1513,'Equipment Index'!$G$2:$G$1513,$A8,'Equipment Index'!$A$2:$A$1513,"Production"))</f>
        <v>0</v>
      </c>
      <c r="G8" s="53">
        <f>IF($A8="","",SUMIFS('Equipment Index'!$F$2:$F$1513,'Equipment Index'!$G$2:$G$1513,$A8,'Equipment Index'!$A$2:$A$1513,"Training Room"))</f>
        <v>0</v>
      </c>
      <c r="H8" s="54">
        <f>IF($A8="","",SUMIFS('Equipment Index'!$F$2:$F$1513,'Equipment Index'!$G$2:$G$1513,$A8,'Equipment Index'!$A$2:$A$1513,"Out of State"))</f>
        <v>0</v>
      </c>
      <c r="I8" s="53">
        <f>IF($A8="","",SUMIFS('Equipment Index'!$F$2:$F$1513,'Equipment Index'!$G$2:$G$1513,$A8,'Equipment Index'!$A$2:$A$1513,"San Antonio"))</f>
        <v>0</v>
      </c>
      <c r="J8" s="53">
        <f>IF($A8="","",SUMIFS('Equipment Index'!$F$2:$F$1513,'Equipment Index'!$G$2:$G$1513,$A8,'Equipment Index'!$A$2:$A$1513,"Dallas"))</f>
        <v>0</v>
      </c>
      <c r="K8" s="55">
        <f t="shared" ref="K8:K39" si="0">IF($A8="","",SUM($B8:$J8))</f>
        <v>1</v>
      </c>
      <c r="L8" s="56">
        <f>IF($A8="","",SUMIFS('Equipment Index'!$F$2:$F$1513,'Equipment Index'!$G$2:$G$1513,$A8,'Equipment Index'!$C$2:$C$1513,"DISP"))</f>
        <v>0</v>
      </c>
      <c r="M8" s="57">
        <f>IF($A8="","",SUMIFS('Equipment Index'!$F$2:$F$1513,'Equipment Index'!$G$2:$G$1513,$A8,'Equipment Index'!$C$2:$C$1513,"MOD"))</f>
        <v>0</v>
      </c>
      <c r="N8" s="58" t="str">
        <f>IF($A8="","",IF(COUNTIFS('Equipment Index'!$G$2:$G$1513,$A8,'Equipment Index'!$H$2:$H$1513,"?*")=0,"","Customer-owned — "&amp;COUNTIFS('Equipment Index'!$G$2:$G$1513,$A8,'Equipment Index'!$H$2:$H$1513,"?*")&amp;" unit(s): "&amp;IFERROR(INDEX('Equipment Index'!$H$2:$H$1513,SUMPRODUCT(MATCH(1,('Equipment Index'!$G$2:$G$1513=$A8)*('Equipment Index'!$H$2:$H$1513&lt;&gt;""),0))),"")&amp;IF(COUNTIFS('Equipment Index'!$G$2:$G$1513,$A8,'Equipment Index'!$H$2:$H$1513,"?*")&gt;1," + see table below","")))</f>
        <v/>
      </c>
    </row>
    <row r="9" spans="1:14" ht="15" customHeight="1" x14ac:dyDescent="0.25">
      <c r="A9" s="52" t="str">
        <f>IFERROR(INDEX('Equipment Index'!$G$2:$G$1513,MATCH(ROW()-7,'Equipment Index'!$J$2:$J$1513,0)),"")</f>
        <v>BNP 1.9L Carafes</v>
      </c>
      <c r="B9" s="53">
        <f>IF($A9="","",SUMIFS('Equipment Index'!$F$2:$F$1513,'Equipment Index'!$G$2:$G$1513,$A9,'Equipment Index'!$A$2:$A$1513,"Barn - Back Rack"))</f>
        <v>36</v>
      </c>
      <c r="C9" s="53">
        <f>IF($A9="","",SUMIFS('Equipment Index'!$F$2:$F$1513,'Equipment Index'!$G$2:$G$1513,$A9,'Equipment Index'!$A$2:$A$1513,"Barn - Front Rack"))</f>
        <v>0</v>
      </c>
      <c r="D9" s="53">
        <f>IF($A9="","",SUMIFS('Equipment Index'!$F$2:$F$1513,'Equipment Index'!$G$2:$G$1513,$A9,'Equipment Index'!$A$2:$A$1513,"Front Lobby"))</f>
        <v>0</v>
      </c>
      <c r="E9" s="53">
        <f>IF($A9="","",SUMIFS('Equipment Index'!$F$2:$F$1513,'Equipment Index'!$G$2:$G$1513,$A9,'Equipment Index'!$A$2:$A$1513,"Service Room"))</f>
        <v>0</v>
      </c>
      <c r="F9" s="53">
        <f>IF($A9="","",SUMIFS('Equipment Index'!$F$2:$F$1513,'Equipment Index'!$G$2:$G$1513,$A9,'Equipment Index'!$A$2:$A$1513,"Production"))</f>
        <v>0</v>
      </c>
      <c r="G9" s="53">
        <f>IF($A9="","",SUMIFS('Equipment Index'!$F$2:$F$1513,'Equipment Index'!$G$2:$G$1513,$A9,'Equipment Index'!$A$2:$A$1513,"Training Room"))</f>
        <v>0</v>
      </c>
      <c r="H9" s="54">
        <f>IF($A9="","",SUMIFS('Equipment Index'!$F$2:$F$1513,'Equipment Index'!$G$2:$G$1513,$A9,'Equipment Index'!$A$2:$A$1513,"Out of State"))</f>
        <v>0</v>
      </c>
      <c r="I9" s="53">
        <f>IF($A9="","",SUMIFS('Equipment Index'!$F$2:$F$1513,'Equipment Index'!$G$2:$G$1513,$A9,'Equipment Index'!$A$2:$A$1513,"San Antonio"))</f>
        <v>0</v>
      </c>
      <c r="J9" s="53">
        <f>IF($A9="","",SUMIFS('Equipment Index'!$F$2:$F$1513,'Equipment Index'!$G$2:$G$1513,$A9,'Equipment Index'!$A$2:$A$1513,"Dallas"))</f>
        <v>0</v>
      </c>
      <c r="K9" s="55">
        <f t="shared" si="0"/>
        <v>36</v>
      </c>
      <c r="L9" s="56">
        <f>IF($A9="","",SUMIFS('Equipment Index'!$F$2:$F$1513,'Equipment Index'!$G$2:$G$1513,$A9,'Equipment Index'!$C$2:$C$1513,"DISP"))</f>
        <v>36</v>
      </c>
      <c r="M9" s="57">
        <f>IF($A9="","",SUMIFS('Equipment Index'!$F$2:$F$1513,'Equipment Index'!$G$2:$G$1513,$A9,'Equipment Index'!$C$2:$C$1513,"MOD"))</f>
        <v>0</v>
      </c>
      <c r="N9" s="58" t="str">
        <f>IF($A9="","",IF(COUNTIFS('Equipment Index'!$G$2:$G$1513,$A9,'Equipment Index'!$H$2:$H$1513,"?*")=0,"","Customer-owned — "&amp;COUNTIFS('Equipment Index'!$G$2:$G$1513,$A9,'Equipment Index'!$H$2:$H$1513,"?*")&amp;" unit(s): "&amp;IFERROR(INDEX('Equipment Index'!$H$2:$H$1513,SUMPRODUCT(MATCH(1,('Equipment Index'!$G$2:$G$1513=$A9)*('Equipment Index'!$H$2:$H$1513&lt;&gt;""),0))),"")&amp;IF(COUNTIFS('Equipment Index'!$G$2:$G$1513,$A9,'Equipment Index'!$H$2:$H$1513,"?*")&gt;1," + see table below","")))</f>
        <v/>
      </c>
    </row>
    <row r="10" spans="1:14" ht="15" customHeight="1" x14ac:dyDescent="0.25">
      <c r="A10" s="52" t="str">
        <f>IFERROR(INDEX('Equipment Index'!$G$2:$G$1513,MATCH(ROW()-7,'Equipment Index'!$J$2:$J$1513,0)),"")</f>
        <v>Bravilor Esprecious 22</v>
      </c>
      <c r="B10" s="53">
        <f>IF($A10="","",SUMIFS('Equipment Index'!$F$2:$F$1513,'Equipment Index'!$G$2:$G$1513,$A10,'Equipment Index'!$A$2:$A$1513,"Barn - Back Rack"))</f>
        <v>0</v>
      </c>
      <c r="C10" s="53">
        <f>IF($A10="","",SUMIFS('Equipment Index'!$F$2:$F$1513,'Equipment Index'!$G$2:$G$1513,$A10,'Equipment Index'!$A$2:$A$1513,"Barn - Front Rack"))</f>
        <v>1</v>
      </c>
      <c r="D10" s="53">
        <f>IF($A10="","",SUMIFS('Equipment Index'!$F$2:$F$1513,'Equipment Index'!$G$2:$G$1513,$A10,'Equipment Index'!$A$2:$A$1513,"Front Lobby"))</f>
        <v>0</v>
      </c>
      <c r="E10" s="53">
        <f>IF($A10="","",SUMIFS('Equipment Index'!$F$2:$F$1513,'Equipment Index'!$G$2:$G$1513,$A10,'Equipment Index'!$A$2:$A$1513,"Service Room"))</f>
        <v>0</v>
      </c>
      <c r="F10" s="53">
        <f>IF($A10="","",SUMIFS('Equipment Index'!$F$2:$F$1513,'Equipment Index'!$G$2:$G$1513,$A10,'Equipment Index'!$A$2:$A$1513,"Production"))</f>
        <v>0</v>
      </c>
      <c r="G10" s="53">
        <f>IF($A10="","",SUMIFS('Equipment Index'!$F$2:$F$1513,'Equipment Index'!$G$2:$G$1513,$A10,'Equipment Index'!$A$2:$A$1513,"Training Room"))</f>
        <v>0</v>
      </c>
      <c r="H10" s="54">
        <f>IF($A10="","",SUMIFS('Equipment Index'!$F$2:$F$1513,'Equipment Index'!$G$2:$G$1513,$A10,'Equipment Index'!$A$2:$A$1513,"Out of State"))</f>
        <v>0</v>
      </c>
      <c r="I10" s="53">
        <f>IF($A10="","",SUMIFS('Equipment Index'!$F$2:$F$1513,'Equipment Index'!$G$2:$G$1513,$A10,'Equipment Index'!$A$2:$A$1513,"San Antonio"))</f>
        <v>0</v>
      </c>
      <c r="J10" s="53">
        <f>IF($A10="","",SUMIFS('Equipment Index'!$F$2:$F$1513,'Equipment Index'!$G$2:$G$1513,$A10,'Equipment Index'!$A$2:$A$1513,"Dallas"))</f>
        <v>0</v>
      </c>
      <c r="K10" s="55">
        <f t="shared" si="0"/>
        <v>1</v>
      </c>
      <c r="L10" s="56">
        <f>IF($A10="","",SUMIFS('Equipment Index'!$F$2:$F$1513,'Equipment Index'!$G$2:$G$1513,$A10,'Equipment Index'!$C$2:$C$1513,"DISP"))</f>
        <v>0</v>
      </c>
      <c r="M10" s="57">
        <f>IF($A10="","",SUMIFS('Equipment Index'!$F$2:$F$1513,'Equipment Index'!$G$2:$G$1513,$A10,'Equipment Index'!$C$2:$C$1513,"MOD"))</f>
        <v>0</v>
      </c>
      <c r="N10" s="58" t="str">
        <f>IF($A10="","",IF(COUNTIFS('Equipment Index'!$G$2:$G$1513,$A10,'Equipment Index'!$H$2:$H$1513,"?*")=0,"","Customer-owned — "&amp;COUNTIFS('Equipment Index'!$G$2:$G$1513,$A10,'Equipment Index'!$H$2:$H$1513,"?*")&amp;" unit(s): "&amp;IFERROR(INDEX('Equipment Index'!$H$2:$H$1513,SUMPRODUCT(MATCH(1,('Equipment Index'!$G$2:$G$1513=$A10)*('Equipment Index'!$H$2:$H$1513&lt;&gt;""),0))),"")&amp;IF(COUNTIFS('Equipment Index'!$G$2:$G$1513,$A10,'Equipment Index'!$H$2:$H$1513,"?*")&gt;1," + see table below","")))</f>
        <v/>
      </c>
    </row>
    <row r="11" spans="1:14" ht="15" customHeight="1" x14ac:dyDescent="0.25">
      <c r="A11" s="52" t="str">
        <f>IFERROR(INDEX('Equipment Index'!$G$2:$G$1513,MATCH(ROW()-7,'Equipment Index'!$J$2:$J$1513,0)),"")</f>
        <v>Bunn Axiom-15-2U1L</v>
      </c>
      <c r="B11" s="53">
        <f>IF($A11="","",SUMIFS('Equipment Index'!$F$2:$F$1513,'Equipment Index'!$G$2:$G$1513,$A11,'Equipment Index'!$A$2:$A$1513,"Barn - Back Rack"))</f>
        <v>4</v>
      </c>
      <c r="C11" s="53">
        <f>IF($A11="","",SUMIFS('Equipment Index'!$F$2:$F$1513,'Equipment Index'!$G$2:$G$1513,$A11,'Equipment Index'!$A$2:$A$1513,"Barn - Front Rack"))</f>
        <v>0</v>
      </c>
      <c r="D11" s="53">
        <f>IF($A11="","",SUMIFS('Equipment Index'!$F$2:$F$1513,'Equipment Index'!$G$2:$G$1513,$A11,'Equipment Index'!$A$2:$A$1513,"Front Lobby"))</f>
        <v>0</v>
      </c>
      <c r="E11" s="53">
        <f>IF($A11="","",SUMIFS('Equipment Index'!$F$2:$F$1513,'Equipment Index'!$G$2:$G$1513,$A11,'Equipment Index'!$A$2:$A$1513,"Service Room"))</f>
        <v>0</v>
      </c>
      <c r="F11" s="53">
        <f>IF($A11="","",SUMIFS('Equipment Index'!$F$2:$F$1513,'Equipment Index'!$G$2:$G$1513,$A11,'Equipment Index'!$A$2:$A$1513,"Production"))</f>
        <v>0</v>
      </c>
      <c r="G11" s="53">
        <f>IF($A11="","",SUMIFS('Equipment Index'!$F$2:$F$1513,'Equipment Index'!$G$2:$G$1513,$A11,'Equipment Index'!$A$2:$A$1513,"Training Room"))</f>
        <v>0</v>
      </c>
      <c r="H11" s="54">
        <f>IF($A11="","",SUMIFS('Equipment Index'!$F$2:$F$1513,'Equipment Index'!$G$2:$G$1513,$A11,'Equipment Index'!$A$2:$A$1513,"Out of State"))</f>
        <v>0</v>
      </c>
      <c r="I11" s="53">
        <f>IF($A11="","",SUMIFS('Equipment Index'!$F$2:$F$1513,'Equipment Index'!$G$2:$G$1513,$A11,'Equipment Index'!$A$2:$A$1513,"San Antonio"))</f>
        <v>0</v>
      </c>
      <c r="J11" s="53">
        <f>IF($A11="","",SUMIFS('Equipment Index'!$F$2:$F$1513,'Equipment Index'!$G$2:$G$1513,$A11,'Equipment Index'!$A$2:$A$1513,"Dallas"))</f>
        <v>0</v>
      </c>
      <c r="K11" s="55">
        <f t="shared" si="0"/>
        <v>4</v>
      </c>
      <c r="L11" s="56">
        <f>IF($A11="","",SUMIFS('Equipment Index'!$F$2:$F$1513,'Equipment Index'!$G$2:$G$1513,$A11,'Equipment Index'!$C$2:$C$1513,"DISP"))</f>
        <v>0</v>
      </c>
      <c r="M11" s="57">
        <f>IF($A11="","",SUMIFS('Equipment Index'!$F$2:$F$1513,'Equipment Index'!$G$2:$G$1513,$A11,'Equipment Index'!$C$2:$C$1513,"MOD"))</f>
        <v>0</v>
      </c>
      <c r="N11" s="58" t="str">
        <f>IF($A11="","",IF(COUNTIFS('Equipment Index'!$G$2:$G$1513,$A11,'Equipment Index'!$H$2:$H$1513,"?*")=0,"","Customer-owned — "&amp;COUNTIFS('Equipment Index'!$G$2:$G$1513,$A11,'Equipment Index'!$H$2:$H$1513,"?*")&amp;" unit(s): "&amp;IFERROR(INDEX('Equipment Index'!$H$2:$H$1513,SUMPRODUCT(MATCH(1,('Equipment Index'!$G$2:$G$1513=$A11)*('Equipment Index'!$H$2:$H$1513&lt;&gt;""),0))),"")&amp;IF(COUNTIFS('Equipment Index'!$G$2:$G$1513,$A11,'Equipment Index'!$H$2:$H$1513,"?*")&gt;1," + see table below","")))</f>
        <v/>
      </c>
    </row>
    <row r="12" spans="1:14" ht="15" customHeight="1" x14ac:dyDescent="0.25">
      <c r="A12" s="52" t="str">
        <f>IFERROR(INDEX('Equipment Index'!$G$2:$G$1513,MATCH(ROW()-7,'Equipment Index'!$J$2:$J$1513,0)),"")</f>
        <v>Bunn Axiom-APS</v>
      </c>
      <c r="B12" s="53">
        <f>IF($A12="","",SUMIFS('Equipment Index'!$F$2:$F$1513,'Equipment Index'!$G$2:$G$1513,$A12,'Equipment Index'!$A$2:$A$1513,"Barn - Back Rack"))</f>
        <v>20</v>
      </c>
      <c r="C12" s="53">
        <f>IF($A12="","",SUMIFS('Equipment Index'!$F$2:$F$1513,'Equipment Index'!$G$2:$G$1513,$A12,'Equipment Index'!$A$2:$A$1513,"Barn - Front Rack"))</f>
        <v>6</v>
      </c>
      <c r="D12" s="53">
        <f>IF($A12="","",SUMIFS('Equipment Index'!$F$2:$F$1513,'Equipment Index'!$G$2:$G$1513,$A12,'Equipment Index'!$A$2:$A$1513,"Front Lobby"))</f>
        <v>0</v>
      </c>
      <c r="E12" s="53">
        <f>IF($A12="","",SUMIFS('Equipment Index'!$F$2:$F$1513,'Equipment Index'!$G$2:$G$1513,$A12,'Equipment Index'!$A$2:$A$1513,"Service Room"))</f>
        <v>0</v>
      </c>
      <c r="F12" s="53">
        <f>IF($A12="","",SUMIFS('Equipment Index'!$F$2:$F$1513,'Equipment Index'!$G$2:$G$1513,$A12,'Equipment Index'!$A$2:$A$1513,"Production"))</f>
        <v>0</v>
      </c>
      <c r="G12" s="53">
        <f>IF($A12="","",SUMIFS('Equipment Index'!$F$2:$F$1513,'Equipment Index'!$G$2:$G$1513,$A12,'Equipment Index'!$A$2:$A$1513,"Training Room"))</f>
        <v>0</v>
      </c>
      <c r="H12" s="54">
        <f>IF($A12="","",SUMIFS('Equipment Index'!$F$2:$F$1513,'Equipment Index'!$G$2:$G$1513,$A12,'Equipment Index'!$A$2:$A$1513,"Out of State"))</f>
        <v>0</v>
      </c>
      <c r="I12" s="53">
        <f>IF($A12="","",SUMIFS('Equipment Index'!$F$2:$F$1513,'Equipment Index'!$G$2:$G$1513,$A12,'Equipment Index'!$A$2:$A$1513,"San Antonio"))</f>
        <v>0</v>
      </c>
      <c r="J12" s="53">
        <f>IF($A12="","",SUMIFS('Equipment Index'!$F$2:$F$1513,'Equipment Index'!$G$2:$G$1513,$A12,'Equipment Index'!$A$2:$A$1513,"Dallas"))</f>
        <v>0</v>
      </c>
      <c r="K12" s="55">
        <f t="shared" si="0"/>
        <v>26</v>
      </c>
      <c r="L12" s="56">
        <f>IF($A12="","",SUMIFS('Equipment Index'!$F$2:$F$1513,'Equipment Index'!$G$2:$G$1513,$A12,'Equipment Index'!$C$2:$C$1513,"DISP"))</f>
        <v>0</v>
      </c>
      <c r="M12" s="57">
        <f>IF($A12="","",SUMIFS('Equipment Index'!$F$2:$F$1513,'Equipment Index'!$G$2:$G$1513,$A12,'Equipment Index'!$C$2:$C$1513,"MOD"))</f>
        <v>0</v>
      </c>
      <c r="N12" s="58" t="str">
        <f>IF($A12="","",IF(COUNTIFS('Equipment Index'!$G$2:$G$1513,$A12,'Equipment Index'!$H$2:$H$1513,"?*")=0,"","Customer-owned — "&amp;COUNTIFS('Equipment Index'!$G$2:$G$1513,$A12,'Equipment Index'!$H$2:$H$1513,"?*")&amp;" unit(s): "&amp;IFERROR(INDEX('Equipment Index'!$H$2:$H$1513,SUMPRODUCT(MATCH(1,('Equipment Index'!$G$2:$G$1513=$A12)*('Equipment Index'!$H$2:$H$1513&lt;&gt;""),0))),"")&amp;IF(COUNTIFS('Equipment Index'!$G$2:$G$1513,$A12,'Equipment Index'!$H$2:$H$1513,"?*")&gt;1," + see table below","")))</f>
        <v/>
      </c>
    </row>
    <row r="13" spans="1:14" ht="15" customHeight="1" x14ac:dyDescent="0.25">
      <c r="A13" s="52" t="str">
        <f>IFERROR(INDEX('Equipment Index'!$G$2:$G$1513,MATCH(ROW()-7,'Equipment Index'!$J$2:$J$1513,0)),"")</f>
        <v>Bunn CWTF-15-2U1L</v>
      </c>
      <c r="B13" s="53">
        <f>IF($A13="","",SUMIFS('Equipment Index'!$F$2:$F$1513,'Equipment Index'!$G$2:$G$1513,$A13,'Equipment Index'!$A$2:$A$1513,"Barn - Back Rack"))</f>
        <v>3</v>
      </c>
      <c r="C13" s="53">
        <f>IF($A13="","",SUMIFS('Equipment Index'!$F$2:$F$1513,'Equipment Index'!$G$2:$G$1513,$A13,'Equipment Index'!$A$2:$A$1513,"Barn - Front Rack"))</f>
        <v>0</v>
      </c>
      <c r="D13" s="53">
        <f>IF($A13="","",SUMIFS('Equipment Index'!$F$2:$F$1513,'Equipment Index'!$G$2:$G$1513,$A13,'Equipment Index'!$A$2:$A$1513,"Front Lobby"))</f>
        <v>0</v>
      </c>
      <c r="E13" s="53">
        <f>IF($A13="","",SUMIFS('Equipment Index'!$F$2:$F$1513,'Equipment Index'!$G$2:$G$1513,$A13,'Equipment Index'!$A$2:$A$1513,"Service Room"))</f>
        <v>0</v>
      </c>
      <c r="F13" s="53">
        <f>IF($A13="","",SUMIFS('Equipment Index'!$F$2:$F$1513,'Equipment Index'!$G$2:$G$1513,$A13,'Equipment Index'!$A$2:$A$1513,"Production"))</f>
        <v>0</v>
      </c>
      <c r="G13" s="53">
        <f>IF($A13="","",SUMIFS('Equipment Index'!$F$2:$F$1513,'Equipment Index'!$G$2:$G$1513,$A13,'Equipment Index'!$A$2:$A$1513,"Training Room"))</f>
        <v>0</v>
      </c>
      <c r="H13" s="54">
        <f>IF($A13="","",SUMIFS('Equipment Index'!$F$2:$F$1513,'Equipment Index'!$G$2:$G$1513,$A13,'Equipment Index'!$A$2:$A$1513,"Out of State"))</f>
        <v>0</v>
      </c>
      <c r="I13" s="53">
        <f>IF($A13="","",SUMIFS('Equipment Index'!$F$2:$F$1513,'Equipment Index'!$G$2:$G$1513,$A13,'Equipment Index'!$A$2:$A$1513,"San Antonio"))</f>
        <v>0</v>
      </c>
      <c r="J13" s="53">
        <f>IF($A13="","",SUMIFS('Equipment Index'!$F$2:$F$1513,'Equipment Index'!$G$2:$G$1513,$A13,'Equipment Index'!$A$2:$A$1513,"Dallas"))</f>
        <v>0</v>
      </c>
      <c r="K13" s="55">
        <f t="shared" si="0"/>
        <v>3</v>
      </c>
      <c r="L13" s="56">
        <f>IF($A13="","",SUMIFS('Equipment Index'!$F$2:$F$1513,'Equipment Index'!$G$2:$G$1513,$A13,'Equipment Index'!$C$2:$C$1513,"DISP"))</f>
        <v>0</v>
      </c>
      <c r="M13" s="57">
        <f>IF($A13="","",SUMIFS('Equipment Index'!$F$2:$F$1513,'Equipment Index'!$G$2:$G$1513,$A13,'Equipment Index'!$C$2:$C$1513,"MOD"))</f>
        <v>0</v>
      </c>
      <c r="N13" s="58" t="str">
        <f>IF($A13="","",IF(COUNTIFS('Equipment Index'!$G$2:$G$1513,$A13,'Equipment Index'!$H$2:$H$1513,"?*")=0,"","Customer-owned — "&amp;COUNTIFS('Equipment Index'!$G$2:$G$1513,$A13,'Equipment Index'!$H$2:$H$1513,"?*")&amp;" unit(s): "&amp;IFERROR(INDEX('Equipment Index'!$H$2:$H$1513,SUMPRODUCT(MATCH(1,('Equipment Index'!$G$2:$G$1513=$A13)*('Equipment Index'!$H$2:$H$1513&lt;&gt;""),0))),"")&amp;IF(COUNTIFS('Equipment Index'!$G$2:$G$1513,$A13,'Equipment Index'!$H$2:$H$1513,"?*")&gt;1," + see table below","")))</f>
        <v/>
      </c>
    </row>
    <row r="14" spans="1:14" ht="15" customHeight="1" x14ac:dyDescent="0.25">
      <c r="A14" s="52" t="str">
        <f>IFERROR(INDEX('Equipment Index'!$G$2:$G$1513,MATCH(ROW()-7,'Equipment Index'!$J$2:$J$1513,0)),"")</f>
        <v>Bunn CWTF-APS</v>
      </c>
      <c r="B14" s="53">
        <f>IF($A14="","",SUMIFS('Equipment Index'!$F$2:$F$1513,'Equipment Index'!$G$2:$G$1513,$A14,'Equipment Index'!$A$2:$A$1513,"Barn - Back Rack"))</f>
        <v>0</v>
      </c>
      <c r="C14" s="53">
        <f>IF($A14="","",SUMIFS('Equipment Index'!$F$2:$F$1513,'Equipment Index'!$G$2:$G$1513,$A14,'Equipment Index'!$A$2:$A$1513,"Barn - Front Rack"))</f>
        <v>0</v>
      </c>
      <c r="D14" s="53">
        <f>IF($A14="","",SUMIFS('Equipment Index'!$F$2:$F$1513,'Equipment Index'!$G$2:$G$1513,$A14,'Equipment Index'!$A$2:$A$1513,"Front Lobby"))</f>
        <v>0</v>
      </c>
      <c r="E14" s="53">
        <f>IF($A14="","",SUMIFS('Equipment Index'!$F$2:$F$1513,'Equipment Index'!$G$2:$G$1513,$A14,'Equipment Index'!$A$2:$A$1513,"Service Room"))</f>
        <v>1</v>
      </c>
      <c r="F14" s="53">
        <f>IF($A14="","",SUMIFS('Equipment Index'!$F$2:$F$1513,'Equipment Index'!$G$2:$G$1513,$A14,'Equipment Index'!$A$2:$A$1513,"Production"))</f>
        <v>0</v>
      </c>
      <c r="G14" s="53">
        <f>IF($A14="","",SUMIFS('Equipment Index'!$F$2:$F$1513,'Equipment Index'!$G$2:$G$1513,$A14,'Equipment Index'!$A$2:$A$1513,"Training Room"))</f>
        <v>0</v>
      </c>
      <c r="H14" s="54">
        <f>IF($A14="","",SUMIFS('Equipment Index'!$F$2:$F$1513,'Equipment Index'!$G$2:$G$1513,$A14,'Equipment Index'!$A$2:$A$1513,"Out of State"))</f>
        <v>0</v>
      </c>
      <c r="I14" s="53">
        <f>IF($A14="","",SUMIFS('Equipment Index'!$F$2:$F$1513,'Equipment Index'!$G$2:$G$1513,$A14,'Equipment Index'!$A$2:$A$1513,"San Antonio"))</f>
        <v>0</v>
      </c>
      <c r="J14" s="53">
        <f>IF($A14="","",SUMIFS('Equipment Index'!$F$2:$F$1513,'Equipment Index'!$G$2:$G$1513,$A14,'Equipment Index'!$A$2:$A$1513,"Dallas"))</f>
        <v>0</v>
      </c>
      <c r="K14" s="55">
        <f t="shared" si="0"/>
        <v>1</v>
      </c>
      <c r="L14" s="56">
        <f>IF($A14="","",SUMIFS('Equipment Index'!$F$2:$F$1513,'Equipment Index'!$G$2:$G$1513,$A14,'Equipment Index'!$C$2:$C$1513,"DISP"))</f>
        <v>0</v>
      </c>
      <c r="M14" s="57">
        <f>IF($A14="","",SUMIFS('Equipment Index'!$F$2:$F$1513,'Equipment Index'!$G$2:$G$1513,$A14,'Equipment Index'!$C$2:$C$1513,"MOD"))</f>
        <v>0</v>
      </c>
      <c r="N14" s="58" t="str">
        <f>IF($A14="","",IF(COUNTIFS('Equipment Index'!$G$2:$G$1513,$A14,'Equipment Index'!$H$2:$H$1513,"?*")=0,"","Customer-owned — "&amp;COUNTIFS('Equipment Index'!$G$2:$G$1513,$A14,'Equipment Index'!$H$2:$H$1513,"?*")&amp;" unit(s): "&amp;IFERROR(INDEX('Equipment Index'!$H$2:$H$1513,SUMPRODUCT(MATCH(1,('Equipment Index'!$G$2:$G$1513=$A14)*('Equipment Index'!$H$2:$H$1513&lt;&gt;""),0))),"")&amp;IF(COUNTIFS('Equipment Index'!$G$2:$G$1513,$A14,'Equipment Index'!$H$2:$H$1513,"?*")&gt;1," + see table below","")))</f>
        <v/>
      </c>
    </row>
    <row r="15" spans="1:14" ht="15" customHeight="1" x14ac:dyDescent="0.25">
      <c r="A15" s="52" t="str">
        <f>IFERROR(INDEX('Equipment Index'!$G$2:$G$1513,MATCH(ROW()-7,'Equipment Index'!$J$2:$J$1513,0)),"")</f>
        <v>Bunn CWTF-APS Twin</v>
      </c>
      <c r="B15" s="53">
        <f>IF($A15="","",SUMIFS('Equipment Index'!$F$2:$F$1513,'Equipment Index'!$G$2:$G$1513,$A15,'Equipment Index'!$A$2:$A$1513,"Barn - Back Rack"))</f>
        <v>2</v>
      </c>
      <c r="C15" s="53">
        <f>IF($A15="","",SUMIFS('Equipment Index'!$F$2:$F$1513,'Equipment Index'!$G$2:$G$1513,$A15,'Equipment Index'!$A$2:$A$1513,"Barn - Front Rack"))</f>
        <v>0</v>
      </c>
      <c r="D15" s="53">
        <f>IF($A15="","",SUMIFS('Equipment Index'!$F$2:$F$1513,'Equipment Index'!$G$2:$G$1513,$A15,'Equipment Index'!$A$2:$A$1513,"Front Lobby"))</f>
        <v>0</v>
      </c>
      <c r="E15" s="53">
        <f>IF($A15="","",SUMIFS('Equipment Index'!$F$2:$F$1513,'Equipment Index'!$G$2:$G$1513,$A15,'Equipment Index'!$A$2:$A$1513,"Service Room"))</f>
        <v>0</v>
      </c>
      <c r="F15" s="53">
        <f>IF($A15="","",SUMIFS('Equipment Index'!$F$2:$F$1513,'Equipment Index'!$G$2:$G$1513,$A15,'Equipment Index'!$A$2:$A$1513,"Production"))</f>
        <v>0</v>
      </c>
      <c r="G15" s="53">
        <f>IF($A15="","",SUMIFS('Equipment Index'!$F$2:$F$1513,'Equipment Index'!$G$2:$G$1513,$A15,'Equipment Index'!$A$2:$A$1513,"Training Room"))</f>
        <v>0</v>
      </c>
      <c r="H15" s="54">
        <f>IF($A15="","",SUMIFS('Equipment Index'!$F$2:$F$1513,'Equipment Index'!$G$2:$G$1513,$A15,'Equipment Index'!$A$2:$A$1513,"Out of State"))</f>
        <v>0</v>
      </c>
      <c r="I15" s="53">
        <f>IF($A15="","",SUMIFS('Equipment Index'!$F$2:$F$1513,'Equipment Index'!$G$2:$G$1513,$A15,'Equipment Index'!$A$2:$A$1513,"San Antonio"))</f>
        <v>0</v>
      </c>
      <c r="J15" s="53">
        <f>IF($A15="","",SUMIFS('Equipment Index'!$F$2:$F$1513,'Equipment Index'!$G$2:$G$1513,$A15,'Equipment Index'!$A$2:$A$1513,"Dallas"))</f>
        <v>0</v>
      </c>
      <c r="K15" s="55">
        <f t="shared" si="0"/>
        <v>2</v>
      </c>
      <c r="L15" s="56">
        <f>IF($A15="","",SUMIFS('Equipment Index'!$F$2:$F$1513,'Equipment Index'!$G$2:$G$1513,$A15,'Equipment Index'!$C$2:$C$1513,"DISP"))</f>
        <v>0</v>
      </c>
      <c r="M15" s="57">
        <f>IF($A15="","",SUMIFS('Equipment Index'!$F$2:$F$1513,'Equipment Index'!$G$2:$G$1513,$A15,'Equipment Index'!$C$2:$C$1513,"MOD"))</f>
        <v>0</v>
      </c>
      <c r="N15" s="58" t="str">
        <f>IF($A15="","",IF(COUNTIFS('Equipment Index'!$G$2:$G$1513,$A15,'Equipment Index'!$H$2:$H$1513,"?*")=0,"","Customer-owned — "&amp;COUNTIFS('Equipment Index'!$G$2:$G$1513,$A15,'Equipment Index'!$H$2:$H$1513,"?*")&amp;" unit(s): "&amp;IFERROR(INDEX('Equipment Index'!$H$2:$H$1513,SUMPRODUCT(MATCH(1,('Equipment Index'!$G$2:$G$1513=$A15)*('Equipment Index'!$H$2:$H$1513&lt;&gt;""),0))),"")&amp;IF(COUNTIFS('Equipment Index'!$G$2:$G$1513,$A15,'Equipment Index'!$H$2:$H$1513,"?*")&gt;1," + see table below","")))</f>
        <v/>
      </c>
    </row>
    <row r="16" spans="1:14" ht="15" customHeight="1" x14ac:dyDescent="0.25">
      <c r="A16" s="52" t="str">
        <f>IFERROR(INDEX('Equipment Index'!$G$2:$G$1513,MATCH(ROW()-7,'Equipment Index'!$J$2:$J$1513,0)),"")</f>
        <v>Bunn CWTF-TC Twin</v>
      </c>
      <c r="B16" s="53">
        <f>IF($A16="","",SUMIFS('Equipment Index'!$F$2:$F$1513,'Equipment Index'!$G$2:$G$1513,$A16,'Equipment Index'!$A$2:$A$1513,"Barn - Back Rack"))</f>
        <v>3</v>
      </c>
      <c r="C16" s="53">
        <f>IF($A16="","",SUMIFS('Equipment Index'!$F$2:$F$1513,'Equipment Index'!$G$2:$G$1513,$A16,'Equipment Index'!$A$2:$A$1513,"Barn - Front Rack"))</f>
        <v>0</v>
      </c>
      <c r="D16" s="53">
        <f>IF($A16="","",SUMIFS('Equipment Index'!$F$2:$F$1513,'Equipment Index'!$G$2:$G$1513,$A16,'Equipment Index'!$A$2:$A$1513,"Front Lobby"))</f>
        <v>0</v>
      </c>
      <c r="E16" s="53">
        <f>IF($A16="","",SUMIFS('Equipment Index'!$F$2:$F$1513,'Equipment Index'!$G$2:$G$1513,$A16,'Equipment Index'!$A$2:$A$1513,"Service Room"))</f>
        <v>0</v>
      </c>
      <c r="F16" s="53">
        <f>IF($A16="","",SUMIFS('Equipment Index'!$F$2:$F$1513,'Equipment Index'!$G$2:$G$1513,$A16,'Equipment Index'!$A$2:$A$1513,"Production"))</f>
        <v>0</v>
      </c>
      <c r="G16" s="53">
        <f>IF($A16="","",SUMIFS('Equipment Index'!$F$2:$F$1513,'Equipment Index'!$G$2:$G$1513,$A16,'Equipment Index'!$A$2:$A$1513,"Training Room"))</f>
        <v>0</v>
      </c>
      <c r="H16" s="54">
        <f>IF($A16="","",SUMIFS('Equipment Index'!$F$2:$F$1513,'Equipment Index'!$G$2:$G$1513,$A16,'Equipment Index'!$A$2:$A$1513,"Out of State"))</f>
        <v>0</v>
      </c>
      <c r="I16" s="53">
        <f>IF($A16="","",SUMIFS('Equipment Index'!$F$2:$F$1513,'Equipment Index'!$G$2:$G$1513,$A16,'Equipment Index'!$A$2:$A$1513,"San Antonio"))</f>
        <v>0</v>
      </c>
      <c r="J16" s="53">
        <f>IF($A16="","",SUMIFS('Equipment Index'!$F$2:$F$1513,'Equipment Index'!$G$2:$G$1513,$A16,'Equipment Index'!$A$2:$A$1513,"Dallas"))</f>
        <v>0</v>
      </c>
      <c r="K16" s="55">
        <f t="shared" si="0"/>
        <v>3</v>
      </c>
      <c r="L16" s="56">
        <f>IF($A16="","",SUMIFS('Equipment Index'!$F$2:$F$1513,'Equipment Index'!$G$2:$G$1513,$A16,'Equipment Index'!$C$2:$C$1513,"DISP"))</f>
        <v>0</v>
      </c>
      <c r="M16" s="57">
        <f>IF($A16="","",SUMIFS('Equipment Index'!$F$2:$F$1513,'Equipment Index'!$G$2:$G$1513,$A16,'Equipment Index'!$C$2:$C$1513,"MOD"))</f>
        <v>0</v>
      </c>
      <c r="N16" s="58" t="str">
        <f>IF($A16="","",IF(COUNTIFS('Equipment Index'!$G$2:$G$1513,$A16,'Equipment Index'!$H$2:$H$1513,"?*")=0,"","Customer-owned — "&amp;COUNTIFS('Equipment Index'!$G$2:$G$1513,$A16,'Equipment Index'!$H$2:$H$1513,"?*")&amp;" unit(s): "&amp;IFERROR(INDEX('Equipment Index'!$H$2:$H$1513,SUMPRODUCT(MATCH(1,('Equipment Index'!$G$2:$G$1513=$A16)*('Equipment Index'!$H$2:$H$1513&lt;&gt;""),0))),"")&amp;IF(COUNTIFS('Equipment Index'!$G$2:$G$1513,$A16,'Equipment Index'!$H$2:$H$1513,"?*")&gt;1," + see table below","")))</f>
        <v/>
      </c>
    </row>
    <row r="17" spans="1:14" ht="15" customHeight="1" x14ac:dyDescent="0.25">
      <c r="A17" s="52" t="str">
        <f>IFERROR(INDEX('Equipment Index'!$G$2:$G$1513,MATCH(ROW()-7,'Equipment Index'!$J$2:$J$1513,0)),"")</f>
        <v>Bunn FPG-2E</v>
      </c>
      <c r="B17" s="53">
        <f>IF($A17="","",SUMIFS('Equipment Index'!$F$2:$F$1513,'Equipment Index'!$G$2:$G$1513,$A17,'Equipment Index'!$A$2:$A$1513,"Barn - Back Rack"))</f>
        <v>2</v>
      </c>
      <c r="C17" s="53">
        <f>IF($A17="","",SUMIFS('Equipment Index'!$F$2:$F$1513,'Equipment Index'!$G$2:$G$1513,$A17,'Equipment Index'!$A$2:$A$1513,"Barn - Front Rack"))</f>
        <v>0</v>
      </c>
      <c r="D17" s="53">
        <f>IF($A17="","",SUMIFS('Equipment Index'!$F$2:$F$1513,'Equipment Index'!$G$2:$G$1513,$A17,'Equipment Index'!$A$2:$A$1513,"Front Lobby"))</f>
        <v>0</v>
      </c>
      <c r="E17" s="53">
        <f>IF($A17="","",SUMIFS('Equipment Index'!$F$2:$F$1513,'Equipment Index'!$G$2:$G$1513,$A17,'Equipment Index'!$A$2:$A$1513,"Service Room"))</f>
        <v>0</v>
      </c>
      <c r="F17" s="53">
        <f>IF($A17="","",SUMIFS('Equipment Index'!$F$2:$F$1513,'Equipment Index'!$G$2:$G$1513,$A17,'Equipment Index'!$A$2:$A$1513,"Production"))</f>
        <v>0</v>
      </c>
      <c r="G17" s="53">
        <f>IF($A17="","",SUMIFS('Equipment Index'!$F$2:$F$1513,'Equipment Index'!$G$2:$G$1513,$A17,'Equipment Index'!$A$2:$A$1513,"Training Room"))</f>
        <v>0</v>
      </c>
      <c r="H17" s="54">
        <f>IF($A17="","",SUMIFS('Equipment Index'!$F$2:$F$1513,'Equipment Index'!$G$2:$G$1513,$A17,'Equipment Index'!$A$2:$A$1513,"Out of State"))</f>
        <v>0</v>
      </c>
      <c r="I17" s="53">
        <f>IF($A17="","",SUMIFS('Equipment Index'!$F$2:$F$1513,'Equipment Index'!$G$2:$G$1513,$A17,'Equipment Index'!$A$2:$A$1513,"San Antonio"))</f>
        <v>1</v>
      </c>
      <c r="J17" s="53">
        <f>IF($A17="","",SUMIFS('Equipment Index'!$F$2:$F$1513,'Equipment Index'!$G$2:$G$1513,$A17,'Equipment Index'!$A$2:$A$1513,"Dallas"))</f>
        <v>0</v>
      </c>
      <c r="K17" s="55">
        <f t="shared" si="0"/>
        <v>3</v>
      </c>
      <c r="L17" s="56">
        <f>IF($A17="","",SUMIFS('Equipment Index'!$F$2:$F$1513,'Equipment Index'!$G$2:$G$1513,$A17,'Equipment Index'!$C$2:$C$1513,"DISP"))</f>
        <v>0</v>
      </c>
      <c r="M17" s="57">
        <f>IF($A17="","",SUMIFS('Equipment Index'!$F$2:$F$1513,'Equipment Index'!$G$2:$G$1513,$A17,'Equipment Index'!$C$2:$C$1513,"MOD"))</f>
        <v>0</v>
      </c>
      <c r="N17" s="58" t="str">
        <f>IF($A17="","",IF(COUNTIFS('Equipment Index'!$G$2:$G$1513,$A17,'Equipment Index'!$H$2:$H$1513,"?*")=0,"","Customer-owned — "&amp;COUNTIFS('Equipment Index'!$G$2:$G$1513,$A17,'Equipment Index'!$H$2:$H$1513,"?*")&amp;" unit(s): "&amp;IFERROR(INDEX('Equipment Index'!$H$2:$H$1513,SUMPRODUCT(MATCH(1,('Equipment Index'!$G$2:$G$1513=$A17)*('Equipment Index'!$H$2:$H$1513&lt;&gt;""),0))),"")&amp;IF(COUNTIFS('Equipment Index'!$G$2:$G$1513,$A17,'Equipment Index'!$H$2:$H$1513,"?*")&gt;1," + see table below","")))</f>
        <v/>
      </c>
    </row>
    <row r="18" spans="1:14" ht="15" customHeight="1" x14ac:dyDescent="0.25">
      <c r="A18" s="52" t="str">
        <f>IFERROR(INDEX('Equipment Index'!$G$2:$G$1513,MATCH(ROW()-7,'Equipment Index'!$J$2:$J$1513,0)),"")</f>
        <v>Bunn G1</v>
      </c>
      <c r="B18" s="53">
        <f>IF($A18="","",SUMIFS('Equipment Index'!$F$2:$F$1513,'Equipment Index'!$G$2:$G$1513,$A18,'Equipment Index'!$A$2:$A$1513,"Barn - Back Rack"))</f>
        <v>0</v>
      </c>
      <c r="C18" s="53">
        <f>IF($A18="","",SUMIFS('Equipment Index'!$F$2:$F$1513,'Equipment Index'!$G$2:$G$1513,$A18,'Equipment Index'!$A$2:$A$1513,"Barn - Front Rack"))</f>
        <v>0</v>
      </c>
      <c r="D18" s="53">
        <f>IF($A18="","",SUMIFS('Equipment Index'!$F$2:$F$1513,'Equipment Index'!$G$2:$G$1513,$A18,'Equipment Index'!$A$2:$A$1513,"Front Lobby"))</f>
        <v>0</v>
      </c>
      <c r="E18" s="53">
        <f>IF($A18="","",SUMIFS('Equipment Index'!$F$2:$F$1513,'Equipment Index'!$G$2:$G$1513,$A18,'Equipment Index'!$A$2:$A$1513,"Service Room"))</f>
        <v>0</v>
      </c>
      <c r="F18" s="53">
        <f>IF($A18="","",SUMIFS('Equipment Index'!$F$2:$F$1513,'Equipment Index'!$G$2:$G$1513,$A18,'Equipment Index'!$A$2:$A$1513,"Production"))</f>
        <v>0</v>
      </c>
      <c r="G18" s="53">
        <f>IF($A18="","",SUMIFS('Equipment Index'!$F$2:$F$1513,'Equipment Index'!$G$2:$G$1513,$A18,'Equipment Index'!$A$2:$A$1513,"Training Room"))</f>
        <v>0</v>
      </c>
      <c r="H18" s="54">
        <f>IF($A18="","",SUMIFS('Equipment Index'!$F$2:$F$1513,'Equipment Index'!$G$2:$G$1513,$A18,'Equipment Index'!$A$2:$A$1513,"Out of State"))</f>
        <v>0</v>
      </c>
      <c r="I18" s="53">
        <f>IF($A18="","",SUMIFS('Equipment Index'!$F$2:$F$1513,'Equipment Index'!$G$2:$G$1513,$A18,'Equipment Index'!$A$2:$A$1513,"San Antonio"))</f>
        <v>1</v>
      </c>
      <c r="J18" s="53">
        <f>IF($A18="","",SUMIFS('Equipment Index'!$F$2:$F$1513,'Equipment Index'!$G$2:$G$1513,$A18,'Equipment Index'!$A$2:$A$1513,"Dallas"))</f>
        <v>0</v>
      </c>
      <c r="K18" s="55">
        <f t="shared" si="0"/>
        <v>1</v>
      </c>
      <c r="L18" s="56">
        <f>IF($A18="","",SUMIFS('Equipment Index'!$F$2:$F$1513,'Equipment Index'!$G$2:$G$1513,$A18,'Equipment Index'!$C$2:$C$1513,"DISP"))</f>
        <v>0</v>
      </c>
      <c r="M18" s="57">
        <f>IF($A18="","",SUMIFS('Equipment Index'!$F$2:$F$1513,'Equipment Index'!$G$2:$G$1513,$A18,'Equipment Index'!$C$2:$C$1513,"MOD"))</f>
        <v>0</v>
      </c>
      <c r="N18" s="58" t="str">
        <f>IF($A18="","",IF(COUNTIFS('Equipment Index'!$G$2:$G$1513,$A18,'Equipment Index'!$H$2:$H$1513,"?*")=0,"","Customer-owned — "&amp;COUNTIFS('Equipment Index'!$G$2:$G$1513,$A18,'Equipment Index'!$H$2:$H$1513,"?*")&amp;" unit(s): "&amp;IFERROR(INDEX('Equipment Index'!$H$2:$H$1513,SUMPRODUCT(MATCH(1,('Equipment Index'!$G$2:$G$1513=$A18)*('Equipment Index'!$H$2:$H$1513&lt;&gt;""),0))),"")&amp;IF(COUNTIFS('Equipment Index'!$G$2:$G$1513,$A18,'Equipment Index'!$H$2:$H$1513,"?*")&gt;1," + see table below","")))</f>
        <v/>
      </c>
    </row>
    <row r="19" spans="1:14" ht="15" customHeight="1" x14ac:dyDescent="0.25">
      <c r="A19" s="52" t="str">
        <f>IFERROR(INDEX('Equipment Index'!$G$2:$G$1513,MATCH(ROW()-7,'Equipment Index'!$J$2:$J$1513,0)),"")</f>
        <v>Bunn G2</v>
      </c>
      <c r="B19" s="53">
        <f>IF($A19="","",SUMIFS('Equipment Index'!$F$2:$F$1513,'Equipment Index'!$G$2:$G$1513,$A19,'Equipment Index'!$A$2:$A$1513,"Barn - Back Rack"))</f>
        <v>0</v>
      </c>
      <c r="C19" s="53">
        <f>IF($A19="","",SUMIFS('Equipment Index'!$F$2:$F$1513,'Equipment Index'!$G$2:$G$1513,$A19,'Equipment Index'!$A$2:$A$1513,"Barn - Front Rack"))</f>
        <v>0</v>
      </c>
      <c r="D19" s="53">
        <f>IF($A19="","",SUMIFS('Equipment Index'!$F$2:$F$1513,'Equipment Index'!$G$2:$G$1513,$A19,'Equipment Index'!$A$2:$A$1513,"Front Lobby"))</f>
        <v>1</v>
      </c>
      <c r="E19" s="53">
        <f>IF($A19="","",SUMIFS('Equipment Index'!$F$2:$F$1513,'Equipment Index'!$G$2:$G$1513,$A19,'Equipment Index'!$A$2:$A$1513,"Service Room"))</f>
        <v>0</v>
      </c>
      <c r="F19" s="53">
        <f>IF($A19="","",SUMIFS('Equipment Index'!$F$2:$F$1513,'Equipment Index'!$G$2:$G$1513,$A19,'Equipment Index'!$A$2:$A$1513,"Production"))</f>
        <v>0</v>
      </c>
      <c r="G19" s="53">
        <f>IF($A19="","",SUMIFS('Equipment Index'!$F$2:$F$1513,'Equipment Index'!$G$2:$G$1513,$A19,'Equipment Index'!$A$2:$A$1513,"Training Room"))</f>
        <v>0</v>
      </c>
      <c r="H19" s="54">
        <f>IF($A19="","",SUMIFS('Equipment Index'!$F$2:$F$1513,'Equipment Index'!$G$2:$G$1513,$A19,'Equipment Index'!$A$2:$A$1513,"Out of State"))</f>
        <v>0</v>
      </c>
      <c r="I19" s="53">
        <f>IF($A19="","",SUMIFS('Equipment Index'!$F$2:$F$1513,'Equipment Index'!$G$2:$G$1513,$A19,'Equipment Index'!$A$2:$A$1513,"San Antonio"))</f>
        <v>0</v>
      </c>
      <c r="J19" s="53">
        <f>IF($A19="","",SUMIFS('Equipment Index'!$F$2:$F$1513,'Equipment Index'!$G$2:$G$1513,$A19,'Equipment Index'!$A$2:$A$1513,"Dallas"))</f>
        <v>0</v>
      </c>
      <c r="K19" s="55">
        <f t="shared" si="0"/>
        <v>1</v>
      </c>
      <c r="L19" s="56">
        <f>IF($A19="","",SUMIFS('Equipment Index'!$F$2:$F$1513,'Equipment Index'!$G$2:$G$1513,$A19,'Equipment Index'!$C$2:$C$1513,"DISP"))</f>
        <v>0</v>
      </c>
      <c r="M19" s="57">
        <f>IF($A19="","",SUMIFS('Equipment Index'!$F$2:$F$1513,'Equipment Index'!$G$2:$G$1513,$A19,'Equipment Index'!$C$2:$C$1513,"MOD"))</f>
        <v>0</v>
      </c>
      <c r="N19" s="58" t="str">
        <f>IF($A19="","",IF(COUNTIFS('Equipment Index'!$G$2:$G$1513,$A19,'Equipment Index'!$H$2:$H$1513,"?*")=0,"","Customer-owned — "&amp;COUNTIFS('Equipment Index'!$G$2:$G$1513,$A19,'Equipment Index'!$H$2:$H$1513,"?*")&amp;" unit(s): "&amp;IFERROR(INDEX('Equipment Index'!$H$2:$H$1513,SUMPRODUCT(MATCH(1,('Equipment Index'!$G$2:$G$1513=$A19)*('Equipment Index'!$H$2:$H$1513&lt;&gt;""),0))),"")&amp;IF(COUNTIFS('Equipment Index'!$G$2:$G$1513,$A19,'Equipment Index'!$H$2:$H$1513,"?*")&gt;1," + see table below","")))</f>
        <v/>
      </c>
    </row>
    <row r="20" spans="1:14" ht="15" customHeight="1" x14ac:dyDescent="0.25">
      <c r="A20" s="52" t="str">
        <f>IFERROR(INDEX('Equipment Index'!$G$2:$G$1513,MATCH(ROW()-7,'Equipment Index'!$J$2:$J$1513,0)),"")</f>
        <v>Bunn G3</v>
      </c>
      <c r="B20" s="53">
        <f>IF($A20="","",SUMIFS('Equipment Index'!$F$2:$F$1513,'Equipment Index'!$G$2:$G$1513,$A20,'Equipment Index'!$A$2:$A$1513,"Barn - Back Rack"))</f>
        <v>0</v>
      </c>
      <c r="C20" s="53">
        <f>IF($A20="","",SUMIFS('Equipment Index'!$F$2:$F$1513,'Equipment Index'!$G$2:$G$1513,$A20,'Equipment Index'!$A$2:$A$1513,"Barn - Front Rack"))</f>
        <v>4</v>
      </c>
      <c r="D20" s="53">
        <f>IF($A20="","",SUMIFS('Equipment Index'!$F$2:$F$1513,'Equipment Index'!$G$2:$G$1513,$A20,'Equipment Index'!$A$2:$A$1513,"Front Lobby"))</f>
        <v>1</v>
      </c>
      <c r="E20" s="53">
        <f>IF($A20="","",SUMIFS('Equipment Index'!$F$2:$F$1513,'Equipment Index'!$G$2:$G$1513,$A20,'Equipment Index'!$A$2:$A$1513,"Service Room"))</f>
        <v>0</v>
      </c>
      <c r="F20" s="53">
        <f>IF($A20="","",SUMIFS('Equipment Index'!$F$2:$F$1513,'Equipment Index'!$G$2:$G$1513,$A20,'Equipment Index'!$A$2:$A$1513,"Production"))</f>
        <v>1</v>
      </c>
      <c r="G20" s="53">
        <f>IF($A20="","",SUMIFS('Equipment Index'!$F$2:$F$1513,'Equipment Index'!$G$2:$G$1513,$A20,'Equipment Index'!$A$2:$A$1513,"Training Room"))</f>
        <v>0</v>
      </c>
      <c r="H20" s="54">
        <f>IF($A20="","",SUMIFS('Equipment Index'!$F$2:$F$1513,'Equipment Index'!$G$2:$G$1513,$A20,'Equipment Index'!$A$2:$A$1513,"Out of State"))</f>
        <v>0</v>
      </c>
      <c r="I20" s="53">
        <f>IF($A20="","",SUMIFS('Equipment Index'!$F$2:$F$1513,'Equipment Index'!$G$2:$G$1513,$A20,'Equipment Index'!$A$2:$A$1513,"San Antonio"))</f>
        <v>1</v>
      </c>
      <c r="J20" s="53">
        <f>IF($A20="","",SUMIFS('Equipment Index'!$F$2:$F$1513,'Equipment Index'!$G$2:$G$1513,$A20,'Equipment Index'!$A$2:$A$1513,"Dallas"))</f>
        <v>0</v>
      </c>
      <c r="K20" s="55">
        <f t="shared" si="0"/>
        <v>7</v>
      </c>
      <c r="L20" s="56">
        <f>IF($A20="","",SUMIFS('Equipment Index'!$F$2:$F$1513,'Equipment Index'!$G$2:$G$1513,$A20,'Equipment Index'!$C$2:$C$1513,"DISP"))</f>
        <v>0</v>
      </c>
      <c r="M20" s="57">
        <f>IF($A20="","",SUMIFS('Equipment Index'!$F$2:$F$1513,'Equipment Index'!$G$2:$G$1513,$A20,'Equipment Index'!$C$2:$C$1513,"MOD"))</f>
        <v>0</v>
      </c>
      <c r="N20" s="58" t="str">
        <f>IF($A20="","",IF(COUNTIFS('Equipment Index'!$G$2:$G$1513,$A20,'Equipment Index'!$H$2:$H$1513,"?*")=0,"","Customer-owned — "&amp;COUNTIFS('Equipment Index'!$G$2:$G$1513,$A20,'Equipment Index'!$H$2:$H$1513,"?*")&amp;" unit(s): "&amp;IFERROR(INDEX('Equipment Index'!$H$2:$H$1513,SUMPRODUCT(MATCH(1,('Equipment Index'!$G$2:$G$1513=$A20)*('Equipment Index'!$H$2:$H$1513&lt;&gt;""),0))),"")&amp;IF(COUNTIFS('Equipment Index'!$G$2:$G$1513,$A20,'Equipment Index'!$H$2:$H$1513,"?*")&gt;1," + see table below","")))</f>
        <v/>
      </c>
    </row>
    <row r="21" spans="1:14" ht="15" customHeight="1" x14ac:dyDescent="0.25">
      <c r="A21" s="52" t="str">
        <f>IFERROR(INDEX('Equipment Index'!$G$2:$G$1513,MATCH(ROW()-7,'Equipment Index'!$J$2:$J$1513,0)),"")</f>
        <v>Bunn G9-1</v>
      </c>
      <c r="B21" s="53">
        <f>IF($A21="","",SUMIFS('Equipment Index'!$F$2:$F$1513,'Equipment Index'!$G$2:$G$1513,$A21,'Equipment Index'!$A$2:$A$1513,"Barn - Back Rack"))</f>
        <v>0</v>
      </c>
      <c r="C21" s="53">
        <f>IF($A21="","",SUMIFS('Equipment Index'!$F$2:$F$1513,'Equipment Index'!$G$2:$G$1513,$A21,'Equipment Index'!$A$2:$A$1513,"Barn - Front Rack"))</f>
        <v>1</v>
      </c>
      <c r="D21" s="53">
        <f>IF($A21="","",SUMIFS('Equipment Index'!$F$2:$F$1513,'Equipment Index'!$G$2:$G$1513,$A21,'Equipment Index'!$A$2:$A$1513,"Front Lobby"))</f>
        <v>0</v>
      </c>
      <c r="E21" s="53">
        <f>IF($A21="","",SUMIFS('Equipment Index'!$F$2:$F$1513,'Equipment Index'!$G$2:$G$1513,$A21,'Equipment Index'!$A$2:$A$1513,"Service Room"))</f>
        <v>0</v>
      </c>
      <c r="F21" s="53">
        <f>IF($A21="","",SUMIFS('Equipment Index'!$F$2:$F$1513,'Equipment Index'!$G$2:$G$1513,$A21,'Equipment Index'!$A$2:$A$1513,"Production"))</f>
        <v>0</v>
      </c>
      <c r="G21" s="53">
        <f>IF($A21="","",SUMIFS('Equipment Index'!$F$2:$F$1513,'Equipment Index'!$G$2:$G$1513,$A21,'Equipment Index'!$A$2:$A$1513,"Training Room"))</f>
        <v>0</v>
      </c>
      <c r="H21" s="54">
        <f>IF($A21="","",SUMIFS('Equipment Index'!$F$2:$F$1513,'Equipment Index'!$G$2:$G$1513,$A21,'Equipment Index'!$A$2:$A$1513,"Out of State"))</f>
        <v>0</v>
      </c>
      <c r="I21" s="53">
        <f>IF($A21="","",SUMIFS('Equipment Index'!$F$2:$F$1513,'Equipment Index'!$G$2:$G$1513,$A21,'Equipment Index'!$A$2:$A$1513,"San Antonio"))</f>
        <v>0</v>
      </c>
      <c r="J21" s="53">
        <f>IF($A21="","",SUMIFS('Equipment Index'!$F$2:$F$1513,'Equipment Index'!$G$2:$G$1513,$A21,'Equipment Index'!$A$2:$A$1513,"Dallas"))</f>
        <v>0</v>
      </c>
      <c r="K21" s="55">
        <f t="shared" si="0"/>
        <v>1</v>
      </c>
      <c r="L21" s="56">
        <f>IF($A21="","",SUMIFS('Equipment Index'!$F$2:$F$1513,'Equipment Index'!$G$2:$G$1513,$A21,'Equipment Index'!$C$2:$C$1513,"DISP"))</f>
        <v>0</v>
      </c>
      <c r="M21" s="57">
        <f>IF($A21="","",SUMIFS('Equipment Index'!$F$2:$F$1513,'Equipment Index'!$G$2:$G$1513,$A21,'Equipment Index'!$C$2:$C$1513,"MOD"))</f>
        <v>0</v>
      </c>
      <c r="N21" s="58" t="str">
        <f>IF($A21="","",IF(COUNTIFS('Equipment Index'!$G$2:$G$1513,$A21,'Equipment Index'!$H$2:$H$1513,"?*")=0,"","Customer-owned — "&amp;COUNTIFS('Equipment Index'!$G$2:$G$1513,$A21,'Equipment Index'!$H$2:$H$1513,"?*")&amp;" unit(s): "&amp;IFERROR(INDEX('Equipment Index'!$H$2:$H$1513,SUMPRODUCT(MATCH(1,('Equipment Index'!$G$2:$G$1513=$A21)*('Equipment Index'!$H$2:$H$1513&lt;&gt;""),0))),"")&amp;IF(COUNTIFS('Equipment Index'!$G$2:$G$1513,$A21,'Equipment Index'!$H$2:$H$1513,"?*")&gt;1," + see table below","")))</f>
        <v/>
      </c>
    </row>
    <row r="22" spans="1:14" ht="15" customHeight="1" x14ac:dyDescent="0.25">
      <c r="A22" s="52" t="str">
        <f>IFERROR(INDEX('Equipment Index'!$G$2:$G$1513,MATCH(ROW()-7,'Equipment Index'!$J$2:$J$1513,0)),"")</f>
        <v>Bunn G9-1T</v>
      </c>
      <c r="B22" s="53">
        <f>IF($A22="","",SUMIFS('Equipment Index'!$F$2:$F$1513,'Equipment Index'!$G$2:$G$1513,$A22,'Equipment Index'!$A$2:$A$1513,"Barn - Back Rack"))</f>
        <v>0</v>
      </c>
      <c r="C22" s="53">
        <f>IF($A22="","",SUMIFS('Equipment Index'!$F$2:$F$1513,'Equipment Index'!$G$2:$G$1513,$A22,'Equipment Index'!$A$2:$A$1513,"Barn - Front Rack"))</f>
        <v>1</v>
      </c>
      <c r="D22" s="53">
        <f>IF($A22="","",SUMIFS('Equipment Index'!$F$2:$F$1513,'Equipment Index'!$G$2:$G$1513,$A22,'Equipment Index'!$A$2:$A$1513,"Front Lobby"))</f>
        <v>0</v>
      </c>
      <c r="E22" s="53">
        <f>IF($A22="","",SUMIFS('Equipment Index'!$F$2:$F$1513,'Equipment Index'!$G$2:$G$1513,$A22,'Equipment Index'!$A$2:$A$1513,"Service Room"))</f>
        <v>0</v>
      </c>
      <c r="F22" s="53">
        <f>IF($A22="","",SUMIFS('Equipment Index'!$F$2:$F$1513,'Equipment Index'!$G$2:$G$1513,$A22,'Equipment Index'!$A$2:$A$1513,"Production"))</f>
        <v>0</v>
      </c>
      <c r="G22" s="53">
        <f>IF($A22="","",SUMIFS('Equipment Index'!$F$2:$F$1513,'Equipment Index'!$G$2:$G$1513,$A22,'Equipment Index'!$A$2:$A$1513,"Training Room"))</f>
        <v>0</v>
      </c>
      <c r="H22" s="54">
        <f>IF($A22="","",SUMIFS('Equipment Index'!$F$2:$F$1513,'Equipment Index'!$G$2:$G$1513,$A22,'Equipment Index'!$A$2:$A$1513,"Out of State"))</f>
        <v>0</v>
      </c>
      <c r="I22" s="53">
        <f>IF($A22="","",SUMIFS('Equipment Index'!$F$2:$F$1513,'Equipment Index'!$G$2:$G$1513,$A22,'Equipment Index'!$A$2:$A$1513,"San Antonio"))</f>
        <v>0</v>
      </c>
      <c r="J22" s="53">
        <f>IF($A22="","",SUMIFS('Equipment Index'!$F$2:$F$1513,'Equipment Index'!$G$2:$G$1513,$A22,'Equipment Index'!$A$2:$A$1513,"Dallas"))</f>
        <v>0</v>
      </c>
      <c r="K22" s="55">
        <f t="shared" si="0"/>
        <v>1</v>
      </c>
      <c r="L22" s="56">
        <f>IF($A22="","",SUMIFS('Equipment Index'!$F$2:$F$1513,'Equipment Index'!$G$2:$G$1513,$A22,'Equipment Index'!$C$2:$C$1513,"DISP"))</f>
        <v>0</v>
      </c>
      <c r="M22" s="57">
        <f>IF($A22="","",SUMIFS('Equipment Index'!$F$2:$F$1513,'Equipment Index'!$G$2:$G$1513,$A22,'Equipment Index'!$C$2:$C$1513,"MOD"))</f>
        <v>0</v>
      </c>
      <c r="N22" s="58" t="str">
        <f>IF($A22="","",IF(COUNTIFS('Equipment Index'!$G$2:$G$1513,$A22,'Equipment Index'!$H$2:$H$1513,"?*")=0,"","Customer-owned — "&amp;COUNTIFS('Equipment Index'!$G$2:$G$1513,$A22,'Equipment Index'!$H$2:$H$1513,"?*")&amp;" unit(s): "&amp;IFERROR(INDEX('Equipment Index'!$H$2:$H$1513,SUMPRODUCT(MATCH(1,('Equipment Index'!$G$2:$G$1513=$A22)*('Equipment Index'!$H$2:$H$1513&lt;&gt;""),0))),"")&amp;IF(COUNTIFS('Equipment Index'!$G$2:$G$1513,$A22,'Equipment Index'!$H$2:$H$1513,"?*")&gt;1," + see table below","")))</f>
        <v/>
      </c>
    </row>
    <row r="23" spans="1:14" ht="15" customHeight="1" x14ac:dyDescent="0.25">
      <c r="A23" s="52" t="str">
        <f>IFERROR(INDEX('Equipment Index'!$G$2:$G$1513,MATCH(ROW()-7,'Equipment Index'!$J$2:$J$1513,0)),"")</f>
        <v>Bunn G9-2</v>
      </c>
      <c r="B23" s="53">
        <f>IF($A23="","",SUMIFS('Equipment Index'!$F$2:$F$1513,'Equipment Index'!$G$2:$G$1513,$A23,'Equipment Index'!$A$2:$A$1513,"Barn - Back Rack"))</f>
        <v>0</v>
      </c>
      <c r="C23" s="53">
        <f>IF($A23="","",SUMIFS('Equipment Index'!$F$2:$F$1513,'Equipment Index'!$G$2:$G$1513,$A23,'Equipment Index'!$A$2:$A$1513,"Barn - Front Rack"))</f>
        <v>18</v>
      </c>
      <c r="D23" s="53">
        <f>IF($A23="","",SUMIFS('Equipment Index'!$F$2:$F$1513,'Equipment Index'!$G$2:$G$1513,$A23,'Equipment Index'!$A$2:$A$1513,"Front Lobby"))</f>
        <v>0</v>
      </c>
      <c r="E23" s="53">
        <f>IF($A23="","",SUMIFS('Equipment Index'!$F$2:$F$1513,'Equipment Index'!$G$2:$G$1513,$A23,'Equipment Index'!$A$2:$A$1513,"Service Room"))</f>
        <v>0</v>
      </c>
      <c r="F23" s="53">
        <f>IF($A23="","",SUMIFS('Equipment Index'!$F$2:$F$1513,'Equipment Index'!$G$2:$G$1513,$A23,'Equipment Index'!$A$2:$A$1513,"Production"))</f>
        <v>0</v>
      </c>
      <c r="G23" s="53">
        <f>IF($A23="","",SUMIFS('Equipment Index'!$F$2:$F$1513,'Equipment Index'!$G$2:$G$1513,$A23,'Equipment Index'!$A$2:$A$1513,"Training Room"))</f>
        <v>0</v>
      </c>
      <c r="H23" s="54">
        <f>IF($A23="","",SUMIFS('Equipment Index'!$F$2:$F$1513,'Equipment Index'!$G$2:$G$1513,$A23,'Equipment Index'!$A$2:$A$1513,"Out of State"))</f>
        <v>0</v>
      </c>
      <c r="I23" s="53">
        <f>IF($A23="","",SUMIFS('Equipment Index'!$F$2:$F$1513,'Equipment Index'!$G$2:$G$1513,$A23,'Equipment Index'!$A$2:$A$1513,"San Antonio"))</f>
        <v>0</v>
      </c>
      <c r="J23" s="53">
        <f>IF($A23="","",SUMIFS('Equipment Index'!$F$2:$F$1513,'Equipment Index'!$G$2:$G$1513,$A23,'Equipment Index'!$A$2:$A$1513,"Dallas"))</f>
        <v>0</v>
      </c>
      <c r="K23" s="55">
        <f t="shared" si="0"/>
        <v>18</v>
      </c>
      <c r="L23" s="56">
        <f>IF($A23="","",SUMIFS('Equipment Index'!$F$2:$F$1513,'Equipment Index'!$G$2:$G$1513,$A23,'Equipment Index'!$C$2:$C$1513,"DISP"))</f>
        <v>0</v>
      </c>
      <c r="M23" s="57">
        <f>IF($A23="","",SUMIFS('Equipment Index'!$F$2:$F$1513,'Equipment Index'!$G$2:$G$1513,$A23,'Equipment Index'!$C$2:$C$1513,"MOD"))</f>
        <v>0</v>
      </c>
      <c r="N23" s="58" t="str">
        <f>IF($A23="","",IF(COUNTIFS('Equipment Index'!$G$2:$G$1513,$A23,'Equipment Index'!$H$2:$H$1513,"?*")=0,"","Customer-owned — "&amp;COUNTIFS('Equipment Index'!$G$2:$G$1513,$A23,'Equipment Index'!$H$2:$H$1513,"?*")&amp;" unit(s): "&amp;IFERROR(INDEX('Equipment Index'!$H$2:$H$1513,SUMPRODUCT(MATCH(1,('Equipment Index'!$G$2:$G$1513=$A23)*('Equipment Index'!$H$2:$H$1513&lt;&gt;""),0))),"")&amp;IF(COUNTIFS('Equipment Index'!$G$2:$G$1513,$A23,'Equipment Index'!$H$2:$H$1513,"?*")&gt;1," + see table below","")))</f>
        <v/>
      </c>
    </row>
    <row r="24" spans="1:14" ht="15" customHeight="1" x14ac:dyDescent="0.25">
      <c r="A24" s="52" t="str">
        <f>IFERROR(INDEX('Equipment Index'!$G$2:$G$1513,MATCH(ROW()-7,'Equipment Index'!$J$2:$J$1513,0)),"")</f>
        <v>Bunn G9-2T</v>
      </c>
      <c r="B24" s="53">
        <f>IF($A24="","",SUMIFS('Equipment Index'!$F$2:$F$1513,'Equipment Index'!$G$2:$G$1513,$A24,'Equipment Index'!$A$2:$A$1513,"Barn - Back Rack"))</f>
        <v>30</v>
      </c>
      <c r="C24" s="53">
        <f>IF($A24="","",SUMIFS('Equipment Index'!$F$2:$F$1513,'Equipment Index'!$G$2:$G$1513,$A24,'Equipment Index'!$A$2:$A$1513,"Barn - Front Rack"))</f>
        <v>12</v>
      </c>
      <c r="D24" s="53">
        <f>IF($A24="","",SUMIFS('Equipment Index'!$F$2:$F$1513,'Equipment Index'!$G$2:$G$1513,$A24,'Equipment Index'!$A$2:$A$1513,"Front Lobby"))</f>
        <v>0</v>
      </c>
      <c r="E24" s="53">
        <f>IF($A24="","",SUMIFS('Equipment Index'!$F$2:$F$1513,'Equipment Index'!$G$2:$G$1513,$A24,'Equipment Index'!$A$2:$A$1513,"Service Room"))</f>
        <v>0</v>
      </c>
      <c r="F24" s="53">
        <f>IF($A24="","",SUMIFS('Equipment Index'!$F$2:$F$1513,'Equipment Index'!$G$2:$G$1513,$A24,'Equipment Index'!$A$2:$A$1513,"Production"))</f>
        <v>0</v>
      </c>
      <c r="G24" s="53">
        <f>IF($A24="","",SUMIFS('Equipment Index'!$F$2:$F$1513,'Equipment Index'!$G$2:$G$1513,$A24,'Equipment Index'!$A$2:$A$1513,"Training Room"))</f>
        <v>1</v>
      </c>
      <c r="H24" s="54">
        <f>IF($A24="","",SUMIFS('Equipment Index'!$F$2:$F$1513,'Equipment Index'!$G$2:$G$1513,$A24,'Equipment Index'!$A$2:$A$1513,"Out of State"))</f>
        <v>0</v>
      </c>
      <c r="I24" s="53">
        <f>IF($A24="","",SUMIFS('Equipment Index'!$F$2:$F$1513,'Equipment Index'!$G$2:$G$1513,$A24,'Equipment Index'!$A$2:$A$1513,"San Antonio"))</f>
        <v>1</v>
      </c>
      <c r="J24" s="53">
        <f>IF($A24="","",SUMIFS('Equipment Index'!$F$2:$F$1513,'Equipment Index'!$G$2:$G$1513,$A24,'Equipment Index'!$A$2:$A$1513,"Dallas"))</f>
        <v>0</v>
      </c>
      <c r="K24" s="55">
        <f t="shared" si="0"/>
        <v>44</v>
      </c>
      <c r="L24" s="56">
        <f>IF($A24="","",SUMIFS('Equipment Index'!$F$2:$F$1513,'Equipment Index'!$G$2:$G$1513,$A24,'Equipment Index'!$C$2:$C$1513,"DISP"))</f>
        <v>0</v>
      </c>
      <c r="M24" s="57">
        <f>IF($A24="","",SUMIFS('Equipment Index'!$F$2:$F$1513,'Equipment Index'!$G$2:$G$1513,$A24,'Equipment Index'!$C$2:$C$1513,"MOD"))</f>
        <v>0</v>
      </c>
      <c r="N24" s="58" t="str">
        <f>IF($A24="","",IF(COUNTIFS('Equipment Index'!$G$2:$G$1513,$A24,'Equipment Index'!$H$2:$H$1513,"?*")=0,"","Customer-owned — "&amp;COUNTIFS('Equipment Index'!$G$2:$G$1513,$A24,'Equipment Index'!$H$2:$H$1513,"?*")&amp;" unit(s): "&amp;IFERROR(INDEX('Equipment Index'!$H$2:$H$1513,SUMPRODUCT(MATCH(1,('Equipment Index'!$G$2:$G$1513=$A24)*('Equipment Index'!$H$2:$H$1513&lt;&gt;""),0))),"")&amp;IF(COUNTIFS('Equipment Index'!$G$2:$G$1513,$A24,'Equipment Index'!$H$2:$H$1513,"?*")&gt;1," + see table below","")))</f>
        <v/>
      </c>
    </row>
    <row r="25" spans="1:14" ht="15" customHeight="1" x14ac:dyDescent="0.25">
      <c r="A25" s="52" t="str">
        <f>IFERROR(INDEX('Equipment Index'!$G$2:$G$1513,MATCH(ROW()-7,'Equipment Index'!$J$2:$J$1513,0)),"")</f>
        <v>Bunn H5X 120V</v>
      </c>
      <c r="B25" s="53">
        <f>IF($A25="","",SUMIFS('Equipment Index'!$F$2:$F$1513,'Equipment Index'!$G$2:$G$1513,$A25,'Equipment Index'!$A$2:$A$1513,"Barn - Back Rack"))</f>
        <v>1</v>
      </c>
      <c r="C25" s="53">
        <f>IF($A25="","",SUMIFS('Equipment Index'!$F$2:$F$1513,'Equipment Index'!$G$2:$G$1513,$A25,'Equipment Index'!$A$2:$A$1513,"Barn - Front Rack"))</f>
        <v>0</v>
      </c>
      <c r="D25" s="53">
        <f>IF($A25="","",SUMIFS('Equipment Index'!$F$2:$F$1513,'Equipment Index'!$G$2:$G$1513,$A25,'Equipment Index'!$A$2:$A$1513,"Front Lobby"))</f>
        <v>0</v>
      </c>
      <c r="E25" s="53">
        <f>IF($A25="","",SUMIFS('Equipment Index'!$F$2:$F$1513,'Equipment Index'!$G$2:$G$1513,$A25,'Equipment Index'!$A$2:$A$1513,"Service Room"))</f>
        <v>0</v>
      </c>
      <c r="F25" s="53">
        <f>IF($A25="","",SUMIFS('Equipment Index'!$F$2:$F$1513,'Equipment Index'!$G$2:$G$1513,$A25,'Equipment Index'!$A$2:$A$1513,"Production"))</f>
        <v>0</v>
      </c>
      <c r="G25" s="53">
        <f>IF($A25="","",SUMIFS('Equipment Index'!$F$2:$F$1513,'Equipment Index'!$G$2:$G$1513,$A25,'Equipment Index'!$A$2:$A$1513,"Training Room"))</f>
        <v>0</v>
      </c>
      <c r="H25" s="54">
        <f>IF($A25="","",SUMIFS('Equipment Index'!$F$2:$F$1513,'Equipment Index'!$G$2:$G$1513,$A25,'Equipment Index'!$A$2:$A$1513,"Out of State"))</f>
        <v>0</v>
      </c>
      <c r="I25" s="53">
        <f>IF($A25="","",SUMIFS('Equipment Index'!$F$2:$F$1513,'Equipment Index'!$G$2:$G$1513,$A25,'Equipment Index'!$A$2:$A$1513,"San Antonio"))</f>
        <v>1</v>
      </c>
      <c r="J25" s="53">
        <f>IF($A25="","",SUMIFS('Equipment Index'!$F$2:$F$1513,'Equipment Index'!$G$2:$G$1513,$A25,'Equipment Index'!$A$2:$A$1513,"Dallas"))</f>
        <v>0</v>
      </c>
      <c r="K25" s="55">
        <f t="shared" si="0"/>
        <v>2</v>
      </c>
      <c r="L25" s="56">
        <f>IF($A25="","",SUMIFS('Equipment Index'!$F$2:$F$1513,'Equipment Index'!$G$2:$G$1513,$A25,'Equipment Index'!$C$2:$C$1513,"DISP"))</f>
        <v>0</v>
      </c>
      <c r="M25" s="57">
        <f>IF($A25="","",SUMIFS('Equipment Index'!$F$2:$F$1513,'Equipment Index'!$G$2:$G$1513,$A25,'Equipment Index'!$C$2:$C$1513,"MOD"))</f>
        <v>0</v>
      </c>
      <c r="N25" s="58" t="str">
        <f>IF($A25="","",IF(COUNTIFS('Equipment Index'!$G$2:$G$1513,$A25,'Equipment Index'!$H$2:$H$1513,"?*")=0,"","Customer-owned — "&amp;COUNTIFS('Equipment Index'!$G$2:$G$1513,$A25,'Equipment Index'!$H$2:$H$1513,"?*")&amp;" unit(s): "&amp;IFERROR(INDEX('Equipment Index'!$H$2:$H$1513,SUMPRODUCT(MATCH(1,('Equipment Index'!$G$2:$G$1513=$A25)*('Equipment Index'!$H$2:$H$1513&lt;&gt;""),0))),"")&amp;IF(COUNTIFS('Equipment Index'!$G$2:$G$1513,$A25,'Equipment Index'!$H$2:$H$1513,"?*")&gt;1," + see table below","")))</f>
        <v/>
      </c>
    </row>
    <row r="26" spans="1:14" ht="15" customHeight="1" x14ac:dyDescent="0.25">
      <c r="A26" s="52" t="str">
        <f>IFERROR(INDEX('Equipment Index'!$G$2:$G$1513,MATCH(ROW()-7,'Equipment Index'!$J$2:$J$1513,0)),"")</f>
        <v>Bunn H5X 220V</v>
      </c>
      <c r="B26" s="53">
        <f>IF($A26="","",SUMIFS('Equipment Index'!$F$2:$F$1513,'Equipment Index'!$G$2:$G$1513,$A26,'Equipment Index'!$A$2:$A$1513,"Barn - Back Rack"))</f>
        <v>0</v>
      </c>
      <c r="C26" s="53">
        <f>IF($A26="","",SUMIFS('Equipment Index'!$F$2:$F$1513,'Equipment Index'!$G$2:$G$1513,$A26,'Equipment Index'!$A$2:$A$1513,"Barn - Front Rack"))</f>
        <v>0</v>
      </c>
      <c r="D26" s="53">
        <f>IF($A26="","",SUMIFS('Equipment Index'!$F$2:$F$1513,'Equipment Index'!$G$2:$G$1513,$A26,'Equipment Index'!$A$2:$A$1513,"Front Lobby"))</f>
        <v>0</v>
      </c>
      <c r="E26" s="53">
        <f>IF($A26="","",SUMIFS('Equipment Index'!$F$2:$F$1513,'Equipment Index'!$G$2:$G$1513,$A26,'Equipment Index'!$A$2:$A$1513,"Service Room"))</f>
        <v>1</v>
      </c>
      <c r="F26" s="53">
        <f>IF($A26="","",SUMIFS('Equipment Index'!$F$2:$F$1513,'Equipment Index'!$G$2:$G$1513,$A26,'Equipment Index'!$A$2:$A$1513,"Production"))</f>
        <v>0</v>
      </c>
      <c r="G26" s="53">
        <f>IF($A26="","",SUMIFS('Equipment Index'!$F$2:$F$1513,'Equipment Index'!$G$2:$G$1513,$A26,'Equipment Index'!$A$2:$A$1513,"Training Room"))</f>
        <v>0</v>
      </c>
      <c r="H26" s="54">
        <f>IF($A26="","",SUMIFS('Equipment Index'!$F$2:$F$1513,'Equipment Index'!$G$2:$G$1513,$A26,'Equipment Index'!$A$2:$A$1513,"Out of State"))</f>
        <v>0</v>
      </c>
      <c r="I26" s="53">
        <f>IF($A26="","",SUMIFS('Equipment Index'!$F$2:$F$1513,'Equipment Index'!$G$2:$G$1513,$A26,'Equipment Index'!$A$2:$A$1513,"San Antonio"))</f>
        <v>0</v>
      </c>
      <c r="J26" s="53">
        <f>IF($A26="","",SUMIFS('Equipment Index'!$F$2:$F$1513,'Equipment Index'!$G$2:$G$1513,$A26,'Equipment Index'!$A$2:$A$1513,"Dallas"))</f>
        <v>0</v>
      </c>
      <c r="K26" s="55">
        <f t="shared" si="0"/>
        <v>1</v>
      </c>
      <c r="L26" s="56">
        <f>IF($A26="","",SUMIFS('Equipment Index'!$F$2:$F$1513,'Equipment Index'!$G$2:$G$1513,$A26,'Equipment Index'!$C$2:$C$1513,"DISP"))</f>
        <v>0</v>
      </c>
      <c r="M26" s="57">
        <f>IF($A26="","",SUMIFS('Equipment Index'!$F$2:$F$1513,'Equipment Index'!$G$2:$G$1513,$A26,'Equipment Index'!$C$2:$C$1513,"MOD"))</f>
        <v>0</v>
      </c>
      <c r="N26" s="58" t="str">
        <f>IF($A26="","",IF(COUNTIFS('Equipment Index'!$G$2:$G$1513,$A26,'Equipment Index'!$H$2:$H$1513,"?*")=0,"","Customer-owned — "&amp;COUNTIFS('Equipment Index'!$G$2:$G$1513,$A26,'Equipment Index'!$H$2:$H$1513,"?*")&amp;" unit(s): "&amp;IFERROR(INDEX('Equipment Index'!$H$2:$H$1513,SUMPRODUCT(MATCH(1,('Equipment Index'!$G$2:$G$1513=$A26)*('Equipment Index'!$H$2:$H$1513&lt;&gt;""),0))),"")&amp;IF(COUNTIFS('Equipment Index'!$G$2:$G$1513,$A26,'Equipment Index'!$H$2:$H$1513,"?*")&gt;1," + see table below","")))</f>
        <v/>
      </c>
    </row>
    <row r="27" spans="1:14" ht="15" customHeight="1" x14ac:dyDescent="0.25">
      <c r="A27" s="52" t="str">
        <f>IFERROR(INDEX('Equipment Index'!$G$2:$G$1513,MATCH(ROW()-7,'Equipment Index'!$J$2:$J$1513,0)),"")</f>
        <v>Bunn ICB Tall</v>
      </c>
      <c r="B27" s="53">
        <f>IF($A27="","",SUMIFS('Equipment Index'!$F$2:$F$1513,'Equipment Index'!$G$2:$G$1513,$A27,'Equipment Index'!$A$2:$A$1513,"Barn - Back Rack"))</f>
        <v>0</v>
      </c>
      <c r="C27" s="53">
        <f>IF($A27="","",SUMIFS('Equipment Index'!$F$2:$F$1513,'Equipment Index'!$G$2:$G$1513,$A27,'Equipment Index'!$A$2:$A$1513,"Barn - Front Rack"))</f>
        <v>1</v>
      </c>
      <c r="D27" s="53">
        <f>IF($A27="","",SUMIFS('Equipment Index'!$F$2:$F$1513,'Equipment Index'!$G$2:$G$1513,$A27,'Equipment Index'!$A$2:$A$1513,"Front Lobby"))</f>
        <v>0</v>
      </c>
      <c r="E27" s="53">
        <f>IF($A27="","",SUMIFS('Equipment Index'!$F$2:$F$1513,'Equipment Index'!$G$2:$G$1513,$A27,'Equipment Index'!$A$2:$A$1513,"Service Room"))</f>
        <v>0</v>
      </c>
      <c r="F27" s="53">
        <f>IF($A27="","",SUMIFS('Equipment Index'!$F$2:$F$1513,'Equipment Index'!$G$2:$G$1513,$A27,'Equipment Index'!$A$2:$A$1513,"Production"))</f>
        <v>0</v>
      </c>
      <c r="G27" s="53">
        <f>IF($A27="","",SUMIFS('Equipment Index'!$F$2:$F$1513,'Equipment Index'!$G$2:$G$1513,$A27,'Equipment Index'!$A$2:$A$1513,"Training Room"))</f>
        <v>0</v>
      </c>
      <c r="H27" s="54">
        <f>IF($A27="","",SUMIFS('Equipment Index'!$F$2:$F$1513,'Equipment Index'!$G$2:$G$1513,$A27,'Equipment Index'!$A$2:$A$1513,"Out of State"))</f>
        <v>0</v>
      </c>
      <c r="I27" s="53">
        <f>IF($A27="","",SUMIFS('Equipment Index'!$F$2:$F$1513,'Equipment Index'!$G$2:$G$1513,$A27,'Equipment Index'!$A$2:$A$1513,"San Antonio"))</f>
        <v>0</v>
      </c>
      <c r="J27" s="53">
        <f>IF($A27="","",SUMIFS('Equipment Index'!$F$2:$F$1513,'Equipment Index'!$G$2:$G$1513,$A27,'Equipment Index'!$A$2:$A$1513,"Dallas"))</f>
        <v>0</v>
      </c>
      <c r="K27" s="55">
        <f t="shared" si="0"/>
        <v>1</v>
      </c>
      <c r="L27" s="56">
        <f>IF($A27="","",SUMIFS('Equipment Index'!$F$2:$F$1513,'Equipment Index'!$G$2:$G$1513,$A27,'Equipment Index'!$C$2:$C$1513,"DISP"))</f>
        <v>0</v>
      </c>
      <c r="M27" s="57">
        <f>IF($A27="","",SUMIFS('Equipment Index'!$F$2:$F$1513,'Equipment Index'!$G$2:$G$1513,$A27,'Equipment Index'!$C$2:$C$1513,"MOD"))</f>
        <v>0</v>
      </c>
      <c r="N27" s="58" t="str">
        <f>IF($A27="","",IF(COUNTIFS('Equipment Index'!$G$2:$G$1513,$A27,'Equipment Index'!$H$2:$H$1513,"?*")=0,"","Customer-owned — "&amp;COUNTIFS('Equipment Index'!$G$2:$G$1513,$A27,'Equipment Index'!$H$2:$H$1513,"?*")&amp;" unit(s): "&amp;IFERROR(INDEX('Equipment Index'!$H$2:$H$1513,SUMPRODUCT(MATCH(1,('Equipment Index'!$G$2:$G$1513=$A27)*('Equipment Index'!$H$2:$H$1513&lt;&gt;""),0))),"")&amp;IF(COUNTIFS('Equipment Index'!$G$2:$G$1513,$A27,'Equipment Index'!$H$2:$H$1513,"?*")&gt;1," + see table below","")))</f>
        <v/>
      </c>
    </row>
    <row r="28" spans="1:14" ht="15" customHeight="1" x14ac:dyDescent="0.25">
      <c r="A28" s="52" t="str">
        <f>IFERROR(INDEX('Equipment Index'!$G$2:$G$1513,MATCH(ROW()-7,'Equipment Index'!$J$2:$J$1513,0)),"")</f>
        <v>Bunn ITB</v>
      </c>
      <c r="B28" s="53">
        <f>IF($A28="","",SUMIFS('Equipment Index'!$F$2:$F$1513,'Equipment Index'!$G$2:$G$1513,$A28,'Equipment Index'!$A$2:$A$1513,"Barn - Back Rack"))</f>
        <v>0</v>
      </c>
      <c r="C28" s="53">
        <f>IF($A28="","",SUMIFS('Equipment Index'!$F$2:$F$1513,'Equipment Index'!$G$2:$G$1513,$A28,'Equipment Index'!$A$2:$A$1513,"Barn - Front Rack"))</f>
        <v>1</v>
      </c>
      <c r="D28" s="53">
        <f>IF($A28="","",SUMIFS('Equipment Index'!$F$2:$F$1513,'Equipment Index'!$G$2:$G$1513,$A28,'Equipment Index'!$A$2:$A$1513,"Front Lobby"))</f>
        <v>0</v>
      </c>
      <c r="E28" s="53">
        <f>IF($A28="","",SUMIFS('Equipment Index'!$F$2:$F$1513,'Equipment Index'!$G$2:$G$1513,$A28,'Equipment Index'!$A$2:$A$1513,"Service Room"))</f>
        <v>0</v>
      </c>
      <c r="F28" s="53">
        <f>IF($A28="","",SUMIFS('Equipment Index'!$F$2:$F$1513,'Equipment Index'!$G$2:$G$1513,$A28,'Equipment Index'!$A$2:$A$1513,"Production"))</f>
        <v>0</v>
      </c>
      <c r="G28" s="53">
        <f>IF($A28="","",SUMIFS('Equipment Index'!$F$2:$F$1513,'Equipment Index'!$G$2:$G$1513,$A28,'Equipment Index'!$A$2:$A$1513,"Training Room"))</f>
        <v>0</v>
      </c>
      <c r="H28" s="54">
        <f>IF($A28="","",SUMIFS('Equipment Index'!$F$2:$F$1513,'Equipment Index'!$G$2:$G$1513,$A28,'Equipment Index'!$A$2:$A$1513,"Out of State"))</f>
        <v>0</v>
      </c>
      <c r="I28" s="53">
        <f>IF($A28="","",SUMIFS('Equipment Index'!$F$2:$F$1513,'Equipment Index'!$G$2:$G$1513,$A28,'Equipment Index'!$A$2:$A$1513,"San Antonio"))</f>
        <v>0</v>
      </c>
      <c r="J28" s="53">
        <f>IF($A28="","",SUMIFS('Equipment Index'!$F$2:$F$1513,'Equipment Index'!$G$2:$G$1513,$A28,'Equipment Index'!$A$2:$A$1513,"Dallas"))</f>
        <v>0</v>
      </c>
      <c r="K28" s="55">
        <f t="shared" si="0"/>
        <v>1</v>
      </c>
      <c r="L28" s="56">
        <f>IF($A28="","",SUMIFS('Equipment Index'!$F$2:$F$1513,'Equipment Index'!$G$2:$G$1513,$A28,'Equipment Index'!$C$2:$C$1513,"DISP"))</f>
        <v>0</v>
      </c>
      <c r="M28" s="57">
        <f>IF($A28="","",SUMIFS('Equipment Index'!$F$2:$F$1513,'Equipment Index'!$G$2:$G$1513,$A28,'Equipment Index'!$C$2:$C$1513,"MOD"))</f>
        <v>0</v>
      </c>
      <c r="N28" s="58" t="str">
        <f>IF($A28="","",IF(COUNTIFS('Equipment Index'!$G$2:$G$1513,$A28,'Equipment Index'!$H$2:$H$1513,"?*")=0,"","Customer-owned — "&amp;COUNTIFS('Equipment Index'!$G$2:$G$1513,$A28,'Equipment Index'!$H$2:$H$1513,"?*")&amp;" unit(s): "&amp;IFERROR(INDEX('Equipment Index'!$H$2:$H$1513,SUMPRODUCT(MATCH(1,('Equipment Index'!$G$2:$G$1513=$A28)*('Equipment Index'!$H$2:$H$1513&lt;&gt;""),0))),"")&amp;IF(COUNTIFS('Equipment Index'!$G$2:$G$1513,$A28,'Equipment Index'!$H$2:$H$1513,"?*")&gt;1," + see table below","")))</f>
        <v/>
      </c>
    </row>
    <row r="29" spans="1:14" ht="15" customHeight="1" x14ac:dyDescent="0.25">
      <c r="A29" s="52" t="str">
        <f>IFERROR(INDEX('Equipment Index'!$G$2:$G$1513,MATCH(ROW()-7,'Equipment Index'!$J$2:$J$1513,0)),"")</f>
        <v>Bunn ITB-DD</v>
      </c>
      <c r="B29" s="53">
        <f>IF($A29="","",SUMIFS('Equipment Index'!$F$2:$F$1513,'Equipment Index'!$G$2:$G$1513,$A29,'Equipment Index'!$A$2:$A$1513,"Barn - Back Rack"))</f>
        <v>1</v>
      </c>
      <c r="C29" s="53">
        <f>IF($A29="","",SUMIFS('Equipment Index'!$F$2:$F$1513,'Equipment Index'!$G$2:$G$1513,$A29,'Equipment Index'!$A$2:$A$1513,"Barn - Front Rack"))</f>
        <v>0</v>
      </c>
      <c r="D29" s="53">
        <f>IF($A29="","",SUMIFS('Equipment Index'!$F$2:$F$1513,'Equipment Index'!$G$2:$G$1513,$A29,'Equipment Index'!$A$2:$A$1513,"Front Lobby"))</f>
        <v>0</v>
      </c>
      <c r="E29" s="53">
        <f>IF($A29="","",SUMIFS('Equipment Index'!$F$2:$F$1513,'Equipment Index'!$G$2:$G$1513,$A29,'Equipment Index'!$A$2:$A$1513,"Service Room"))</f>
        <v>0</v>
      </c>
      <c r="F29" s="53">
        <f>IF($A29="","",SUMIFS('Equipment Index'!$F$2:$F$1513,'Equipment Index'!$G$2:$G$1513,$A29,'Equipment Index'!$A$2:$A$1513,"Production"))</f>
        <v>0</v>
      </c>
      <c r="G29" s="53">
        <f>IF($A29="","",SUMIFS('Equipment Index'!$F$2:$F$1513,'Equipment Index'!$G$2:$G$1513,$A29,'Equipment Index'!$A$2:$A$1513,"Training Room"))</f>
        <v>0</v>
      </c>
      <c r="H29" s="54">
        <f>IF($A29="","",SUMIFS('Equipment Index'!$F$2:$F$1513,'Equipment Index'!$G$2:$G$1513,$A29,'Equipment Index'!$A$2:$A$1513,"Out of State"))</f>
        <v>0</v>
      </c>
      <c r="I29" s="53">
        <f>IF($A29="","",SUMIFS('Equipment Index'!$F$2:$F$1513,'Equipment Index'!$G$2:$G$1513,$A29,'Equipment Index'!$A$2:$A$1513,"San Antonio"))</f>
        <v>0</v>
      </c>
      <c r="J29" s="53">
        <f>IF($A29="","",SUMIFS('Equipment Index'!$F$2:$F$1513,'Equipment Index'!$G$2:$G$1513,$A29,'Equipment Index'!$A$2:$A$1513,"Dallas"))</f>
        <v>0</v>
      </c>
      <c r="K29" s="55">
        <f t="shared" si="0"/>
        <v>1</v>
      </c>
      <c r="L29" s="56">
        <f>IF($A29="","",SUMIFS('Equipment Index'!$F$2:$F$1513,'Equipment Index'!$G$2:$G$1513,$A29,'Equipment Index'!$C$2:$C$1513,"DISP"))</f>
        <v>0</v>
      </c>
      <c r="M29" s="57">
        <f>IF($A29="","",SUMIFS('Equipment Index'!$F$2:$F$1513,'Equipment Index'!$G$2:$G$1513,$A29,'Equipment Index'!$C$2:$C$1513,"MOD"))</f>
        <v>0</v>
      </c>
      <c r="N29" s="58" t="str">
        <f>IF($A29="","",IF(COUNTIFS('Equipment Index'!$G$2:$G$1513,$A29,'Equipment Index'!$H$2:$H$1513,"?*")=0,"","Customer-owned — "&amp;COUNTIFS('Equipment Index'!$G$2:$G$1513,$A29,'Equipment Index'!$H$2:$H$1513,"?*")&amp;" unit(s): "&amp;IFERROR(INDEX('Equipment Index'!$H$2:$H$1513,SUMPRODUCT(MATCH(1,('Equipment Index'!$G$2:$G$1513=$A29)*('Equipment Index'!$H$2:$H$1513&lt;&gt;""),0))),"")&amp;IF(COUNTIFS('Equipment Index'!$G$2:$G$1513,$A29,'Equipment Index'!$H$2:$H$1513,"?*")&gt;1," + see table below","")))</f>
        <v/>
      </c>
    </row>
    <row r="30" spans="1:14" ht="15" customHeight="1" x14ac:dyDescent="0.25">
      <c r="A30" s="52" t="str">
        <f>IFERROR(INDEX('Equipment Index'!$G$2:$G$1513,MATCH(ROW()-7,'Equipment Index'!$J$2:$J$1513,0)),"")</f>
        <v>Bunn ITB-DD Sweet Brew</v>
      </c>
      <c r="B30" s="53">
        <f>IF($A30="","",SUMIFS('Equipment Index'!$F$2:$F$1513,'Equipment Index'!$G$2:$G$1513,$A30,'Equipment Index'!$A$2:$A$1513,"Barn - Back Rack"))</f>
        <v>1</v>
      </c>
      <c r="C30" s="53">
        <f>IF($A30="","",SUMIFS('Equipment Index'!$F$2:$F$1513,'Equipment Index'!$G$2:$G$1513,$A30,'Equipment Index'!$A$2:$A$1513,"Barn - Front Rack"))</f>
        <v>0</v>
      </c>
      <c r="D30" s="53">
        <f>IF($A30="","",SUMIFS('Equipment Index'!$F$2:$F$1513,'Equipment Index'!$G$2:$G$1513,$A30,'Equipment Index'!$A$2:$A$1513,"Front Lobby"))</f>
        <v>0</v>
      </c>
      <c r="E30" s="53">
        <f>IF($A30="","",SUMIFS('Equipment Index'!$F$2:$F$1513,'Equipment Index'!$G$2:$G$1513,$A30,'Equipment Index'!$A$2:$A$1513,"Service Room"))</f>
        <v>0</v>
      </c>
      <c r="F30" s="53">
        <f>IF($A30="","",SUMIFS('Equipment Index'!$F$2:$F$1513,'Equipment Index'!$G$2:$G$1513,$A30,'Equipment Index'!$A$2:$A$1513,"Production"))</f>
        <v>0</v>
      </c>
      <c r="G30" s="53">
        <f>IF($A30="","",SUMIFS('Equipment Index'!$F$2:$F$1513,'Equipment Index'!$G$2:$G$1513,$A30,'Equipment Index'!$A$2:$A$1513,"Training Room"))</f>
        <v>0</v>
      </c>
      <c r="H30" s="54">
        <f>IF($A30="","",SUMIFS('Equipment Index'!$F$2:$F$1513,'Equipment Index'!$G$2:$G$1513,$A30,'Equipment Index'!$A$2:$A$1513,"Out of State"))</f>
        <v>0</v>
      </c>
      <c r="I30" s="53">
        <f>IF($A30="","",SUMIFS('Equipment Index'!$F$2:$F$1513,'Equipment Index'!$G$2:$G$1513,$A30,'Equipment Index'!$A$2:$A$1513,"San Antonio"))</f>
        <v>0</v>
      </c>
      <c r="J30" s="53">
        <f>IF($A30="","",SUMIFS('Equipment Index'!$F$2:$F$1513,'Equipment Index'!$G$2:$G$1513,$A30,'Equipment Index'!$A$2:$A$1513,"Dallas"))</f>
        <v>0</v>
      </c>
      <c r="K30" s="55">
        <f t="shared" si="0"/>
        <v>1</v>
      </c>
      <c r="L30" s="56">
        <f>IF($A30="","",SUMIFS('Equipment Index'!$F$2:$F$1513,'Equipment Index'!$G$2:$G$1513,$A30,'Equipment Index'!$C$2:$C$1513,"DISP"))</f>
        <v>0</v>
      </c>
      <c r="M30" s="57">
        <f>IF($A30="","",SUMIFS('Equipment Index'!$F$2:$F$1513,'Equipment Index'!$G$2:$G$1513,$A30,'Equipment Index'!$C$2:$C$1513,"MOD"))</f>
        <v>0</v>
      </c>
      <c r="N30" s="58" t="str">
        <f>IF($A30="","",IF(COUNTIFS('Equipment Index'!$G$2:$G$1513,$A30,'Equipment Index'!$H$2:$H$1513,"?*")=0,"","Customer-owned — "&amp;COUNTIFS('Equipment Index'!$G$2:$G$1513,$A30,'Equipment Index'!$H$2:$H$1513,"?*")&amp;" unit(s): "&amp;IFERROR(INDEX('Equipment Index'!$H$2:$H$1513,SUMPRODUCT(MATCH(1,('Equipment Index'!$G$2:$G$1513=$A30)*('Equipment Index'!$H$2:$H$1513&lt;&gt;""),0))),"")&amp;IF(COUNTIFS('Equipment Index'!$G$2:$G$1513,$A30,'Equipment Index'!$H$2:$H$1513,"?*")&gt;1," + see table below","")))</f>
        <v/>
      </c>
    </row>
    <row r="31" spans="1:14" ht="15" customHeight="1" x14ac:dyDescent="0.25">
      <c r="A31" s="52" t="str">
        <f>IFERROR(INDEX('Equipment Index'!$G$2:$G$1513,MATCH(ROW()-7,'Equipment Index'!$J$2:$J$1513,0)),"")</f>
        <v>Bunn ITCB</v>
      </c>
      <c r="B31" s="53">
        <f>IF($A31="","",SUMIFS('Equipment Index'!$F$2:$F$1513,'Equipment Index'!$G$2:$G$1513,$A31,'Equipment Index'!$A$2:$A$1513,"Barn - Back Rack"))</f>
        <v>8</v>
      </c>
      <c r="C31" s="53">
        <f>IF($A31="","",SUMIFS('Equipment Index'!$F$2:$F$1513,'Equipment Index'!$G$2:$G$1513,$A31,'Equipment Index'!$A$2:$A$1513,"Barn - Front Rack"))</f>
        <v>7</v>
      </c>
      <c r="D31" s="53">
        <f>IF($A31="","",SUMIFS('Equipment Index'!$F$2:$F$1513,'Equipment Index'!$G$2:$G$1513,$A31,'Equipment Index'!$A$2:$A$1513,"Front Lobby"))</f>
        <v>0</v>
      </c>
      <c r="E31" s="53">
        <f>IF($A31="","",SUMIFS('Equipment Index'!$F$2:$F$1513,'Equipment Index'!$G$2:$G$1513,$A31,'Equipment Index'!$A$2:$A$1513,"Service Room"))</f>
        <v>1</v>
      </c>
      <c r="F31" s="53">
        <f>IF($A31="","",SUMIFS('Equipment Index'!$F$2:$F$1513,'Equipment Index'!$G$2:$G$1513,$A31,'Equipment Index'!$A$2:$A$1513,"Production"))</f>
        <v>1</v>
      </c>
      <c r="G31" s="53">
        <f>IF($A31="","",SUMIFS('Equipment Index'!$F$2:$F$1513,'Equipment Index'!$G$2:$G$1513,$A31,'Equipment Index'!$A$2:$A$1513,"Training Room"))</f>
        <v>0</v>
      </c>
      <c r="H31" s="54">
        <f>IF($A31="","",SUMIFS('Equipment Index'!$F$2:$F$1513,'Equipment Index'!$G$2:$G$1513,$A31,'Equipment Index'!$A$2:$A$1513,"Out of State"))</f>
        <v>0</v>
      </c>
      <c r="I31" s="53">
        <f>IF($A31="","",SUMIFS('Equipment Index'!$F$2:$F$1513,'Equipment Index'!$G$2:$G$1513,$A31,'Equipment Index'!$A$2:$A$1513,"San Antonio"))</f>
        <v>1</v>
      </c>
      <c r="J31" s="53">
        <f>IF($A31="","",SUMIFS('Equipment Index'!$F$2:$F$1513,'Equipment Index'!$G$2:$G$1513,$A31,'Equipment Index'!$A$2:$A$1513,"Dallas"))</f>
        <v>0</v>
      </c>
      <c r="K31" s="55">
        <f t="shared" si="0"/>
        <v>18</v>
      </c>
      <c r="L31" s="56">
        <f>IF($A31="","",SUMIFS('Equipment Index'!$F$2:$F$1513,'Equipment Index'!$G$2:$G$1513,$A31,'Equipment Index'!$C$2:$C$1513,"DISP"))</f>
        <v>0</v>
      </c>
      <c r="M31" s="57">
        <f>IF($A31="","",SUMIFS('Equipment Index'!$F$2:$F$1513,'Equipment Index'!$G$2:$G$1513,$A31,'Equipment Index'!$C$2:$C$1513,"MOD"))</f>
        <v>0</v>
      </c>
      <c r="N31" s="58" t="str">
        <f>IF($A31="","",IF(COUNTIFS('Equipment Index'!$G$2:$G$1513,$A31,'Equipment Index'!$H$2:$H$1513,"?*")=0,"","Customer-owned — "&amp;COUNTIFS('Equipment Index'!$G$2:$G$1513,$A31,'Equipment Index'!$H$2:$H$1513,"?*")&amp;" unit(s): "&amp;IFERROR(INDEX('Equipment Index'!$H$2:$H$1513,SUMPRODUCT(MATCH(1,('Equipment Index'!$G$2:$G$1513=$A31)*('Equipment Index'!$H$2:$H$1513&lt;&gt;""),0))),"")&amp;IF(COUNTIFS('Equipment Index'!$G$2:$G$1513,$A31,'Equipment Index'!$H$2:$H$1513,"?*")&gt;1," + see table below","")))</f>
        <v/>
      </c>
    </row>
    <row r="32" spans="1:14" ht="15" customHeight="1" x14ac:dyDescent="0.25">
      <c r="A32" s="52" t="str">
        <f>IFERROR(INDEX('Equipment Index'!$G$2:$G$1513,MATCH(ROW()-7,'Equipment Index'!$J$2:$J$1513,0)),"")</f>
        <v>Bunn ITCB NS</v>
      </c>
      <c r="B32" s="53">
        <f>IF($A32="","",SUMIFS('Equipment Index'!$F$2:$F$1513,'Equipment Index'!$G$2:$G$1513,$A32,'Equipment Index'!$A$2:$A$1513,"Barn - Back Rack"))</f>
        <v>4</v>
      </c>
      <c r="C32" s="53">
        <f>IF($A32="","",SUMIFS('Equipment Index'!$F$2:$F$1513,'Equipment Index'!$G$2:$G$1513,$A32,'Equipment Index'!$A$2:$A$1513,"Barn - Front Rack"))</f>
        <v>0</v>
      </c>
      <c r="D32" s="53">
        <f>IF($A32="","",SUMIFS('Equipment Index'!$F$2:$F$1513,'Equipment Index'!$G$2:$G$1513,$A32,'Equipment Index'!$A$2:$A$1513,"Front Lobby"))</f>
        <v>0</v>
      </c>
      <c r="E32" s="53">
        <f>IF($A32="","",SUMIFS('Equipment Index'!$F$2:$F$1513,'Equipment Index'!$G$2:$G$1513,$A32,'Equipment Index'!$A$2:$A$1513,"Service Room"))</f>
        <v>0</v>
      </c>
      <c r="F32" s="53">
        <f>IF($A32="","",SUMIFS('Equipment Index'!$F$2:$F$1513,'Equipment Index'!$G$2:$G$1513,$A32,'Equipment Index'!$A$2:$A$1513,"Production"))</f>
        <v>0</v>
      </c>
      <c r="G32" s="53">
        <f>IF($A32="","",SUMIFS('Equipment Index'!$F$2:$F$1513,'Equipment Index'!$G$2:$G$1513,$A32,'Equipment Index'!$A$2:$A$1513,"Training Room"))</f>
        <v>1</v>
      </c>
      <c r="H32" s="54">
        <f>IF($A32="","",SUMIFS('Equipment Index'!$F$2:$F$1513,'Equipment Index'!$G$2:$G$1513,$A32,'Equipment Index'!$A$2:$A$1513,"Out of State"))</f>
        <v>0</v>
      </c>
      <c r="I32" s="53">
        <f>IF($A32="","",SUMIFS('Equipment Index'!$F$2:$F$1513,'Equipment Index'!$G$2:$G$1513,$A32,'Equipment Index'!$A$2:$A$1513,"San Antonio"))</f>
        <v>0</v>
      </c>
      <c r="J32" s="53">
        <f>IF($A32="","",SUMIFS('Equipment Index'!$F$2:$F$1513,'Equipment Index'!$G$2:$G$1513,$A32,'Equipment Index'!$A$2:$A$1513,"Dallas"))</f>
        <v>0</v>
      </c>
      <c r="K32" s="55">
        <f t="shared" si="0"/>
        <v>5</v>
      </c>
      <c r="L32" s="56">
        <f>IF($A32="","",SUMIFS('Equipment Index'!$F$2:$F$1513,'Equipment Index'!$G$2:$G$1513,$A32,'Equipment Index'!$C$2:$C$1513,"DISP"))</f>
        <v>0</v>
      </c>
      <c r="M32" s="57">
        <f>IF($A32="","",SUMIFS('Equipment Index'!$F$2:$F$1513,'Equipment Index'!$G$2:$G$1513,$A32,'Equipment Index'!$C$2:$C$1513,"MOD"))</f>
        <v>0</v>
      </c>
      <c r="N32" s="58" t="str">
        <f>IF($A32="","",IF(COUNTIFS('Equipment Index'!$G$2:$G$1513,$A32,'Equipment Index'!$H$2:$H$1513,"?*")=0,"","Customer-owned — "&amp;COUNTIFS('Equipment Index'!$G$2:$G$1513,$A32,'Equipment Index'!$H$2:$H$1513,"?*")&amp;" unit(s): "&amp;IFERROR(INDEX('Equipment Index'!$H$2:$H$1513,SUMPRODUCT(MATCH(1,('Equipment Index'!$G$2:$G$1513=$A32)*('Equipment Index'!$H$2:$H$1513&lt;&gt;""),0))),"")&amp;IF(COUNTIFS('Equipment Index'!$G$2:$G$1513,$A32,'Equipment Index'!$H$2:$H$1513,"?*")&gt;1," + see table below","")))</f>
        <v/>
      </c>
    </row>
    <row r="33" spans="1:14" ht="15" customHeight="1" x14ac:dyDescent="0.25">
      <c r="A33" s="52" t="str">
        <f>IFERROR(INDEX('Equipment Index'!$G$2:$G$1513,MATCH(ROW()-7,'Equipment Index'!$J$2:$J$1513,0)),"")</f>
        <v>Bunn ITCB Short</v>
      </c>
      <c r="B33" s="53">
        <f>IF($A33="","",SUMIFS('Equipment Index'!$F$2:$F$1513,'Equipment Index'!$G$2:$G$1513,$A33,'Equipment Index'!$A$2:$A$1513,"Barn - Back Rack"))</f>
        <v>0</v>
      </c>
      <c r="C33" s="53">
        <f>IF($A33="","",SUMIFS('Equipment Index'!$F$2:$F$1513,'Equipment Index'!$G$2:$G$1513,$A33,'Equipment Index'!$A$2:$A$1513,"Barn - Front Rack"))</f>
        <v>4</v>
      </c>
      <c r="D33" s="53">
        <f>IF($A33="","",SUMIFS('Equipment Index'!$F$2:$F$1513,'Equipment Index'!$G$2:$G$1513,$A33,'Equipment Index'!$A$2:$A$1513,"Front Lobby"))</f>
        <v>0</v>
      </c>
      <c r="E33" s="53">
        <f>IF($A33="","",SUMIFS('Equipment Index'!$F$2:$F$1513,'Equipment Index'!$G$2:$G$1513,$A33,'Equipment Index'!$A$2:$A$1513,"Service Room"))</f>
        <v>0</v>
      </c>
      <c r="F33" s="53">
        <f>IF($A33="","",SUMIFS('Equipment Index'!$F$2:$F$1513,'Equipment Index'!$G$2:$G$1513,$A33,'Equipment Index'!$A$2:$A$1513,"Production"))</f>
        <v>0</v>
      </c>
      <c r="G33" s="53">
        <f>IF($A33="","",SUMIFS('Equipment Index'!$F$2:$F$1513,'Equipment Index'!$G$2:$G$1513,$A33,'Equipment Index'!$A$2:$A$1513,"Training Room"))</f>
        <v>0</v>
      </c>
      <c r="H33" s="54">
        <f>IF($A33="","",SUMIFS('Equipment Index'!$F$2:$F$1513,'Equipment Index'!$G$2:$G$1513,$A33,'Equipment Index'!$A$2:$A$1513,"Out of State"))</f>
        <v>0</v>
      </c>
      <c r="I33" s="53">
        <f>IF($A33="","",SUMIFS('Equipment Index'!$F$2:$F$1513,'Equipment Index'!$G$2:$G$1513,$A33,'Equipment Index'!$A$2:$A$1513,"San Antonio"))</f>
        <v>0</v>
      </c>
      <c r="J33" s="53">
        <f>IF($A33="","",SUMIFS('Equipment Index'!$F$2:$F$1513,'Equipment Index'!$G$2:$G$1513,$A33,'Equipment Index'!$A$2:$A$1513,"Dallas"))</f>
        <v>0</v>
      </c>
      <c r="K33" s="55">
        <f t="shared" si="0"/>
        <v>4</v>
      </c>
      <c r="L33" s="56">
        <f>IF($A33="","",SUMIFS('Equipment Index'!$F$2:$F$1513,'Equipment Index'!$G$2:$G$1513,$A33,'Equipment Index'!$C$2:$C$1513,"DISP"))</f>
        <v>0</v>
      </c>
      <c r="M33" s="57">
        <f>IF($A33="","",SUMIFS('Equipment Index'!$F$2:$F$1513,'Equipment Index'!$G$2:$G$1513,$A33,'Equipment Index'!$C$2:$C$1513,"MOD"))</f>
        <v>0</v>
      </c>
      <c r="N33" s="58" t="str">
        <f>IF($A33="","",IF(COUNTIFS('Equipment Index'!$G$2:$G$1513,$A33,'Equipment Index'!$H$2:$H$1513,"?*")=0,"","Customer-owned — "&amp;COUNTIFS('Equipment Index'!$G$2:$G$1513,$A33,'Equipment Index'!$H$2:$H$1513,"?*")&amp;" unit(s): "&amp;IFERROR(INDEX('Equipment Index'!$H$2:$H$1513,SUMPRODUCT(MATCH(1,('Equipment Index'!$G$2:$G$1513=$A33)*('Equipment Index'!$H$2:$H$1513&lt;&gt;""),0))),"")&amp;IF(COUNTIFS('Equipment Index'!$G$2:$G$1513,$A33,'Equipment Index'!$H$2:$H$1513,"?*")&gt;1," + see table below","")))</f>
        <v/>
      </c>
    </row>
    <row r="34" spans="1:14" ht="15" customHeight="1" x14ac:dyDescent="0.25">
      <c r="A34" s="52" t="str">
        <f>IFERROR(INDEX('Equipment Index'!$G$2:$G$1513,MATCH(ROW()-7,'Equipment Index'!$J$2:$J$1513,0)),"")</f>
        <v>Bunn LPG-2E</v>
      </c>
      <c r="B34" s="53">
        <f>IF($A34="","",SUMIFS('Equipment Index'!$F$2:$F$1513,'Equipment Index'!$G$2:$G$1513,$A34,'Equipment Index'!$A$2:$A$1513,"Barn - Back Rack"))</f>
        <v>6</v>
      </c>
      <c r="C34" s="53">
        <f>IF($A34="","",SUMIFS('Equipment Index'!$F$2:$F$1513,'Equipment Index'!$G$2:$G$1513,$A34,'Equipment Index'!$A$2:$A$1513,"Barn - Front Rack"))</f>
        <v>0</v>
      </c>
      <c r="D34" s="53">
        <f>IF($A34="","",SUMIFS('Equipment Index'!$F$2:$F$1513,'Equipment Index'!$G$2:$G$1513,$A34,'Equipment Index'!$A$2:$A$1513,"Front Lobby"))</f>
        <v>0</v>
      </c>
      <c r="E34" s="53">
        <f>IF($A34="","",SUMIFS('Equipment Index'!$F$2:$F$1513,'Equipment Index'!$G$2:$G$1513,$A34,'Equipment Index'!$A$2:$A$1513,"Service Room"))</f>
        <v>0</v>
      </c>
      <c r="F34" s="53">
        <f>IF($A34="","",SUMIFS('Equipment Index'!$F$2:$F$1513,'Equipment Index'!$G$2:$G$1513,$A34,'Equipment Index'!$A$2:$A$1513,"Production"))</f>
        <v>0</v>
      </c>
      <c r="G34" s="53">
        <f>IF($A34="","",SUMIFS('Equipment Index'!$F$2:$F$1513,'Equipment Index'!$G$2:$G$1513,$A34,'Equipment Index'!$A$2:$A$1513,"Training Room"))</f>
        <v>0</v>
      </c>
      <c r="H34" s="54">
        <f>IF($A34="","",SUMIFS('Equipment Index'!$F$2:$F$1513,'Equipment Index'!$G$2:$G$1513,$A34,'Equipment Index'!$A$2:$A$1513,"Out of State"))</f>
        <v>0</v>
      </c>
      <c r="I34" s="53">
        <f>IF($A34="","",SUMIFS('Equipment Index'!$F$2:$F$1513,'Equipment Index'!$G$2:$G$1513,$A34,'Equipment Index'!$A$2:$A$1513,"San Antonio"))</f>
        <v>0</v>
      </c>
      <c r="J34" s="53">
        <f>IF($A34="","",SUMIFS('Equipment Index'!$F$2:$F$1513,'Equipment Index'!$G$2:$G$1513,$A34,'Equipment Index'!$A$2:$A$1513,"Dallas"))</f>
        <v>0</v>
      </c>
      <c r="K34" s="55">
        <f t="shared" si="0"/>
        <v>6</v>
      </c>
      <c r="L34" s="56">
        <f>IF($A34="","",SUMIFS('Equipment Index'!$F$2:$F$1513,'Equipment Index'!$G$2:$G$1513,$A34,'Equipment Index'!$C$2:$C$1513,"DISP"))</f>
        <v>0</v>
      </c>
      <c r="M34" s="57">
        <f>IF($A34="","",SUMIFS('Equipment Index'!$F$2:$F$1513,'Equipment Index'!$G$2:$G$1513,$A34,'Equipment Index'!$C$2:$C$1513,"MOD"))</f>
        <v>0</v>
      </c>
      <c r="N34" s="58" t="str">
        <f>IF($A34="","",IF(COUNTIFS('Equipment Index'!$G$2:$G$1513,$A34,'Equipment Index'!$H$2:$H$1513,"?*")=0,"","Customer-owned — "&amp;COUNTIFS('Equipment Index'!$G$2:$G$1513,$A34,'Equipment Index'!$H$2:$H$1513,"?*")&amp;" unit(s): "&amp;IFERROR(INDEX('Equipment Index'!$H$2:$H$1513,SUMPRODUCT(MATCH(1,('Equipment Index'!$G$2:$G$1513=$A34)*('Equipment Index'!$H$2:$H$1513&lt;&gt;""),0))),"")&amp;IF(COUNTIFS('Equipment Index'!$G$2:$G$1513,$A34,'Equipment Index'!$H$2:$H$1513,"?*")&gt;1," + see table below","")))</f>
        <v/>
      </c>
    </row>
    <row r="35" spans="1:14" ht="15" customHeight="1" x14ac:dyDescent="0.25">
      <c r="A35" s="52" t="str">
        <f>IFERROR(INDEX('Equipment Index'!$G$2:$G$1513,MATCH(ROW()-7,'Equipment Index'!$J$2:$J$1513,0)),"")</f>
        <v>Bunn Nitron</v>
      </c>
      <c r="B35" s="53">
        <f>IF($A35="","",SUMIFS('Equipment Index'!$F$2:$F$1513,'Equipment Index'!$G$2:$G$1513,$A35,'Equipment Index'!$A$2:$A$1513,"Barn - Back Rack"))</f>
        <v>0</v>
      </c>
      <c r="C35" s="53">
        <f>IF($A35="","",SUMIFS('Equipment Index'!$F$2:$F$1513,'Equipment Index'!$G$2:$G$1513,$A35,'Equipment Index'!$A$2:$A$1513,"Barn - Front Rack"))</f>
        <v>0</v>
      </c>
      <c r="D35" s="53">
        <f>IF($A35="","",SUMIFS('Equipment Index'!$F$2:$F$1513,'Equipment Index'!$G$2:$G$1513,$A35,'Equipment Index'!$A$2:$A$1513,"Front Lobby"))</f>
        <v>0</v>
      </c>
      <c r="E35" s="53">
        <f>IF($A35="","",SUMIFS('Equipment Index'!$F$2:$F$1513,'Equipment Index'!$G$2:$G$1513,$A35,'Equipment Index'!$A$2:$A$1513,"Service Room"))</f>
        <v>0</v>
      </c>
      <c r="F35" s="53">
        <f>IF($A35="","",SUMIFS('Equipment Index'!$F$2:$F$1513,'Equipment Index'!$G$2:$G$1513,$A35,'Equipment Index'!$A$2:$A$1513,"Production"))</f>
        <v>0</v>
      </c>
      <c r="G35" s="53">
        <f>IF($A35="","",SUMIFS('Equipment Index'!$F$2:$F$1513,'Equipment Index'!$G$2:$G$1513,$A35,'Equipment Index'!$A$2:$A$1513,"Training Room"))</f>
        <v>1</v>
      </c>
      <c r="H35" s="54">
        <f>IF($A35="","",SUMIFS('Equipment Index'!$F$2:$F$1513,'Equipment Index'!$G$2:$G$1513,$A35,'Equipment Index'!$A$2:$A$1513,"Out of State"))</f>
        <v>0</v>
      </c>
      <c r="I35" s="53">
        <f>IF($A35="","",SUMIFS('Equipment Index'!$F$2:$F$1513,'Equipment Index'!$G$2:$G$1513,$A35,'Equipment Index'!$A$2:$A$1513,"San Antonio"))</f>
        <v>0</v>
      </c>
      <c r="J35" s="53">
        <f>IF($A35="","",SUMIFS('Equipment Index'!$F$2:$F$1513,'Equipment Index'!$G$2:$G$1513,$A35,'Equipment Index'!$A$2:$A$1513,"Dallas"))</f>
        <v>0</v>
      </c>
      <c r="K35" s="55">
        <f t="shared" si="0"/>
        <v>1</v>
      </c>
      <c r="L35" s="56">
        <f>IF($A35="","",SUMIFS('Equipment Index'!$F$2:$F$1513,'Equipment Index'!$G$2:$G$1513,$A35,'Equipment Index'!$C$2:$C$1513,"DISP"))</f>
        <v>0</v>
      </c>
      <c r="M35" s="57">
        <f>IF($A35="","",SUMIFS('Equipment Index'!$F$2:$F$1513,'Equipment Index'!$G$2:$G$1513,$A35,'Equipment Index'!$C$2:$C$1513,"MOD"))</f>
        <v>0</v>
      </c>
      <c r="N35" s="58" t="str">
        <f>IF($A35="","",IF(COUNTIFS('Equipment Index'!$G$2:$G$1513,$A35,'Equipment Index'!$H$2:$H$1513,"?*")=0,"","Customer-owned — "&amp;COUNTIFS('Equipment Index'!$G$2:$G$1513,$A35,'Equipment Index'!$H$2:$H$1513,"?*")&amp;" unit(s): "&amp;IFERROR(INDEX('Equipment Index'!$H$2:$H$1513,SUMPRODUCT(MATCH(1,('Equipment Index'!$G$2:$G$1513=$A35)*('Equipment Index'!$H$2:$H$1513&lt;&gt;""),0))),"")&amp;IF(COUNTIFS('Equipment Index'!$G$2:$G$1513,$A35,'Equipment Index'!$H$2:$H$1513,"?*")&gt;1," + see table below","")))</f>
        <v/>
      </c>
    </row>
    <row r="36" spans="1:14" ht="15" customHeight="1" x14ac:dyDescent="0.25">
      <c r="A36" s="52" t="str">
        <f>IFERROR(INDEX('Equipment Index'!$G$2:$G$1513,MATCH(ROW()-7,'Equipment Index'!$J$2:$J$1513,0)),"")</f>
        <v>Bunn Sure Immersion 220</v>
      </c>
      <c r="B36" s="53">
        <f>IF($A36="","",SUMIFS('Equipment Index'!$F$2:$F$1513,'Equipment Index'!$G$2:$G$1513,$A36,'Equipment Index'!$A$2:$A$1513,"Barn - Back Rack"))</f>
        <v>0</v>
      </c>
      <c r="C36" s="53">
        <f>IF($A36="","",SUMIFS('Equipment Index'!$F$2:$F$1513,'Equipment Index'!$G$2:$G$1513,$A36,'Equipment Index'!$A$2:$A$1513,"Barn - Front Rack"))</f>
        <v>0</v>
      </c>
      <c r="D36" s="53">
        <f>IF($A36="","",SUMIFS('Equipment Index'!$F$2:$F$1513,'Equipment Index'!$G$2:$G$1513,$A36,'Equipment Index'!$A$2:$A$1513,"Front Lobby"))</f>
        <v>0</v>
      </c>
      <c r="E36" s="53">
        <f>IF($A36="","",SUMIFS('Equipment Index'!$F$2:$F$1513,'Equipment Index'!$G$2:$G$1513,$A36,'Equipment Index'!$A$2:$A$1513,"Service Room"))</f>
        <v>0</v>
      </c>
      <c r="F36" s="53">
        <f>IF($A36="","",SUMIFS('Equipment Index'!$F$2:$F$1513,'Equipment Index'!$G$2:$G$1513,$A36,'Equipment Index'!$A$2:$A$1513,"Production"))</f>
        <v>0</v>
      </c>
      <c r="G36" s="53">
        <f>IF($A36="","",SUMIFS('Equipment Index'!$F$2:$F$1513,'Equipment Index'!$G$2:$G$1513,$A36,'Equipment Index'!$A$2:$A$1513,"Training Room"))</f>
        <v>1</v>
      </c>
      <c r="H36" s="54">
        <f>IF($A36="","",SUMIFS('Equipment Index'!$F$2:$F$1513,'Equipment Index'!$G$2:$G$1513,$A36,'Equipment Index'!$A$2:$A$1513,"Out of State"))</f>
        <v>0</v>
      </c>
      <c r="I36" s="53">
        <f>IF($A36="","",SUMIFS('Equipment Index'!$F$2:$F$1513,'Equipment Index'!$G$2:$G$1513,$A36,'Equipment Index'!$A$2:$A$1513,"San Antonio"))</f>
        <v>0</v>
      </c>
      <c r="J36" s="53">
        <f>IF($A36="","",SUMIFS('Equipment Index'!$F$2:$F$1513,'Equipment Index'!$G$2:$G$1513,$A36,'Equipment Index'!$A$2:$A$1513,"Dallas"))</f>
        <v>0</v>
      </c>
      <c r="K36" s="55">
        <f t="shared" si="0"/>
        <v>1</v>
      </c>
      <c r="L36" s="56">
        <f>IF($A36="","",SUMIFS('Equipment Index'!$F$2:$F$1513,'Equipment Index'!$G$2:$G$1513,$A36,'Equipment Index'!$C$2:$C$1513,"DISP"))</f>
        <v>0</v>
      </c>
      <c r="M36" s="57">
        <f>IF($A36="","",SUMIFS('Equipment Index'!$F$2:$F$1513,'Equipment Index'!$G$2:$G$1513,$A36,'Equipment Index'!$C$2:$C$1513,"MOD"))</f>
        <v>0</v>
      </c>
      <c r="N36" s="58" t="str">
        <f>IF($A36="","",IF(COUNTIFS('Equipment Index'!$G$2:$G$1513,$A36,'Equipment Index'!$H$2:$H$1513,"?*")=0,"","Customer-owned — "&amp;COUNTIFS('Equipment Index'!$G$2:$G$1513,$A36,'Equipment Index'!$H$2:$H$1513,"?*")&amp;" unit(s): "&amp;IFERROR(INDEX('Equipment Index'!$H$2:$H$1513,SUMPRODUCT(MATCH(1,('Equipment Index'!$G$2:$G$1513=$A36)*('Equipment Index'!$H$2:$H$1513&lt;&gt;""),0))),"")&amp;IF(COUNTIFS('Equipment Index'!$G$2:$G$1513,$A36,'Equipment Index'!$H$2:$H$1513,"?*")&gt;1," + see table below","")))</f>
        <v/>
      </c>
    </row>
    <row r="37" spans="1:14" ht="15" customHeight="1" x14ac:dyDescent="0.25">
      <c r="A37" s="52" t="str">
        <f>IFERROR(INDEX('Equipment Index'!$G$2:$G$1513,MATCH(ROW()-7,'Equipment Index'!$J$2:$J$1513,0)),"")</f>
        <v>Bunn TB3</v>
      </c>
      <c r="B37" s="53">
        <f>IF($A37="","",SUMIFS('Equipment Index'!$F$2:$F$1513,'Equipment Index'!$G$2:$G$1513,$A37,'Equipment Index'!$A$2:$A$1513,"Barn - Back Rack"))</f>
        <v>11</v>
      </c>
      <c r="C37" s="53">
        <f>IF($A37="","",SUMIFS('Equipment Index'!$F$2:$F$1513,'Equipment Index'!$G$2:$G$1513,$A37,'Equipment Index'!$A$2:$A$1513,"Barn - Front Rack"))</f>
        <v>8</v>
      </c>
      <c r="D37" s="53">
        <f>IF($A37="","",SUMIFS('Equipment Index'!$F$2:$F$1513,'Equipment Index'!$G$2:$G$1513,$A37,'Equipment Index'!$A$2:$A$1513,"Front Lobby"))</f>
        <v>0</v>
      </c>
      <c r="E37" s="53">
        <f>IF($A37="","",SUMIFS('Equipment Index'!$F$2:$F$1513,'Equipment Index'!$G$2:$G$1513,$A37,'Equipment Index'!$A$2:$A$1513,"Service Room"))</f>
        <v>0</v>
      </c>
      <c r="F37" s="53">
        <f>IF($A37="","",SUMIFS('Equipment Index'!$F$2:$F$1513,'Equipment Index'!$G$2:$G$1513,$A37,'Equipment Index'!$A$2:$A$1513,"Production"))</f>
        <v>0</v>
      </c>
      <c r="G37" s="53">
        <f>IF($A37="","",SUMIFS('Equipment Index'!$F$2:$F$1513,'Equipment Index'!$G$2:$G$1513,$A37,'Equipment Index'!$A$2:$A$1513,"Training Room"))</f>
        <v>0</v>
      </c>
      <c r="H37" s="54">
        <f>IF($A37="","",SUMIFS('Equipment Index'!$F$2:$F$1513,'Equipment Index'!$G$2:$G$1513,$A37,'Equipment Index'!$A$2:$A$1513,"Out of State"))</f>
        <v>0</v>
      </c>
      <c r="I37" s="53">
        <f>IF($A37="","",SUMIFS('Equipment Index'!$F$2:$F$1513,'Equipment Index'!$G$2:$G$1513,$A37,'Equipment Index'!$A$2:$A$1513,"San Antonio"))</f>
        <v>0</v>
      </c>
      <c r="J37" s="53">
        <f>IF($A37="","",SUMIFS('Equipment Index'!$F$2:$F$1513,'Equipment Index'!$G$2:$G$1513,$A37,'Equipment Index'!$A$2:$A$1513,"Dallas"))</f>
        <v>0</v>
      </c>
      <c r="K37" s="55">
        <f t="shared" si="0"/>
        <v>19</v>
      </c>
      <c r="L37" s="56">
        <f>IF($A37="","",SUMIFS('Equipment Index'!$F$2:$F$1513,'Equipment Index'!$G$2:$G$1513,$A37,'Equipment Index'!$C$2:$C$1513,"DISP"))</f>
        <v>0</v>
      </c>
      <c r="M37" s="57">
        <f>IF($A37="","",SUMIFS('Equipment Index'!$F$2:$F$1513,'Equipment Index'!$G$2:$G$1513,$A37,'Equipment Index'!$C$2:$C$1513,"MOD"))</f>
        <v>0</v>
      </c>
      <c r="N37" s="58" t="str">
        <f>IF($A37="","",IF(COUNTIFS('Equipment Index'!$G$2:$G$1513,$A37,'Equipment Index'!$H$2:$H$1513,"?*")=0,"","Customer-owned — "&amp;COUNTIFS('Equipment Index'!$G$2:$G$1513,$A37,'Equipment Index'!$H$2:$H$1513,"?*")&amp;" unit(s): "&amp;IFERROR(INDEX('Equipment Index'!$H$2:$H$1513,SUMPRODUCT(MATCH(1,('Equipment Index'!$G$2:$G$1513=$A37)*('Equipment Index'!$H$2:$H$1513&lt;&gt;""),0))),"")&amp;IF(COUNTIFS('Equipment Index'!$G$2:$G$1513,$A37,'Equipment Index'!$H$2:$H$1513,"?*")&gt;1," + see table below","")))</f>
        <v/>
      </c>
    </row>
    <row r="38" spans="1:14" ht="15" customHeight="1" x14ac:dyDescent="0.25">
      <c r="A38" s="52" t="str">
        <f>IFERROR(INDEX('Equipment Index'!$G$2:$G$1513,MATCH(ROW()-7,'Equipment Index'!$J$2:$J$1513,0)),"")</f>
        <v>Bunn TB3 Short</v>
      </c>
      <c r="B38" s="53">
        <f>IF($A38="","",SUMIFS('Equipment Index'!$F$2:$F$1513,'Equipment Index'!$G$2:$G$1513,$A38,'Equipment Index'!$A$2:$A$1513,"Barn - Back Rack"))</f>
        <v>0</v>
      </c>
      <c r="C38" s="53">
        <f>IF($A38="","",SUMIFS('Equipment Index'!$F$2:$F$1513,'Equipment Index'!$G$2:$G$1513,$A38,'Equipment Index'!$A$2:$A$1513,"Barn - Front Rack"))</f>
        <v>2</v>
      </c>
      <c r="D38" s="53">
        <f>IF($A38="","",SUMIFS('Equipment Index'!$F$2:$F$1513,'Equipment Index'!$G$2:$G$1513,$A38,'Equipment Index'!$A$2:$A$1513,"Front Lobby"))</f>
        <v>0</v>
      </c>
      <c r="E38" s="53">
        <f>IF($A38="","",SUMIFS('Equipment Index'!$F$2:$F$1513,'Equipment Index'!$G$2:$G$1513,$A38,'Equipment Index'!$A$2:$A$1513,"Service Room"))</f>
        <v>0</v>
      </c>
      <c r="F38" s="53">
        <f>IF($A38="","",SUMIFS('Equipment Index'!$F$2:$F$1513,'Equipment Index'!$G$2:$G$1513,$A38,'Equipment Index'!$A$2:$A$1513,"Production"))</f>
        <v>0</v>
      </c>
      <c r="G38" s="53">
        <f>IF($A38="","",SUMIFS('Equipment Index'!$F$2:$F$1513,'Equipment Index'!$G$2:$G$1513,$A38,'Equipment Index'!$A$2:$A$1513,"Training Room"))</f>
        <v>0</v>
      </c>
      <c r="H38" s="54">
        <f>IF($A38="","",SUMIFS('Equipment Index'!$F$2:$F$1513,'Equipment Index'!$G$2:$G$1513,$A38,'Equipment Index'!$A$2:$A$1513,"Out of State"))</f>
        <v>0</v>
      </c>
      <c r="I38" s="53">
        <f>IF($A38="","",SUMIFS('Equipment Index'!$F$2:$F$1513,'Equipment Index'!$G$2:$G$1513,$A38,'Equipment Index'!$A$2:$A$1513,"San Antonio"))</f>
        <v>0</v>
      </c>
      <c r="J38" s="53">
        <f>IF($A38="","",SUMIFS('Equipment Index'!$F$2:$F$1513,'Equipment Index'!$G$2:$G$1513,$A38,'Equipment Index'!$A$2:$A$1513,"Dallas"))</f>
        <v>0</v>
      </c>
      <c r="K38" s="55">
        <f t="shared" si="0"/>
        <v>2</v>
      </c>
      <c r="L38" s="56">
        <f>IF($A38="","",SUMIFS('Equipment Index'!$F$2:$F$1513,'Equipment Index'!$G$2:$G$1513,$A38,'Equipment Index'!$C$2:$C$1513,"DISP"))</f>
        <v>0</v>
      </c>
      <c r="M38" s="57">
        <f>IF($A38="","",SUMIFS('Equipment Index'!$F$2:$F$1513,'Equipment Index'!$G$2:$G$1513,$A38,'Equipment Index'!$C$2:$C$1513,"MOD"))</f>
        <v>0</v>
      </c>
      <c r="N38" s="58" t="str">
        <f>IF($A38="","",IF(COUNTIFS('Equipment Index'!$G$2:$G$1513,$A38,'Equipment Index'!$H$2:$H$1513,"?*")=0,"","Customer-owned — "&amp;COUNTIFS('Equipment Index'!$G$2:$G$1513,$A38,'Equipment Index'!$H$2:$H$1513,"?*")&amp;" unit(s): "&amp;IFERROR(INDEX('Equipment Index'!$H$2:$H$1513,SUMPRODUCT(MATCH(1,('Equipment Index'!$G$2:$G$1513=$A38)*('Equipment Index'!$H$2:$H$1513&lt;&gt;""),0))),"")&amp;IF(COUNTIFS('Equipment Index'!$G$2:$G$1513,$A38,'Equipment Index'!$H$2:$H$1513,"?*")&gt;1," + see table below","")))</f>
        <v/>
      </c>
    </row>
    <row r="39" spans="1:14" ht="15" customHeight="1" x14ac:dyDescent="0.25">
      <c r="A39" s="52" t="str">
        <f>IFERROR(INDEX('Equipment Index'!$G$2:$G$1513,MATCH(ROW()-7,'Equipment Index'!$J$2:$J$1513,0)),"")</f>
        <v>Bunn TDO3.5LP</v>
      </c>
      <c r="B39" s="53">
        <f>IF($A39="","",SUMIFS('Equipment Index'!$F$2:$F$1513,'Equipment Index'!$G$2:$G$1513,$A39,'Equipment Index'!$A$2:$A$1513,"Barn - Back Rack"))</f>
        <v>1</v>
      </c>
      <c r="C39" s="53">
        <f>IF($A39="","",SUMIFS('Equipment Index'!$F$2:$F$1513,'Equipment Index'!$G$2:$G$1513,$A39,'Equipment Index'!$A$2:$A$1513,"Barn - Front Rack"))</f>
        <v>0</v>
      </c>
      <c r="D39" s="53">
        <f>IF($A39="","",SUMIFS('Equipment Index'!$F$2:$F$1513,'Equipment Index'!$G$2:$G$1513,$A39,'Equipment Index'!$A$2:$A$1513,"Front Lobby"))</f>
        <v>0</v>
      </c>
      <c r="E39" s="53">
        <f>IF($A39="","",SUMIFS('Equipment Index'!$F$2:$F$1513,'Equipment Index'!$G$2:$G$1513,$A39,'Equipment Index'!$A$2:$A$1513,"Service Room"))</f>
        <v>0</v>
      </c>
      <c r="F39" s="53">
        <f>IF($A39="","",SUMIFS('Equipment Index'!$F$2:$F$1513,'Equipment Index'!$G$2:$G$1513,$A39,'Equipment Index'!$A$2:$A$1513,"Production"))</f>
        <v>0</v>
      </c>
      <c r="G39" s="53">
        <f>IF($A39="","",SUMIFS('Equipment Index'!$F$2:$F$1513,'Equipment Index'!$G$2:$G$1513,$A39,'Equipment Index'!$A$2:$A$1513,"Training Room"))</f>
        <v>0</v>
      </c>
      <c r="H39" s="54">
        <f>IF($A39="","",SUMIFS('Equipment Index'!$F$2:$F$1513,'Equipment Index'!$G$2:$G$1513,$A39,'Equipment Index'!$A$2:$A$1513,"Out of State"))</f>
        <v>0</v>
      </c>
      <c r="I39" s="53">
        <f>IF($A39="","",SUMIFS('Equipment Index'!$F$2:$F$1513,'Equipment Index'!$G$2:$G$1513,$A39,'Equipment Index'!$A$2:$A$1513,"San Antonio"))</f>
        <v>0</v>
      </c>
      <c r="J39" s="53">
        <f>IF($A39="","",SUMIFS('Equipment Index'!$F$2:$F$1513,'Equipment Index'!$G$2:$G$1513,$A39,'Equipment Index'!$A$2:$A$1513,"Dallas"))</f>
        <v>0</v>
      </c>
      <c r="K39" s="55">
        <f t="shared" si="0"/>
        <v>1</v>
      </c>
      <c r="L39" s="56">
        <f>IF($A39="","",SUMIFS('Equipment Index'!$F$2:$F$1513,'Equipment Index'!$G$2:$G$1513,$A39,'Equipment Index'!$C$2:$C$1513,"DISP"))</f>
        <v>1</v>
      </c>
      <c r="M39" s="57">
        <f>IF($A39="","",SUMIFS('Equipment Index'!$F$2:$F$1513,'Equipment Index'!$G$2:$G$1513,$A39,'Equipment Index'!$C$2:$C$1513,"MOD"))</f>
        <v>0</v>
      </c>
      <c r="N39" s="58" t="str">
        <f>IF($A39="","",IF(COUNTIFS('Equipment Index'!$G$2:$G$1513,$A39,'Equipment Index'!$H$2:$H$1513,"?*")=0,"","Customer-owned — "&amp;COUNTIFS('Equipment Index'!$G$2:$G$1513,$A39,'Equipment Index'!$H$2:$H$1513,"?*")&amp;" unit(s): "&amp;IFERROR(INDEX('Equipment Index'!$H$2:$H$1513,SUMPRODUCT(MATCH(1,('Equipment Index'!$G$2:$G$1513=$A39)*('Equipment Index'!$H$2:$H$1513&lt;&gt;""),0))),"")&amp;IF(COUNTIFS('Equipment Index'!$G$2:$G$1513,$A39,'Equipment Index'!$H$2:$H$1513,"?*")&gt;1," + see table below","")))</f>
        <v/>
      </c>
    </row>
    <row r="40" spans="1:14" ht="15" customHeight="1" x14ac:dyDescent="0.25">
      <c r="A40" s="52" t="str">
        <f>IFERROR(INDEX('Equipment Index'!$G$2:$G$1513,MATCH(ROW()-7,'Equipment Index'!$J$2:$J$1513,0)),"")</f>
        <v>Bunn TDO4</v>
      </c>
      <c r="B40" s="53">
        <f>IF($A40="","",SUMIFS('Equipment Index'!$F$2:$F$1513,'Equipment Index'!$G$2:$G$1513,$A40,'Equipment Index'!$A$2:$A$1513,"Barn - Back Rack"))</f>
        <v>6</v>
      </c>
      <c r="C40" s="53">
        <f>IF($A40="","",SUMIFS('Equipment Index'!$F$2:$F$1513,'Equipment Index'!$G$2:$G$1513,$A40,'Equipment Index'!$A$2:$A$1513,"Barn - Front Rack"))</f>
        <v>0</v>
      </c>
      <c r="D40" s="53">
        <f>IF($A40="","",SUMIFS('Equipment Index'!$F$2:$F$1513,'Equipment Index'!$G$2:$G$1513,$A40,'Equipment Index'!$A$2:$A$1513,"Front Lobby"))</f>
        <v>0</v>
      </c>
      <c r="E40" s="53">
        <f>IF($A40="","",SUMIFS('Equipment Index'!$F$2:$F$1513,'Equipment Index'!$G$2:$G$1513,$A40,'Equipment Index'!$A$2:$A$1513,"Service Room"))</f>
        <v>0</v>
      </c>
      <c r="F40" s="53">
        <f>IF($A40="","",SUMIFS('Equipment Index'!$F$2:$F$1513,'Equipment Index'!$G$2:$G$1513,$A40,'Equipment Index'!$A$2:$A$1513,"Production"))</f>
        <v>0</v>
      </c>
      <c r="G40" s="53">
        <f>IF($A40="","",SUMIFS('Equipment Index'!$F$2:$F$1513,'Equipment Index'!$G$2:$G$1513,$A40,'Equipment Index'!$A$2:$A$1513,"Training Room"))</f>
        <v>0</v>
      </c>
      <c r="H40" s="54">
        <f>IF($A40="","",SUMIFS('Equipment Index'!$F$2:$F$1513,'Equipment Index'!$G$2:$G$1513,$A40,'Equipment Index'!$A$2:$A$1513,"Out of State"))</f>
        <v>0</v>
      </c>
      <c r="I40" s="53">
        <f>IF($A40="","",SUMIFS('Equipment Index'!$F$2:$F$1513,'Equipment Index'!$G$2:$G$1513,$A40,'Equipment Index'!$A$2:$A$1513,"San Antonio"))</f>
        <v>0</v>
      </c>
      <c r="J40" s="53">
        <f>IF($A40="","",SUMIFS('Equipment Index'!$F$2:$F$1513,'Equipment Index'!$G$2:$G$1513,$A40,'Equipment Index'!$A$2:$A$1513,"Dallas"))</f>
        <v>0</v>
      </c>
      <c r="K40" s="55">
        <f t="shared" ref="K40:K71" si="1">IF($A40="","",SUM($B40:$J40))</f>
        <v>6</v>
      </c>
      <c r="L40" s="56">
        <f>IF($A40="","",SUMIFS('Equipment Index'!$F$2:$F$1513,'Equipment Index'!$G$2:$G$1513,$A40,'Equipment Index'!$C$2:$C$1513,"DISP"))</f>
        <v>6</v>
      </c>
      <c r="M40" s="57">
        <f>IF($A40="","",SUMIFS('Equipment Index'!$F$2:$F$1513,'Equipment Index'!$G$2:$G$1513,$A40,'Equipment Index'!$C$2:$C$1513,"MOD"))</f>
        <v>0</v>
      </c>
      <c r="N40" s="58" t="str">
        <f>IF($A40="","",IF(COUNTIFS('Equipment Index'!$G$2:$G$1513,$A40,'Equipment Index'!$H$2:$H$1513,"?*")=0,"","Customer-owned — "&amp;COUNTIFS('Equipment Index'!$G$2:$G$1513,$A40,'Equipment Index'!$H$2:$H$1513,"?*")&amp;" unit(s): "&amp;IFERROR(INDEX('Equipment Index'!$H$2:$H$1513,SUMPRODUCT(MATCH(1,('Equipment Index'!$G$2:$G$1513=$A40)*('Equipment Index'!$H$2:$H$1513&lt;&gt;""),0))),"")&amp;IF(COUNTIFS('Equipment Index'!$G$2:$G$1513,$A40,'Equipment Index'!$H$2:$H$1513,"?*")&gt;1," + see table below","")))</f>
        <v/>
      </c>
    </row>
    <row r="41" spans="1:14" ht="15" customHeight="1" x14ac:dyDescent="0.25">
      <c r="A41" s="52" t="str">
        <f>IFERROR(INDEX('Equipment Index'!$G$2:$G$1513,MATCH(ROW()-7,'Equipment Index'!$J$2:$J$1513,0)),"")</f>
        <v>Bunn TDO5</v>
      </c>
      <c r="B41" s="53">
        <f>IF($A41="","",SUMIFS('Equipment Index'!$F$2:$F$1513,'Equipment Index'!$G$2:$G$1513,$A41,'Equipment Index'!$A$2:$A$1513,"Barn - Back Rack"))</f>
        <v>3</v>
      </c>
      <c r="C41" s="53">
        <f>IF($A41="","",SUMIFS('Equipment Index'!$F$2:$F$1513,'Equipment Index'!$G$2:$G$1513,$A41,'Equipment Index'!$A$2:$A$1513,"Barn - Front Rack"))</f>
        <v>0</v>
      </c>
      <c r="D41" s="53">
        <f>IF($A41="","",SUMIFS('Equipment Index'!$F$2:$F$1513,'Equipment Index'!$G$2:$G$1513,$A41,'Equipment Index'!$A$2:$A$1513,"Front Lobby"))</f>
        <v>0</v>
      </c>
      <c r="E41" s="53">
        <f>IF($A41="","",SUMIFS('Equipment Index'!$F$2:$F$1513,'Equipment Index'!$G$2:$G$1513,$A41,'Equipment Index'!$A$2:$A$1513,"Service Room"))</f>
        <v>0</v>
      </c>
      <c r="F41" s="53">
        <f>IF($A41="","",SUMIFS('Equipment Index'!$F$2:$F$1513,'Equipment Index'!$G$2:$G$1513,$A41,'Equipment Index'!$A$2:$A$1513,"Production"))</f>
        <v>0</v>
      </c>
      <c r="G41" s="53">
        <f>IF($A41="","",SUMIFS('Equipment Index'!$F$2:$F$1513,'Equipment Index'!$G$2:$G$1513,$A41,'Equipment Index'!$A$2:$A$1513,"Training Room"))</f>
        <v>0</v>
      </c>
      <c r="H41" s="54">
        <f>IF($A41="","",SUMIFS('Equipment Index'!$F$2:$F$1513,'Equipment Index'!$G$2:$G$1513,$A41,'Equipment Index'!$A$2:$A$1513,"Out of State"))</f>
        <v>0</v>
      </c>
      <c r="I41" s="53">
        <f>IF($A41="","",SUMIFS('Equipment Index'!$F$2:$F$1513,'Equipment Index'!$G$2:$G$1513,$A41,'Equipment Index'!$A$2:$A$1513,"San Antonio"))</f>
        <v>0</v>
      </c>
      <c r="J41" s="53">
        <f>IF($A41="","",SUMIFS('Equipment Index'!$F$2:$F$1513,'Equipment Index'!$G$2:$G$1513,$A41,'Equipment Index'!$A$2:$A$1513,"Dallas"))</f>
        <v>0</v>
      </c>
      <c r="K41" s="55">
        <f t="shared" si="1"/>
        <v>3</v>
      </c>
      <c r="L41" s="56">
        <f>IF($A41="","",SUMIFS('Equipment Index'!$F$2:$F$1513,'Equipment Index'!$G$2:$G$1513,$A41,'Equipment Index'!$C$2:$C$1513,"DISP"))</f>
        <v>3</v>
      </c>
      <c r="M41" s="57">
        <f>IF($A41="","",SUMIFS('Equipment Index'!$F$2:$F$1513,'Equipment Index'!$G$2:$G$1513,$A41,'Equipment Index'!$C$2:$C$1513,"MOD"))</f>
        <v>0</v>
      </c>
      <c r="N41" s="58" t="str">
        <f>IF($A41="","",IF(COUNTIFS('Equipment Index'!$G$2:$G$1513,$A41,'Equipment Index'!$H$2:$H$1513,"?*")=0,"","Customer-owned — "&amp;COUNTIFS('Equipment Index'!$G$2:$G$1513,$A41,'Equipment Index'!$H$2:$H$1513,"?*")&amp;" unit(s): "&amp;IFERROR(INDEX('Equipment Index'!$H$2:$H$1513,SUMPRODUCT(MATCH(1,('Equipment Index'!$G$2:$G$1513=$A41)*('Equipment Index'!$H$2:$H$1513&lt;&gt;""),0))),"")&amp;IF(COUNTIFS('Equipment Index'!$G$2:$G$1513,$A41,'Equipment Index'!$H$2:$H$1513,"?*")&gt;1," + see table below","")))</f>
        <v/>
      </c>
    </row>
    <row r="42" spans="1:14" ht="15" customHeight="1" x14ac:dyDescent="0.25">
      <c r="A42" s="52" t="str">
        <f>IFERROR(INDEX('Equipment Index'!$G$2:$G$1513,MATCH(ROW()-7,'Equipment Index'!$J$2:$J$1513,0)),"")</f>
        <v>Bunn TDON3.5</v>
      </c>
      <c r="B42" s="53">
        <f>IF($A42="","",SUMIFS('Equipment Index'!$F$2:$F$1513,'Equipment Index'!$G$2:$G$1513,$A42,'Equipment Index'!$A$2:$A$1513,"Barn - Back Rack"))</f>
        <v>10</v>
      </c>
      <c r="C42" s="53">
        <f>IF($A42="","",SUMIFS('Equipment Index'!$F$2:$F$1513,'Equipment Index'!$G$2:$G$1513,$A42,'Equipment Index'!$A$2:$A$1513,"Barn - Front Rack"))</f>
        <v>0</v>
      </c>
      <c r="D42" s="53">
        <f>IF($A42="","",SUMIFS('Equipment Index'!$F$2:$F$1513,'Equipment Index'!$G$2:$G$1513,$A42,'Equipment Index'!$A$2:$A$1513,"Front Lobby"))</f>
        <v>0</v>
      </c>
      <c r="E42" s="53">
        <f>IF($A42="","",SUMIFS('Equipment Index'!$F$2:$F$1513,'Equipment Index'!$G$2:$G$1513,$A42,'Equipment Index'!$A$2:$A$1513,"Service Room"))</f>
        <v>0</v>
      </c>
      <c r="F42" s="53">
        <f>IF($A42="","",SUMIFS('Equipment Index'!$F$2:$F$1513,'Equipment Index'!$G$2:$G$1513,$A42,'Equipment Index'!$A$2:$A$1513,"Production"))</f>
        <v>0</v>
      </c>
      <c r="G42" s="53">
        <f>IF($A42="","",SUMIFS('Equipment Index'!$F$2:$F$1513,'Equipment Index'!$G$2:$G$1513,$A42,'Equipment Index'!$A$2:$A$1513,"Training Room"))</f>
        <v>0</v>
      </c>
      <c r="H42" s="54">
        <f>IF($A42="","",SUMIFS('Equipment Index'!$F$2:$F$1513,'Equipment Index'!$G$2:$G$1513,$A42,'Equipment Index'!$A$2:$A$1513,"Out of State"))</f>
        <v>0</v>
      </c>
      <c r="I42" s="53">
        <f>IF($A42="","",SUMIFS('Equipment Index'!$F$2:$F$1513,'Equipment Index'!$G$2:$G$1513,$A42,'Equipment Index'!$A$2:$A$1513,"San Antonio"))</f>
        <v>0</v>
      </c>
      <c r="J42" s="53">
        <f>IF($A42="","",SUMIFS('Equipment Index'!$F$2:$F$1513,'Equipment Index'!$G$2:$G$1513,$A42,'Equipment Index'!$A$2:$A$1513,"Dallas"))</f>
        <v>0</v>
      </c>
      <c r="K42" s="55">
        <f t="shared" si="1"/>
        <v>10</v>
      </c>
      <c r="L42" s="56">
        <f>IF($A42="","",SUMIFS('Equipment Index'!$F$2:$F$1513,'Equipment Index'!$G$2:$G$1513,$A42,'Equipment Index'!$C$2:$C$1513,"DISP"))</f>
        <v>10</v>
      </c>
      <c r="M42" s="57">
        <f>IF($A42="","",SUMIFS('Equipment Index'!$F$2:$F$1513,'Equipment Index'!$G$2:$G$1513,$A42,'Equipment Index'!$C$2:$C$1513,"MOD"))</f>
        <v>0</v>
      </c>
      <c r="N42" s="58" t="str">
        <f>IF($A42="","",IF(COUNTIFS('Equipment Index'!$G$2:$G$1513,$A42,'Equipment Index'!$H$2:$H$1513,"?*")=0,"","Customer-owned — "&amp;COUNTIFS('Equipment Index'!$G$2:$G$1513,$A42,'Equipment Index'!$H$2:$H$1513,"?*")&amp;" unit(s): "&amp;IFERROR(INDEX('Equipment Index'!$H$2:$H$1513,SUMPRODUCT(MATCH(1,('Equipment Index'!$G$2:$G$1513=$A42)*('Equipment Index'!$H$2:$H$1513&lt;&gt;""),0))),"")&amp;IF(COUNTIFS('Equipment Index'!$G$2:$G$1513,$A42,'Equipment Index'!$H$2:$H$1513,"?*")&gt;1," + see table below","")))</f>
        <v/>
      </c>
    </row>
    <row r="43" spans="1:14" ht="15" customHeight="1" x14ac:dyDescent="0.25">
      <c r="A43" s="52" t="str">
        <f>IFERROR(INDEX('Equipment Index'!$G$2:$G$1513,MATCH(ROW()-7,'Equipment Index'!$J$2:$J$1513,0)),"")</f>
        <v>DeJongDuke Virtu</v>
      </c>
      <c r="B43" s="53">
        <f>IF($A43="","",SUMIFS('Equipment Index'!$F$2:$F$1513,'Equipment Index'!$G$2:$G$1513,$A43,'Equipment Index'!$A$2:$A$1513,"Barn - Back Rack"))</f>
        <v>0</v>
      </c>
      <c r="C43" s="53">
        <f>IF($A43="","",SUMIFS('Equipment Index'!$F$2:$F$1513,'Equipment Index'!$G$2:$G$1513,$A43,'Equipment Index'!$A$2:$A$1513,"Barn - Front Rack"))</f>
        <v>1</v>
      </c>
      <c r="D43" s="53">
        <f>IF($A43="","",SUMIFS('Equipment Index'!$F$2:$F$1513,'Equipment Index'!$G$2:$G$1513,$A43,'Equipment Index'!$A$2:$A$1513,"Front Lobby"))</f>
        <v>0</v>
      </c>
      <c r="E43" s="53">
        <f>IF($A43="","",SUMIFS('Equipment Index'!$F$2:$F$1513,'Equipment Index'!$G$2:$G$1513,$A43,'Equipment Index'!$A$2:$A$1513,"Service Room"))</f>
        <v>0</v>
      </c>
      <c r="F43" s="53">
        <f>IF($A43="","",SUMIFS('Equipment Index'!$F$2:$F$1513,'Equipment Index'!$G$2:$G$1513,$A43,'Equipment Index'!$A$2:$A$1513,"Production"))</f>
        <v>0</v>
      </c>
      <c r="G43" s="53">
        <f>IF($A43="","",SUMIFS('Equipment Index'!$F$2:$F$1513,'Equipment Index'!$G$2:$G$1513,$A43,'Equipment Index'!$A$2:$A$1513,"Training Room"))</f>
        <v>0</v>
      </c>
      <c r="H43" s="54">
        <f>IF($A43="","",SUMIFS('Equipment Index'!$F$2:$F$1513,'Equipment Index'!$G$2:$G$1513,$A43,'Equipment Index'!$A$2:$A$1513,"Out of State"))</f>
        <v>0</v>
      </c>
      <c r="I43" s="53">
        <f>IF($A43="","",SUMIFS('Equipment Index'!$F$2:$F$1513,'Equipment Index'!$G$2:$G$1513,$A43,'Equipment Index'!$A$2:$A$1513,"San Antonio"))</f>
        <v>0</v>
      </c>
      <c r="J43" s="53">
        <f>IF($A43="","",SUMIFS('Equipment Index'!$F$2:$F$1513,'Equipment Index'!$G$2:$G$1513,$A43,'Equipment Index'!$A$2:$A$1513,"Dallas"))</f>
        <v>0</v>
      </c>
      <c r="K43" s="55">
        <f t="shared" si="1"/>
        <v>1</v>
      </c>
      <c r="L43" s="56">
        <f>IF($A43="","",SUMIFS('Equipment Index'!$F$2:$F$1513,'Equipment Index'!$G$2:$G$1513,$A43,'Equipment Index'!$C$2:$C$1513,"DISP"))</f>
        <v>0</v>
      </c>
      <c r="M43" s="57">
        <f>IF($A43="","",SUMIFS('Equipment Index'!$F$2:$F$1513,'Equipment Index'!$G$2:$G$1513,$A43,'Equipment Index'!$C$2:$C$1513,"MOD"))</f>
        <v>0</v>
      </c>
      <c r="N43" s="58" t="str">
        <f>IF($A43="","",IF(COUNTIFS('Equipment Index'!$G$2:$G$1513,$A43,'Equipment Index'!$H$2:$H$1513,"?*")=0,"","Customer-owned — "&amp;COUNTIFS('Equipment Index'!$G$2:$G$1513,$A43,'Equipment Index'!$H$2:$H$1513,"?*")&amp;" unit(s): "&amp;IFERROR(INDEX('Equipment Index'!$H$2:$H$1513,SUMPRODUCT(MATCH(1,('Equipment Index'!$G$2:$G$1513=$A43)*('Equipment Index'!$H$2:$H$1513&lt;&gt;""),0))),"")&amp;IF(COUNTIFS('Equipment Index'!$G$2:$G$1513,$A43,'Equipment Index'!$H$2:$H$1513,"?*")&gt;1," + see table below","")))</f>
        <v/>
      </c>
    </row>
    <row r="44" spans="1:14" ht="15" customHeight="1" x14ac:dyDescent="0.25">
      <c r="A44" s="52" t="str">
        <f>IFERROR(INDEX('Equipment Index'!$G$2:$G$1513,MATCH(ROW()-7,'Equipment Index'!$J$2:$J$1513,0)),"")</f>
        <v>Ditting KR1403</v>
      </c>
      <c r="B44" s="53">
        <f>IF($A44="","",SUMIFS('Equipment Index'!$F$2:$F$1513,'Equipment Index'!$G$2:$G$1513,$A44,'Equipment Index'!$A$2:$A$1513,"Barn - Back Rack"))</f>
        <v>0</v>
      </c>
      <c r="C44" s="53">
        <f>IF($A44="","",SUMIFS('Equipment Index'!$F$2:$F$1513,'Equipment Index'!$G$2:$G$1513,$A44,'Equipment Index'!$A$2:$A$1513,"Barn - Front Rack"))</f>
        <v>0</v>
      </c>
      <c r="D44" s="53">
        <f>IF($A44="","",SUMIFS('Equipment Index'!$F$2:$F$1513,'Equipment Index'!$G$2:$G$1513,$A44,'Equipment Index'!$A$2:$A$1513,"Front Lobby"))</f>
        <v>0</v>
      </c>
      <c r="E44" s="53">
        <f>IF($A44="","",SUMIFS('Equipment Index'!$F$2:$F$1513,'Equipment Index'!$G$2:$G$1513,$A44,'Equipment Index'!$A$2:$A$1513,"Service Room"))</f>
        <v>0</v>
      </c>
      <c r="F44" s="53">
        <f>IF($A44="","",SUMIFS('Equipment Index'!$F$2:$F$1513,'Equipment Index'!$G$2:$G$1513,$A44,'Equipment Index'!$A$2:$A$1513,"Production"))</f>
        <v>7</v>
      </c>
      <c r="G44" s="53">
        <f>IF($A44="","",SUMIFS('Equipment Index'!$F$2:$F$1513,'Equipment Index'!$G$2:$G$1513,$A44,'Equipment Index'!$A$2:$A$1513,"Training Room"))</f>
        <v>0</v>
      </c>
      <c r="H44" s="54">
        <f>IF($A44="","",SUMIFS('Equipment Index'!$F$2:$F$1513,'Equipment Index'!$G$2:$G$1513,$A44,'Equipment Index'!$A$2:$A$1513,"Out of State"))</f>
        <v>0</v>
      </c>
      <c r="I44" s="53">
        <f>IF($A44="","",SUMIFS('Equipment Index'!$F$2:$F$1513,'Equipment Index'!$G$2:$G$1513,$A44,'Equipment Index'!$A$2:$A$1513,"San Antonio"))</f>
        <v>0</v>
      </c>
      <c r="J44" s="53">
        <f>IF($A44="","",SUMIFS('Equipment Index'!$F$2:$F$1513,'Equipment Index'!$G$2:$G$1513,$A44,'Equipment Index'!$A$2:$A$1513,"Dallas"))</f>
        <v>0</v>
      </c>
      <c r="K44" s="55">
        <f t="shared" si="1"/>
        <v>7</v>
      </c>
      <c r="L44" s="56">
        <f>IF($A44="","",SUMIFS('Equipment Index'!$F$2:$F$1513,'Equipment Index'!$G$2:$G$1513,$A44,'Equipment Index'!$C$2:$C$1513,"DISP"))</f>
        <v>0</v>
      </c>
      <c r="M44" s="57">
        <f>IF($A44="","",SUMIFS('Equipment Index'!$F$2:$F$1513,'Equipment Index'!$G$2:$G$1513,$A44,'Equipment Index'!$C$2:$C$1513,"MOD"))</f>
        <v>0</v>
      </c>
      <c r="N44" s="58" t="str">
        <f>IF($A44="","",IF(COUNTIFS('Equipment Index'!$G$2:$G$1513,$A44,'Equipment Index'!$H$2:$H$1513,"?*")=0,"","Customer-owned — "&amp;COUNTIFS('Equipment Index'!$G$2:$G$1513,$A44,'Equipment Index'!$H$2:$H$1513,"?*")&amp;" unit(s): "&amp;IFERROR(INDEX('Equipment Index'!$H$2:$H$1513,SUMPRODUCT(MATCH(1,('Equipment Index'!$G$2:$G$1513=$A44)*('Equipment Index'!$H$2:$H$1513&lt;&gt;""),0))),"")&amp;IF(COUNTIFS('Equipment Index'!$G$2:$G$1513,$A44,'Equipment Index'!$H$2:$H$1513,"?*")&gt;1," + see table below","")))</f>
        <v/>
      </c>
    </row>
    <row r="45" spans="1:14" ht="15" customHeight="1" x14ac:dyDescent="0.25">
      <c r="A45" s="52" t="str">
        <f>IFERROR(INDEX('Equipment Index'!$G$2:$G$1513,MATCH(ROW()-7,'Equipment Index'!$J$2:$J$1513,0)),"")</f>
        <v>Eversys Cameo c'2m</v>
      </c>
      <c r="B45" s="53">
        <f>IF($A45="","",SUMIFS('Equipment Index'!$F$2:$F$1513,'Equipment Index'!$G$2:$G$1513,$A45,'Equipment Index'!$A$2:$A$1513,"Barn - Back Rack"))</f>
        <v>1</v>
      </c>
      <c r="C45" s="53">
        <f>IF($A45="","",SUMIFS('Equipment Index'!$F$2:$F$1513,'Equipment Index'!$G$2:$G$1513,$A45,'Equipment Index'!$A$2:$A$1513,"Barn - Front Rack"))</f>
        <v>0</v>
      </c>
      <c r="D45" s="53">
        <f>IF($A45="","",SUMIFS('Equipment Index'!$F$2:$F$1513,'Equipment Index'!$G$2:$G$1513,$A45,'Equipment Index'!$A$2:$A$1513,"Front Lobby"))</f>
        <v>0</v>
      </c>
      <c r="E45" s="53">
        <f>IF($A45="","",SUMIFS('Equipment Index'!$F$2:$F$1513,'Equipment Index'!$G$2:$G$1513,$A45,'Equipment Index'!$A$2:$A$1513,"Service Room"))</f>
        <v>0</v>
      </c>
      <c r="F45" s="53">
        <f>IF($A45="","",SUMIFS('Equipment Index'!$F$2:$F$1513,'Equipment Index'!$G$2:$G$1513,$A45,'Equipment Index'!$A$2:$A$1513,"Production"))</f>
        <v>0</v>
      </c>
      <c r="G45" s="53">
        <f>IF($A45="","",SUMIFS('Equipment Index'!$F$2:$F$1513,'Equipment Index'!$G$2:$G$1513,$A45,'Equipment Index'!$A$2:$A$1513,"Training Room"))</f>
        <v>0</v>
      </c>
      <c r="H45" s="54">
        <f>IF($A45="","",SUMIFS('Equipment Index'!$F$2:$F$1513,'Equipment Index'!$G$2:$G$1513,$A45,'Equipment Index'!$A$2:$A$1513,"Out of State"))</f>
        <v>0</v>
      </c>
      <c r="I45" s="53">
        <f>IF($A45="","",SUMIFS('Equipment Index'!$F$2:$F$1513,'Equipment Index'!$G$2:$G$1513,$A45,'Equipment Index'!$A$2:$A$1513,"San Antonio"))</f>
        <v>0</v>
      </c>
      <c r="J45" s="53">
        <f>IF($A45="","",SUMIFS('Equipment Index'!$F$2:$F$1513,'Equipment Index'!$G$2:$G$1513,$A45,'Equipment Index'!$A$2:$A$1513,"Dallas"))</f>
        <v>0</v>
      </c>
      <c r="K45" s="55">
        <f t="shared" si="1"/>
        <v>1</v>
      </c>
      <c r="L45" s="56">
        <f>IF($A45="","",SUMIFS('Equipment Index'!$F$2:$F$1513,'Equipment Index'!$G$2:$G$1513,$A45,'Equipment Index'!$C$2:$C$1513,"DISP"))</f>
        <v>0</v>
      </c>
      <c r="M45" s="57">
        <f>IF($A45="","",SUMIFS('Equipment Index'!$F$2:$F$1513,'Equipment Index'!$G$2:$G$1513,$A45,'Equipment Index'!$C$2:$C$1513,"MOD"))</f>
        <v>0</v>
      </c>
      <c r="N45" s="58" t="str">
        <f>IF($A45="","",IF(COUNTIFS('Equipment Index'!$G$2:$G$1513,$A45,'Equipment Index'!$H$2:$H$1513,"?*")=0,"","Customer-owned — "&amp;COUNTIFS('Equipment Index'!$G$2:$G$1513,$A45,'Equipment Index'!$H$2:$H$1513,"?*")&amp;" unit(s): "&amp;IFERROR(INDEX('Equipment Index'!$H$2:$H$1513,SUMPRODUCT(MATCH(1,('Equipment Index'!$G$2:$G$1513=$A45)*('Equipment Index'!$H$2:$H$1513&lt;&gt;""),0))),"")&amp;IF(COUNTIFS('Equipment Index'!$G$2:$G$1513,$A45,'Equipment Index'!$H$2:$H$1513,"?*")&gt;1," + see table below","")))</f>
        <v/>
      </c>
    </row>
    <row r="46" spans="1:14" ht="15" customHeight="1" x14ac:dyDescent="0.25">
      <c r="A46" s="52" t="str">
        <f>IFERROR(INDEX('Equipment Index'!$G$2:$G$1513,MATCH(ROW()-7,'Equipment Index'!$J$2:$J$1513,0)),"")</f>
        <v>Eversys Cameo c'2s</v>
      </c>
      <c r="B46" s="53">
        <f>IF($A46="","",SUMIFS('Equipment Index'!$F$2:$F$1513,'Equipment Index'!$G$2:$G$1513,$A46,'Equipment Index'!$A$2:$A$1513,"Barn - Back Rack"))</f>
        <v>2</v>
      </c>
      <c r="C46" s="53">
        <f>IF($A46="","",SUMIFS('Equipment Index'!$F$2:$F$1513,'Equipment Index'!$G$2:$G$1513,$A46,'Equipment Index'!$A$2:$A$1513,"Barn - Front Rack"))</f>
        <v>0</v>
      </c>
      <c r="D46" s="53">
        <f>IF($A46="","",SUMIFS('Equipment Index'!$F$2:$F$1513,'Equipment Index'!$G$2:$G$1513,$A46,'Equipment Index'!$A$2:$A$1513,"Front Lobby"))</f>
        <v>0</v>
      </c>
      <c r="E46" s="53">
        <f>IF($A46="","",SUMIFS('Equipment Index'!$F$2:$F$1513,'Equipment Index'!$G$2:$G$1513,$A46,'Equipment Index'!$A$2:$A$1513,"Service Room"))</f>
        <v>0</v>
      </c>
      <c r="F46" s="53">
        <f>IF($A46="","",SUMIFS('Equipment Index'!$F$2:$F$1513,'Equipment Index'!$G$2:$G$1513,$A46,'Equipment Index'!$A$2:$A$1513,"Production"))</f>
        <v>0</v>
      </c>
      <c r="G46" s="53">
        <f>IF($A46="","",SUMIFS('Equipment Index'!$F$2:$F$1513,'Equipment Index'!$G$2:$G$1513,$A46,'Equipment Index'!$A$2:$A$1513,"Training Room"))</f>
        <v>1</v>
      </c>
      <c r="H46" s="54">
        <f>IF($A46="","",SUMIFS('Equipment Index'!$F$2:$F$1513,'Equipment Index'!$G$2:$G$1513,$A46,'Equipment Index'!$A$2:$A$1513,"Out of State"))</f>
        <v>1</v>
      </c>
      <c r="I46" s="53">
        <f>IF($A46="","",SUMIFS('Equipment Index'!$F$2:$F$1513,'Equipment Index'!$G$2:$G$1513,$A46,'Equipment Index'!$A$2:$A$1513,"San Antonio"))</f>
        <v>1</v>
      </c>
      <c r="J46" s="53">
        <f>IF($A46="","",SUMIFS('Equipment Index'!$F$2:$F$1513,'Equipment Index'!$G$2:$G$1513,$A46,'Equipment Index'!$A$2:$A$1513,"Dallas"))</f>
        <v>0</v>
      </c>
      <c r="K46" s="55">
        <f t="shared" si="1"/>
        <v>5</v>
      </c>
      <c r="L46" s="56">
        <f>IF($A46="","",SUMIFS('Equipment Index'!$F$2:$F$1513,'Equipment Index'!$G$2:$G$1513,$A46,'Equipment Index'!$C$2:$C$1513,"DISP"))</f>
        <v>0</v>
      </c>
      <c r="M46" s="57">
        <f>IF($A46="","",SUMIFS('Equipment Index'!$F$2:$F$1513,'Equipment Index'!$G$2:$G$1513,$A46,'Equipment Index'!$C$2:$C$1513,"MOD"))</f>
        <v>0</v>
      </c>
      <c r="N46" s="58" t="str">
        <f>IF($A46="","",IF(COUNTIFS('Equipment Index'!$G$2:$G$1513,$A46,'Equipment Index'!$H$2:$H$1513,"?*")=0,"","Customer-owned — "&amp;COUNTIFS('Equipment Index'!$G$2:$G$1513,$A46,'Equipment Index'!$H$2:$H$1513,"?*")&amp;" unit(s): "&amp;IFERROR(INDEX('Equipment Index'!$H$2:$H$1513,SUMPRODUCT(MATCH(1,('Equipment Index'!$G$2:$G$1513=$A46)*('Equipment Index'!$H$2:$H$1513&lt;&gt;""),0))),"")&amp;IF(COUNTIFS('Equipment Index'!$G$2:$G$1513,$A46,'Equipment Index'!$H$2:$H$1513,"?*")&gt;1," + see table below","")))</f>
        <v>Customer-owned — 1 unit(s): Kol Fac</v>
      </c>
    </row>
    <row r="47" spans="1:14" ht="15" customHeight="1" x14ac:dyDescent="0.25">
      <c r="A47" s="52" t="str">
        <f>IFERROR(INDEX('Equipment Index'!$G$2:$G$1513,MATCH(ROW()-7,'Equipment Index'!$J$2:$J$1513,0)),"")</f>
        <v>Eversys c'Fridge Beside</v>
      </c>
      <c r="B47" s="53">
        <f>IF($A47="","",SUMIFS('Equipment Index'!$F$2:$F$1513,'Equipment Index'!$G$2:$G$1513,$A47,'Equipment Index'!$A$2:$A$1513,"Barn - Back Rack"))</f>
        <v>1</v>
      </c>
      <c r="C47" s="53">
        <f>IF($A47="","",SUMIFS('Equipment Index'!$F$2:$F$1513,'Equipment Index'!$G$2:$G$1513,$A47,'Equipment Index'!$A$2:$A$1513,"Barn - Front Rack"))</f>
        <v>0</v>
      </c>
      <c r="D47" s="53">
        <f>IF($A47="","",SUMIFS('Equipment Index'!$F$2:$F$1513,'Equipment Index'!$G$2:$G$1513,$A47,'Equipment Index'!$A$2:$A$1513,"Front Lobby"))</f>
        <v>0</v>
      </c>
      <c r="E47" s="53">
        <f>IF($A47="","",SUMIFS('Equipment Index'!$F$2:$F$1513,'Equipment Index'!$G$2:$G$1513,$A47,'Equipment Index'!$A$2:$A$1513,"Service Room"))</f>
        <v>0</v>
      </c>
      <c r="F47" s="53">
        <f>IF($A47="","",SUMIFS('Equipment Index'!$F$2:$F$1513,'Equipment Index'!$G$2:$G$1513,$A47,'Equipment Index'!$A$2:$A$1513,"Production"))</f>
        <v>0</v>
      </c>
      <c r="G47" s="53">
        <f>IF($A47="","",SUMIFS('Equipment Index'!$F$2:$F$1513,'Equipment Index'!$G$2:$G$1513,$A47,'Equipment Index'!$A$2:$A$1513,"Training Room"))</f>
        <v>0</v>
      </c>
      <c r="H47" s="54">
        <f>IF($A47="","",SUMIFS('Equipment Index'!$F$2:$F$1513,'Equipment Index'!$G$2:$G$1513,$A47,'Equipment Index'!$A$2:$A$1513,"Out of State"))</f>
        <v>0</v>
      </c>
      <c r="I47" s="53">
        <f>IF($A47="","",SUMIFS('Equipment Index'!$F$2:$F$1513,'Equipment Index'!$G$2:$G$1513,$A47,'Equipment Index'!$A$2:$A$1513,"San Antonio"))</f>
        <v>0</v>
      </c>
      <c r="J47" s="53">
        <f>IF($A47="","",SUMIFS('Equipment Index'!$F$2:$F$1513,'Equipment Index'!$G$2:$G$1513,$A47,'Equipment Index'!$A$2:$A$1513,"Dallas"))</f>
        <v>0</v>
      </c>
      <c r="K47" s="55">
        <f t="shared" si="1"/>
        <v>1</v>
      </c>
      <c r="L47" s="56">
        <f>IF($A47="","",SUMIFS('Equipment Index'!$F$2:$F$1513,'Equipment Index'!$G$2:$G$1513,$A47,'Equipment Index'!$C$2:$C$1513,"DISP"))</f>
        <v>0</v>
      </c>
      <c r="M47" s="57">
        <f>IF($A47="","",SUMIFS('Equipment Index'!$F$2:$F$1513,'Equipment Index'!$G$2:$G$1513,$A47,'Equipment Index'!$C$2:$C$1513,"MOD"))</f>
        <v>0</v>
      </c>
      <c r="N47" s="58" t="str">
        <f>IF($A47="","",IF(COUNTIFS('Equipment Index'!$G$2:$G$1513,$A47,'Equipment Index'!$H$2:$H$1513,"?*")=0,"","Customer-owned — "&amp;COUNTIFS('Equipment Index'!$G$2:$G$1513,$A47,'Equipment Index'!$H$2:$H$1513,"?*")&amp;" unit(s): "&amp;IFERROR(INDEX('Equipment Index'!$H$2:$H$1513,SUMPRODUCT(MATCH(1,('Equipment Index'!$G$2:$G$1513=$A47)*('Equipment Index'!$H$2:$H$1513&lt;&gt;""),0))),"")&amp;IF(COUNTIFS('Equipment Index'!$G$2:$G$1513,$A47,'Equipment Index'!$H$2:$H$1513,"?*")&gt;1," + see table below","")))</f>
        <v/>
      </c>
    </row>
    <row r="48" spans="1:14" ht="15" customHeight="1" x14ac:dyDescent="0.25">
      <c r="A48" s="52" t="str">
        <f>IFERROR(INDEX('Equipment Index'!$G$2:$G$1513,MATCH(ROW()-7,'Equipment Index'!$J$2:$J$1513,0)),"")</f>
        <v>Eversys e'4m</v>
      </c>
      <c r="B48" s="53">
        <f>IF($A48="","",SUMIFS('Equipment Index'!$F$2:$F$1513,'Equipment Index'!$G$2:$G$1513,$A48,'Equipment Index'!$A$2:$A$1513,"Barn - Back Rack"))</f>
        <v>1</v>
      </c>
      <c r="C48" s="53">
        <f>IF($A48="","",SUMIFS('Equipment Index'!$F$2:$F$1513,'Equipment Index'!$G$2:$G$1513,$A48,'Equipment Index'!$A$2:$A$1513,"Barn - Front Rack"))</f>
        <v>0</v>
      </c>
      <c r="D48" s="53">
        <f>IF($A48="","",SUMIFS('Equipment Index'!$F$2:$F$1513,'Equipment Index'!$G$2:$G$1513,$A48,'Equipment Index'!$A$2:$A$1513,"Front Lobby"))</f>
        <v>0</v>
      </c>
      <c r="E48" s="53">
        <f>IF($A48="","",SUMIFS('Equipment Index'!$F$2:$F$1513,'Equipment Index'!$G$2:$G$1513,$A48,'Equipment Index'!$A$2:$A$1513,"Service Room"))</f>
        <v>0</v>
      </c>
      <c r="F48" s="53">
        <f>IF($A48="","",SUMIFS('Equipment Index'!$F$2:$F$1513,'Equipment Index'!$G$2:$G$1513,$A48,'Equipment Index'!$A$2:$A$1513,"Production"))</f>
        <v>1</v>
      </c>
      <c r="G48" s="53">
        <f>IF($A48="","",SUMIFS('Equipment Index'!$F$2:$F$1513,'Equipment Index'!$G$2:$G$1513,$A48,'Equipment Index'!$A$2:$A$1513,"Training Room"))</f>
        <v>0</v>
      </c>
      <c r="H48" s="54">
        <f>IF($A48="","",SUMIFS('Equipment Index'!$F$2:$F$1513,'Equipment Index'!$G$2:$G$1513,$A48,'Equipment Index'!$A$2:$A$1513,"Out of State"))</f>
        <v>0</v>
      </c>
      <c r="I48" s="53">
        <f>IF($A48="","",SUMIFS('Equipment Index'!$F$2:$F$1513,'Equipment Index'!$G$2:$G$1513,$A48,'Equipment Index'!$A$2:$A$1513,"San Antonio"))</f>
        <v>0</v>
      </c>
      <c r="J48" s="53">
        <f>IF($A48="","",SUMIFS('Equipment Index'!$F$2:$F$1513,'Equipment Index'!$G$2:$G$1513,$A48,'Equipment Index'!$A$2:$A$1513,"Dallas"))</f>
        <v>0</v>
      </c>
      <c r="K48" s="55">
        <f t="shared" si="1"/>
        <v>2</v>
      </c>
      <c r="L48" s="56">
        <f>IF($A48="","",SUMIFS('Equipment Index'!$F$2:$F$1513,'Equipment Index'!$G$2:$G$1513,$A48,'Equipment Index'!$C$2:$C$1513,"DISP"))</f>
        <v>0</v>
      </c>
      <c r="M48" s="57">
        <f>IF($A48="","",SUMIFS('Equipment Index'!$F$2:$F$1513,'Equipment Index'!$G$2:$G$1513,$A48,'Equipment Index'!$C$2:$C$1513,"MOD"))</f>
        <v>0</v>
      </c>
      <c r="N48" s="58" t="str">
        <f>IF($A48="","",IF(COUNTIFS('Equipment Index'!$G$2:$G$1513,$A48,'Equipment Index'!$H$2:$H$1513,"?*")=0,"","Customer-owned — "&amp;COUNTIFS('Equipment Index'!$G$2:$G$1513,$A48,'Equipment Index'!$H$2:$H$1513,"?*")&amp;" unit(s): "&amp;IFERROR(INDEX('Equipment Index'!$H$2:$H$1513,SUMPRODUCT(MATCH(1,('Equipment Index'!$G$2:$G$1513=$A48)*('Equipment Index'!$H$2:$H$1513&lt;&gt;""),0))),"")&amp;IF(COUNTIFS('Equipment Index'!$G$2:$G$1513,$A48,'Equipment Index'!$H$2:$H$1513,"?*")&gt;1," + see table below","")))</f>
        <v/>
      </c>
    </row>
    <row r="49" spans="1:14" ht="15" customHeight="1" x14ac:dyDescent="0.25">
      <c r="A49" s="52" t="str">
        <f>IFERROR(INDEX('Equipment Index'!$G$2:$G$1513,MATCH(ROW()-7,'Equipment Index'!$J$2:$J$1513,0)),"")</f>
        <v>Eversys e'4s</v>
      </c>
      <c r="B49" s="53">
        <f>IF($A49="","",SUMIFS('Equipment Index'!$F$2:$F$1513,'Equipment Index'!$G$2:$G$1513,$A49,'Equipment Index'!$A$2:$A$1513,"Barn - Back Rack"))</f>
        <v>2</v>
      </c>
      <c r="C49" s="53">
        <f>IF($A49="","",SUMIFS('Equipment Index'!$F$2:$F$1513,'Equipment Index'!$G$2:$G$1513,$A49,'Equipment Index'!$A$2:$A$1513,"Barn - Front Rack"))</f>
        <v>0</v>
      </c>
      <c r="D49" s="53">
        <f>IF($A49="","",SUMIFS('Equipment Index'!$F$2:$F$1513,'Equipment Index'!$G$2:$G$1513,$A49,'Equipment Index'!$A$2:$A$1513,"Front Lobby"))</f>
        <v>0</v>
      </c>
      <c r="E49" s="53">
        <f>IF($A49="","",SUMIFS('Equipment Index'!$F$2:$F$1513,'Equipment Index'!$G$2:$G$1513,$A49,'Equipment Index'!$A$2:$A$1513,"Service Room"))</f>
        <v>0</v>
      </c>
      <c r="F49" s="53">
        <f>IF($A49="","",SUMIFS('Equipment Index'!$F$2:$F$1513,'Equipment Index'!$G$2:$G$1513,$A49,'Equipment Index'!$A$2:$A$1513,"Production"))</f>
        <v>0</v>
      </c>
      <c r="G49" s="53">
        <f>IF($A49="","",SUMIFS('Equipment Index'!$F$2:$F$1513,'Equipment Index'!$G$2:$G$1513,$A49,'Equipment Index'!$A$2:$A$1513,"Training Room"))</f>
        <v>1</v>
      </c>
      <c r="H49" s="54">
        <f>IF($A49="","",SUMIFS('Equipment Index'!$F$2:$F$1513,'Equipment Index'!$G$2:$G$1513,$A49,'Equipment Index'!$A$2:$A$1513,"Out of State"))</f>
        <v>0</v>
      </c>
      <c r="I49" s="53">
        <f>IF($A49="","",SUMIFS('Equipment Index'!$F$2:$F$1513,'Equipment Index'!$G$2:$G$1513,$A49,'Equipment Index'!$A$2:$A$1513,"San Antonio"))</f>
        <v>0</v>
      </c>
      <c r="J49" s="53">
        <f>IF($A49="","",SUMIFS('Equipment Index'!$F$2:$F$1513,'Equipment Index'!$G$2:$G$1513,$A49,'Equipment Index'!$A$2:$A$1513,"Dallas"))</f>
        <v>0</v>
      </c>
      <c r="K49" s="55">
        <f t="shared" si="1"/>
        <v>3</v>
      </c>
      <c r="L49" s="56">
        <f>IF($A49="","",SUMIFS('Equipment Index'!$F$2:$F$1513,'Equipment Index'!$G$2:$G$1513,$A49,'Equipment Index'!$C$2:$C$1513,"DISP"))</f>
        <v>0</v>
      </c>
      <c r="M49" s="57">
        <f>IF($A49="","",SUMIFS('Equipment Index'!$F$2:$F$1513,'Equipment Index'!$G$2:$G$1513,$A49,'Equipment Index'!$C$2:$C$1513,"MOD"))</f>
        <v>0</v>
      </c>
      <c r="N49" s="58" t="str">
        <f>IF($A49="","",IF(COUNTIFS('Equipment Index'!$G$2:$G$1513,$A49,'Equipment Index'!$H$2:$H$1513,"?*")=0,"","Customer-owned — "&amp;COUNTIFS('Equipment Index'!$G$2:$G$1513,$A49,'Equipment Index'!$H$2:$H$1513,"?*")&amp;" unit(s): "&amp;IFERROR(INDEX('Equipment Index'!$H$2:$H$1513,SUMPRODUCT(MATCH(1,('Equipment Index'!$G$2:$G$1513=$A49)*('Equipment Index'!$H$2:$H$1513&lt;&gt;""),0))),"")&amp;IF(COUNTIFS('Equipment Index'!$G$2:$G$1513,$A49,'Equipment Index'!$H$2:$H$1513,"?*")&gt;1," + see table below","")))</f>
        <v>Customer-owned — 2 unit(s): Vida + see table below</v>
      </c>
    </row>
    <row r="50" spans="1:14" ht="15" customHeight="1" x14ac:dyDescent="0.25">
      <c r="A50" s="52" t="str">
        <f>IFERROR(INDEX('Equipment Index'!$G$2:$G$1513,MATCH(ROW()-7,'Equipment Index'!$J$2:$J$1513,0)),"")</f>
        <v>Eversys e'4s ST X-Wide</v>
      </c>
      <c r="B50" s="53">
        <f>IF($A50="","",SUMIFS('Equipment Index'!$F$2:$F$1513,'Equipment Index'!$G$2:$G$1513,$A50,'Equipment Index'!$A$2:$A$1513,"Barn - Back Rack"))</f>
        <v>1</v>
      </c>
      <c r="C50" s="53">
        <f>IF($A50="","",SUMIFS('Equipment Index'!$F$2:$F$1513,'Equipment Index'!$G$2:$G$1513,$A50,'Equipment Index'!$A$2:$A$1513,"Barn - Front Rack"))</f>
        <v>0</v>
      </c>
      <c r="D50" s="53">
        <f>IF($A50="","",SUMIFS('Equipment Index'!$F$2:$F$1513,'Equipment Index'!$G$2:$G$1513,$A50,'Equipment Index'!$A$2:$A$1513,"Front Lobby"))</f>
        <v>0</v>
      </c>
      <c r="E50" s="53">
        <f>IF($A50="","",SUMIFS('Equipment Index'!$F$2:$F$1513,'Equipment Index'!$G$2:$G$1513,$A50,'Equipment Index'!$A$2:$A$1513,"Service Room"))</f>
        <v>1</v>
      </c>
      <c r="F50" s="53">
        <f>IF($A50="","",SUMIFS('Equipment Index'!$F$2:$F$1513,'Equipment Index'!$G$2:$G$1513,$A50,'Equipment Index'!$A$2:$A$1513,"Production"))</f>
        <v>0</v>
      </c>
      <c r="G50" s="53">
        <f>IF($A50="","",SUMIFS('Equipment Index'!$F$2:$F$1513,'Equipment Index'!$G$2:$G$1513,$A50,'Equipment Index'!$A$2:$A$1513,"Training Room"))</f>
        <v>0</v>
      </c>
      <c r="H50" s="54">
        <f>IF($A50="","",SUMIFS('Equipment Index'!$F$2:$F$1513,'Equipment Index'!$G$2:$G$1513,$A50,'Equipment Index'!$A$2:$A$1513,"Out of State"))</f>
        <v>0</v>
      </c>
      <c r="I50" s="53">
        <f>IF($A50="","",SUMIFS('Equipment Index'!$F$2:$F$1513,'Equipment Index'!$G$2:$G$1513,$A50,'Equipment Index'!$A$2:$A$1513,"San Antonio"))</f>
        <v>0</v>
      </c>
      <c r="J50" s="53">
        <f>IF($A50="","",SUMIFS('Equipment Index'!$F$2:$F$1513,'Equipment Index'!$G$2:$G$1513,$A50,'Equipment Index'!$A$2:$A$1513,"Dallas"))</f>
        <v>0</v>
      </c>
      <c r="K50" s="55">
        <f t="shared" si="1"/>
        <v>2</v>
      </c>
      <c r="L50" s="56">
        <f>IF($A50="","",SUMIFS('Equipment Index'!$F$2:$F$1513,'Equipment Index'!$G$2:$G$1513,$A50,'Equipment Index'!$C$2:$C$1513,"DISP"))</f>
        <v>0</v>
      </c>
      <c r="M50" s="57">
        <f>IF($A50="","",SUMIFS('Equipment Index'!$F$2:$F$1513,'Equipment Index'!$G$2:$G$1513,$A50,'Equipment Index'!$C$2:$C$1513,"MOD"))</f>
        <v>0</v>
      </c>
      <c r="N50" s="58" t="str">
        <f>IF($A50="","",IF(COUNTIFS('Equipment Index'!$G$2:$G$1513,$A50,'Equipment Index'!$H$2:$H$1513,"?*")=0,"","Customer-owned — "&amp;COUNTIFS('Equipment Index'!$G$2:$G$1513,$A50,'Equipment Index'!$H$2:$H$1513,"?*")&amp;" unit(s): "&amp;IFERROR(INDEX('Equipment Index'!$H$2:$H$1513,SUMPRODUCT(MATCH(1,('Equipment Index'!$G$2:$G$1513=$A50)*('Equipment Index'!$H$2:$H$1513&lt;&gt;""),0))),"")&amp;IF(COUNTIFS('Equipment Index'!$G$2:$G$1513,$A50,'Equipment Index'!$H$2:$H$1513,"?*")&gt;1," + see table below","")))</f>
        <v/>
      </c>
    </row>
    <row r="51" spans="1:14" ht="15" customHeight="1" x14ac:dyDescent="0.25">
      <c r="A51" s="52" t="str">
        <f>IFERROR(INDEX('Equipment Index'!$G$2:$G$1513,MATCH(ROW()-7,'Equipment Index'!$J$2:$J$1513,0)),"")</f>
        <v>Eversys Shotmaster CT</v>
      </c>
      <c r="B51" s="53">
        <f>IF($A51="","",SUMIFS('Equipment Index'!$F$2:$F$1513,'Equipment Index'!$G$2:$G$1513,$A51,'Equipment Index'!$A$2:$A$1513,"Barn - Back Rack"))</f>
        <v>0</v>
      </c>
      <c r="C51" s="53">
        <f>IF($A51="","",SUMIFS('Equipment Index'!$F$2:$F$1513,'Equipment Index'!$G$2:$G$1513,$A51,'Equipment Index'!$A$2:$A$1513,"Barn - Front Rack"))</f>
        <v>0</v>
      </c>
      <c r="D51" s="53">
        <f>IF($A51="","",SUMIFS('Equipment Index'!$F$2:$F$1513,'Equipment Index'!$G$2:$G$1513,$A51,'Equipment Index'!$A$2:$A$1513,"Front Lobby"))</f>
        <v>0</v>
      </c>
      <c r="E51" s="53">
        <f>IF($A51="","",SUMIFS('Equipment Index'!$F$2:$F$1513,'Equipment Index'!$G$2:$G$1513,$A51,'Equipment Index'!$A$2:$A$1513,"Service Room"))</f>
        <v>2</v>
      </c>
      <c r="F51" s="53">
        <f>IF($A51="","",SUMIFS('Equipment Index'!$F$2:$F$1513,'Equipment Index'!$G$2:$G$1513,$A51,'Equipment Index'!$A$2:$A$1513,"Production"))</f>
        <v>0</v>
      </c>
      <c r="G51" s="53">
        <f>IF($A51="","",SUMIFS('Equipment Index'!$F$2:$F$1513,'Equipment Index'!$G$2:$G$1513,$A51,'Equipment Index'!$A$2:$A$1513,"Training Room"))</f>
        <v>0</v>
      </c>
      <c r="H51" s="54">
        <f>IF($A51="","",SUMIFS('Equipment Index'!$F$2:$F$1513,'Equipment Index'!$G$2:$G$1513,$A51,'Equipment Index'!$A$2:$A$1513,"Out of State"))</f>
        <v>0</v>
      </c>
      <c r="I51" s="53">
        <f>IF($A51="","",SUMIFS('Equipment Index'!$F$2:$F$1513,'Equipment Index'!$G$2:$G$1513,$A51,'Equipment Index'!$A$2:$A$1513,"San Antonio"))</f>
        <v>0</v>
      </c>
      <c r="J51" s="53">
        <f>IF($A51="","",SUMIFS('Equipment Index'!$F$2:$F$1513,'Equipment Index'!$G$2:$G$1513,$A51,'Equipment Index'!$A$2:$A$1513,"Dallas"))</f>
        <v>0</v>
      </c>
      <c r="K51" s="55">
        <f t="shared" si="1"/>
        <v>2</v>
      </c>
      <c r="L51" s="56">
        <f>IF($A51="","",SUMIFS('Equipment Index'!$F$2:$F$1513,'Equipment Index'!$G$2:$G$1513,$A51,'Equipment Index'!$C$2:$C$1513,"DISP"))</f>
        <v>0</v>
      </c>
      <c r="M51" s="57">
        <f>IF($A51="","",SUMIFS('Equipment Index'!$F$2:$F$1513,'Equipment Index'!$G$2:$G$1513,$A51,'Equipment Index'!$C$2:$C$1513,"MOD"))</f>
        <v>0</v>
      </c>
      <c r="N51" s="58" t="str">
        <f>IF($A51="","",IF(COUNTIFS('Equipment Index'!$G$2:$G$1513,$A51,'Equipment Index'!$H$2:$H$1513,"?*")=0,"","Customer-owned — "&amp;COUNTIFS('Equipment Index'!$G$2:$G$1513,$A51,'Equipment Index'!$H$2:$H$1513,"?*")&amp;" unit(s): "&amp;IFERROR(INDEX('Equipment Index'!$H$2:$H$1513,SUMPRODUCT(MATCH(1,('Equipment Index'!$G$2:$G$1513=$A51)*('Equipment Index'!$H$2:$H$1513&lt;&gt;""),0))),"")&amp;IF(COUNTIFS('Equipment Index'!$G$2:$G$1513,$A51,'Equipment Index'!$H$2:$H$1513,"?*")&gt;1," + see table below","")))</f>
        <v/>
      </c>
    </row>
    <row r="52" spans="1:14" ht="15" customHeight="1" x14ac:dyDescent="0.25">
      <c r="A52" s="52" t="str">
        <f>IFERROR(INDEX('Equipment Index'!$G$2:$G$1513,MATCH(ROW()-7,'Equipment Index'!$J$2:$J$1513,0)),"")</f>
        <v>Eversys Shotmaster S/Pro</v>
      </c>
      <c r="B52" s="53">
        <f>IF($A52="","",SUMIFS('Equipment Index'!$F$2:$F$1513,'Equipment Index'!$G$2:$G$1513,$A52,'Equipment Index'!$A$2:$A$1513,"Barn - Back Rack"))</f>
        <v>0</v>
      </c>
      <c r="C52" s="53">
        <f>IF($A52="","",SUMIFS('Equipment Index'!$F$2:$F$1513,'Equipment Index'!$G$2:$G$1513,$A52,'Equipment Index'!$A$2:$A$1513,"Barn - Front Rack"))</f>
        <v>0</v>
      </c>
      <c r="D52" s="53">
        <f>IF($A52="","",SUMIFS('Equipment Index'!$F$2:$F$1513,'Equipment Index'!$G$2:$G$1513,$A52,'Equipment Index'!$A$2:$A$1513,"Front Lobby"))</f>
        <v>0</v>
      </c>
      <c r="E52" s="53">
        <f>IF($A52="","",SUMIFS('Equipment Index'!$F$2:$F$1513,'Equipment Index'!$G$2:$G$1513,$A52,'Equipment Index'!$A$2:$A$1513,"Service Room"))</f>
        <v>0</v>
      </c>
      <c r="F52" s="53">
        <f>IF($A52="","",SUMIFS('Equipment Index'!$F$2:$F$1513,'Equipment Index'!$G$2:$G$1513,$A52,'Equipment Index'!$A$2:$A$1513,"Production"))</f>
        <v>1</v>
      </c>
      <c r="G52" s="53">
        <f>IF($A52="","",SUMIFS('Equipment Index'!$F$2:$F$1513,'Equipment Index'!$G$2:$G$1513,$A52,'Equipment Index'!$A$2:$A$1513,"Training Room"))</f>
        <v>0</v>
      </c>
      <c r="H52" s="54">
        <f>IF($A52="","",SUMIFS('Equipment Index'!$F$2:$F$1513,'Equipment Index'!$G$2:$G$1513,$A52,'Equipment Index'!$A$2:$A$1513,"Out of State"))</f>
        <v>0</v>
      </c>
      <c r="I52" s="53">
        <f>IF($A52="","",SUMIFS('Equipment Index'!$F$2:$F$1513,'Equipment Index'!$G$2:$G$1513,$A52,'Equipment Index'!$A$2:$A$1513,"San Antonio"))</f>
        <v>0</v>
      </c>
      <c r="J52" s="53">
        <f>IF($A52="","",SUMIFS('Equipment Index'!$F$2:$F$1513,'Equipment Index'!$G$2:$G$1513,$A52,'Equipment Index'!$A$2:$A$1513,"Dallas"))</f>
        <v>0</v>
      </c>
      <c r="K52" s="55">
        <f t="shared" si="1"/>
        <v>1</v>
      </c>
      <c r="L52" s="56">
        <f>IF($A52="","",SUMIFS('Equipment Index'!$F$2:$F$1513,'Equipment Index'!$G$2:$G$1513,$A52,'Equipment Index'!$C$2:$C$1513,"DISP"))</f>
        <v>0</v>
      </c>
      <c r="M52" s="57">
        <f>IF($A52="","",SUMIFS('Equipment Index'!$F$2:$F$1513,'Equipment Index'!$G$2:$G$1513,$A52,'Equipment Index'!$C$2:$C$1513,"MOD"))</f>
        <v>0</v>
      </c>
      <c r="N52" s="58" t="str">
        <f>IF($A52="","",IF(COUNTIFS('Equipment Index'!$G$2:$G$1513,$A52,'Equipment Index'!$H$2:$H$1513,"?*")=0,"","Customer-owned — "&amp;COUNTIFS('Equipment Index'!$G$2:$G$1513,$A52,'Equipment Index'!$H$2:$H$1513,"?*")&amp;" unit(s): "&amp;IFERROR(INDEX('Equipment Index'!$H$2:$H$1513,SUMPRODUCT(MATCH(1,('Equipment Index'!$G$2:$G$1513=$A52)*('Equipment Index'!$H$2:$H$1513&lt;&gt;""),0))),"")&amp;IF(COUNTIFS('Equipment Index'!$G$2:$G$1513,$A52,'Equipment Index'!$H$2:$H$1513,"?*")&gt;1," + see table below","")))</f>
        <v/>
      </c>
    </row>
    <row r="53" spans="1:14" ht="15" customHeight="1" x14ac:dyDescent="0.25">
      <c r="A53" s="52" t="str">
        <f>IFERROR(INDEX('Equipment Index'!$G$2:$G$1513,MATCH(ROW()-7,'Equipment Index'!$J$2:$J$1513,0)),"")</f>
        <v>Faema E61 Jubile A/1</v>
      </c>
      <c r="B53" s="53">
        <f>IF($A53="","",SUMIFS('Equipment Index'!$F$2:$F$1513,'Equipment Index'!$G$2:$G$1513,$A53,'Equipment Index'!$A$2:$A$1513,"Barn - Back Rack"))</f>
        <v>0</v>
      </c>
      <c r="C53" s="53">
        <f>IF($A53="","",SUMIFS('Equipment Index'!$F$2:$F$1513,'Equipment Index'!$G$2:$G$1513,$A53,'Equipment Index'!$A$2:$A$1513,"Barn - Front Rack"))</f>
        <v>1</v>
      </c>
      <c r="D53" s="53">
        <f>IF($A53="","",SUMIFS('Equipment Index'!$F$2:$F$1513,'Equipment Index'!$G$2:$G$1513,$A53,'Equipment Index'!$A$2:$A$1513,"Front Lobby"))</f>
        <v>0</v>
      </c>
      <c r="E53" s="53">
        <f>IF($A53="","",SUMIFS('Equipment Index'!$F$2:$F$1513,'Equipment Index'!$G$2:$G$1513,$A53,'Equipment Index'!$A$2:$A$1513,"Service Room"))</f>
        <v>0</v>
      </c>
      <c r="F53" s="53">
        <f>IF($A53="","",SUMIFS('Equipment Index'!$F$2:$F$1513,'Equipment Index'!$G$2:$G$1513,$A53,'Equipment Index'!$A$2:$A$1513,"Production"))</f>
        <v>0</v>
      </c>
      <c r="G53" s="53">
        <f>IF($A53="","",SUMIFS('Equipment Index'!$F$2:$F$1513,'Equipment Index'!$G$2:$G$1513,$A53,'Equipment Index'!$A$2:$A$1513,"Training Room"))</f>
        <v>0</v>
      </c>
      <c r="H53" s="54">
        <f>IF($A53="","",SUMIFS('Equipment Index'!$F$2:$F$1513,'Equipment Index'!$G$2:$G$1513,$A53,'Equipment Index'!$A$2:$A$1513,"Out of State"))</f>
        <v>0</v>
      </c>
      <c r="I53" s="53">
        <f>IF($A53="","",SUMIFS('Equipment Index'!$F$2:$F$1513,'Equipment Index'!$G$2:$G$1513,$A53,'Equipment Index'!$A$2:$A$1513,"San Antonio"))</f>
        <v>0</v>
      </c>
      <c r="J53" s="53">
        <f>IF($A53="","",SUMIFS('Equipment Index'!$F$2:$F$1513,'Equipment Index'!$G$2:$G$1513,$A53,'Equipment Index'!$A$2:$A$1513,"Dallas"))</f>
        <v>0</v>
      </c>
      <c r="K53" s="55">
        <f t="shared" si="1"/>
        <v>1</v>
      </c>
      <c r="L53" s="56">
        <f>IF($A53="","",SUMIFS('Equipment Index'!$F$2:$F$1513,'Equipment Index'!$G$2:$G$1513,$A53,'Equipment Index'!$C$2:$C$1513,"DISP"))</f>
        <v>0</v>
      </c>
      <c r="M53" s="57">
        <f>IF($A53="","",SUMIFS('Equipment Index'!$F$2:$F$1513,'Equipment Index'!$G$2:$G$1513,$A53,'Equipment Index'!$C$2:$C$1513,"MOD"))</f>
        <v>0</v>
      </c>
      <c r="N53" s="58" t="str">
        <f>IF($A53="","",IF(COUNTIFS('Equipment Index'!$G$2:$G$1513,$A53,'Equipment Index'!$H$2:$H$1513,"?*")=0,"","Customer-owned — "&amp;COUNTIFS('Equipment Index'!$G$2:$G$1513,$A53,'Equipment Index'!$H$2:$H$1513,"?*")&amp;" unit(s): "&amp;IFERROR(INDEX('Equipment Index'!$H$2:$H$1513,SUMPRODUCT(MATCH(1,('Equipment Index'!$G$2:$G$1513=$A53)*('Equipment Index'!$H$2:$H$1513&lt;&gt;""),0))),"")&amp;IF(COUNTIFS('Equipment Index'!$G$2:$G$1513,$A53,'Equipment Index'!$H$2:$H$1513,"?*")&gt;1," + see table below","")))</f>
        <v/>
      </c>
    </row>
    <row r="54" spans="1:14" ht="15" customHeight="1" x14ac:dyDescent="0.25">
      <c r="A54" s="52" t="str">
        <f>IFERROR(INDEX('Equipment Index'!$G$2:$G$1513,MATCH(ROW()-7,'Equipment Index'!$J$2:$J$1513,0)),"")</f>
        <v>Faema E61 Legend S/2</v>
      </c>
      <c r="B54" s="53">
        <f>IF($A54="","",SUMIFS('Equipment Index'!$F$2:$F$1513,'Equipment Index'!$G$2:$G$1513,$A54,'Equipment Index'!$A$2:$A$1513,"Barn - Back Rack"))</f>
        <v>0</v>
      </c>
      <c r="C54" s="53">
        <f>IF($A54="","",SUMIFS('Equipment Index'!$F$2:$F$1513,'Equipment Index'!$G$2:$G$1513,$A54,'Equipment Index'!$A$2:$A$1513,"Barn - Front Rack"))</f>
        <v>0</v>
      </c>
      <c r="D54" s="53">
        <f>IF($A54="","",SUMIFS('Equipment Index'!$F$2:$F$1513,'Equipment Index'!$G$2:$G$1513,$A54,'Equipment Index'!$A$2:$A$1513,"Front Lobby"))</f>
        <v>0</v>
      </c>
      <c r="E54" s="53">
        <f>IF($A54="","",SUMIFS('Equipment Index'!$F$2:$F$1513,'Equipment Index'!$G$2:$G$1513,$A54,'Equipment Index'!$A$2:$A$1513,"Service Room"))</f>
        <v>0</v>
      </c>
      <c r="F54" s="53">
        <f>IF($A54="","",SUMIFS('Equipment Index'!$F$2:$F$1513,'Equipment Index'!$G$2:$G$1513,$A54,'Equipment Index'!$A$2:$A$1513,"Production"))</f>
        <v>0</v>
      </c>
      <c r="G54" s="53">
        <f>IF($A54="","",SUMIFS('Equipment Index'!$F$2:$F$1513,'Equipment Index'!$G$2:$G$1513,$A54,'Equipment Index'!$A$2:$A$1513,"Training Room"))</f>
        <v>1</v>
      </c>
      <c r="H54" s="54">
        <f>IF($A54="","",SUMIFS('Equipment Index'!$F$2:$F$1513,'Equipment Index'!$G$2:$G$1513,$A54,'Equipment Index'!$A$2:$A$1513,"Out of State"))</f>
        <v>0</v>
      </c>
      <c r="I54" s="53">
        <f>IF($A54="","",SUMIFS('Equipment Index'!$F$2:$F$1513,'Equipment Index'!$G$2:$G$1513,$A54,'Equipment Index'!$A$2:$A$1513,"San Antonio"))</f>
        <v>0</v>
      </c>
      <c r="J54" s="53">
        <f>IF($A54="","",SUMIFS('Equipment Index'!$F$2:$F$1513,'Equipment Index'!$G$2:$G$1513,$A54,'Equipment Index'!$A$2:$A$1513,"Dallas"))</f>
        <v>0</v>
      </c>
      <c r="K54" s="55">
        <f t="shared" si="1"/>
        <v>1</v>
      </c>
      <c r="L54" s="56">
        <f>IF($A54="","",SUMIFS('Equipment Index'!$F$2:$F$1513,'Equipment Index'!$G$2:$G$1513,$A54,'Equipment Index'!$C$2:$C$1513,"DISP"))</f>
        <v>0</v>
      </c>
      <c r="M54" s="57">
        <f>IF($A54="","",SUMIFS('Equipment Index'!$F$2:$F$1513,'Equipment Index'!$G$2:$G$1513,$A54,'Equipment Index'!$C$2:$C$1513,"MOD"))</f>
        <v>0</v>
      </c>
      <c r="N54" s="58" t="str">
        <f>IF($A54="","",IF(COUNTIFS('Equipment Index'!$G$2:$G$1513,$A54,'Equipment Index'!$H$2:$H$1513,"?*")=0,"","Customer-owned — "&amp;COUNTIFS('Equipment Index'!$G$2:$G$1513,$A54,'Equipment Index'!$H$2:$H$1513,"?*")&amp;" unit(s): "&amp;IFERROR(INDEX('Equipment Index'!$H$2:$H$1513,SUMPRODUCT(MATCH(1,('Equipment Index'!$G$2:$G$1513=$A54)*('Equipment Index'!$H$2:$H$1513&lt;&gt;""),0))),"")&amp;IF(COUNTIFS('Equipment Index'!$G$2:$G$1513,$A54,'Equipment Index'!$H$2:$H$1513,"?*")&gt;1," + see table below","")))</f>
        <v/>
      </c>
    </row>
    <row r="55" spans="1:14" ht="15" customHeight="1" x14ac:dyDescent="0.25">
      <c r="A55" s="52" t="str">
        <f>IFERROR(INDEX('Equipment Index'!$G$2:$G$1513,MATCH(ROW()-7,'Equipment Index'!$J$2:$J$1513,0)),"")</f>
        <v>FCC 2L Carafes</v>
      </c>
      <c r="B55" s="53">
        <f>IF($A55="","",SUMIFS('Equipment Index'!$F$2:$F$1513,'Equipment Index'!$G$2:$G$1513,$A55,'Equipment Index'!$A$2:$A$1513,"Barn - Back Rack"))</f>
        <v>26</v>
      </c>
      <c r="C55" s="53">
        <f>IF($A55="","",SUMIFS('Equipment Index'!$F$2:$F$1513,'Equipment Index'!$G$2:$G$1513,$A55,'Equipment Index'!$A$2:$A$1513,"Barn - Front Rack"))</f>
        <v>0</v>
      </c>
      <c r="D55" s="53">
        <f>IF($A55="","",SUMIFS('Equipment Index'!$F$2:$F$1513,'Equipment Index'!$G$2:$G$1513,$A55,'Equipment Index'!$A$2:$A$1513,"Front Lobby"))</f>
        <v>0</v>
      </c>
      <c r="E55" s="53">
        <f>IF($A55="","",SUMIFS('Equipment Index'!$F$2:$F$1513,'Equipment Index'!$G$2:$G$1513,$A55,'Equipment Index'!$A$2:$A$1513,"Service Room"))</f>
        <v>0</v>
      </c>
      <c r="F55" s="53">
        <f>IF($A55="","",SUMIFS('Equipment Index'!$F$2:$F$1513,'Equipment Index'!$G$2:$G$1513,$A55,'Equipment Index'!$A$2:$A$1513,"Production"))</f>
        <v>0</v>
      </c>
      <c r="G55" s="53">
        <f>IF($A55="","",SUMIFS('Equipment Index'!$F$2:$F$1513,'Equipment Index'!$G$2:$G$1513,$A55,'Equipment Index'!$A$2:$A$1513,"Training Room"))</f>
        <v>0</v>
      </c>
      <c r="H55" s="54">
        <f>IF($A55="","",SUMIFS('Equipment Index'!$F$2:$F$1513,'Equipment Index'!$G$2:$G$1513,$A55,'Equipment Index'!$A$2:$A$1513,"Out of State"))</f>
        <v>0</v>
      </c>
      <c r="I55" s="53">
        <f>IF($A55="","",SUMIFS('Equipment Index'!$F$2:$F$1513,'Equipment Index'!$G$2:$G$1513,$A55,'Equipment Index'!$A$2:$A$1513,"San Antonio"))</f>
        <v>0</v>
      </c>
      <c r="J55" s="53">
        <f>IF($A55="","",SUMIFS('Equipment Index'!$F$2:$F$1513,'Equipment Index'!$G$2:$G$1513,$A55,'Equipment Index'!$A$2:$A$1513,"Dallas"))</f>
        <v>0</v>
      </c>
      <c r="K55" s="55">
        <f t="shared" si="1"/>
        <v>26</v>
      </c>
      <c r="L55" s="56">
        <f>IF($A55="","",SUMIFS('Equipment Index'!$F$2:$F$1513,'Equipment Index'!$G$2:$G$1513,$A55,'Equipment Index'!$C$2:$C$1513,"DISP"))</f>
        <v>26</v>
      </c>
      <c r="M55" s="57">
        <f>IF($A55="","",SUMIFS('Equipment Index'!$F$2:$F$1513,'Equipment Index'!$G$2:$G$1513,$A55,'Equipment Index'!$C$2:$C$1513,"MOD"))</f>
        <v>0</v>
      </c>
      <c r="N55" s="58" t="str">
        <f>IF($A55="","",IF(COUNTIFS('Equipment Index'!$G$2:$G$1513,$A55,'Equipment Index'!$H$2:$H$1513,"?*")=0,"","Customer-owned — "&amp;COUNTIFS('Equipment Index'!$G$2:$G$1513,$A55,'Equipment Index'!$H$2:$H$1513,"?*")&amp;" unit(s): "&amp;IFERROR(INDEX('Equipment Index'!$H$2:$H$1513,SUMPRODUCT(MATCH(1,('Equipment Index'!$G$2:$G$1513=$A55)*('Equipment Index'!$H$2:$H$1513&lt;&gt;""),0))),"")&amp;IF(COUNTIFS('Equipment Index'!$G$2:$G$1513,$A55,'Equipment Index'!$H$2:$H$1513,"?*")&gt;1," + see table below","")))</f>
        <v/>
      </c>
    </row>
    <row r="56" spans="1:14" ht="15" customHeight="1" x14ac:dyDescent="0.25">
      <c r="A56" s="52" t="str">
        <f>IFERROR(INDEX('Equipment Index'!$G$2:$G$1513,MATCH(ROW()-7,'Equipment Index'!$J$2:$J$1513,0)),"")</f>
        <v>Fetco 1132 V+</v>
      </c>
      <c r="B56" s="53">
        <f>IF($A56="","",SUMIFS('Equipment Index'!$F$2:$F$1513,'Equipment Index'!$G$2:$G$1513,$A56,'Equipment Index'!$A$2:$A$1513,"Barn - Back Rack"))</f>
        <v>0</v>
      </c>
      <c r="C56" s="53">
        <f>IF($A56="","",SUMIFS('Equipment Index'!$F$2:$F$1513,'Equipment Index'!$G$2:$G$1513,$A56,'Equipment Index'!$A$2:$A$1513,"Barn - Front Rack"))</f>
        <v>1</v>
      </c>
      <c r="D56" s="53">
        <f>IF($A56="","",SUMIFS('Equipment Index'!$F$2:$F$1513,'Equipment Index'!$G$2:$G$1513,$A56,'Equipment Index'!$A$2:$A$1513,"Front Lobby"))</f>
        <v>0</v>
      </c>
      <c r="E56" s="53">
        <f>IF($A56="","",SUMIFS('Equipment Index'!$F$2:$F$1513,'Equipment Index'!$G$2:$G$1513,$A56,'Equipment Index'!$A$2:$A$1513,"Service Room"))</f>
        <v>0</v>
      </c>
      <c r="F56" s="53">
        <f>IF($A56="","",SUMIFS('Equipment Index'!$F$2:$F$1513,'Equipment Index'!$G$2:$G$1513,$A56,'Equipment Index'!$A$2:$A$1513,"Production"))</f>
        <v>0</v>
      </c>
      <c r="G56" s="53">
        <f>IF($A56="","",SUMIFS('Equipment Index'!$F$2:$F$1513,'Equipment Index'!$G$2:$G$1513,$A56,'Equipment Index'!$A$2:$A$1513,"Training Room"))</f>
        <v>0</v>
      </c>
      <c r="H56" s="54">
        <f>IF($A56="","",SUMIFS('Equipment Index'!$F$2:$F$1513,'Equipment Index'!$G$2:$G$1513,$A56,'Equipment Index'!$A$2:$A$1513,"Out of State"))</f>
        <v>0</v>
      </c>
      <c r="I56" s="53">
        <f>IF($A56="","",SUMIFS('Equipment Index'!$F$2:$F$1513,'Equipment Index'!$G$2:$G$1513,$A56,'Equipment Index'!$A$2:$A$1513,"San Antonio"))</f>
        <v>0</v>
      </c>
      <c r="J56" s="53">
        <f>IF($A56="","",SUMIFS('Equipment Index'!$F$2:$F$1513,'Equipment Index'!$G$2:$G$1513,$A56,'Equipment Index'!$A$2:$A$1513,"Dallas"))</f>
        <v>0</v>
      </c>
      <c r="K56" s="55">
        <f t="shared" si="1"/>
        <v>1</v>
      </c>
      <c r="L56" s="56">
        <f>IF($A56="","",SUMIFS('Equipment Index'!$F$2:$F$1513,'Equipment Index'!$G$2:$G$1513,$A56,'Equipment Index'!$C$2:$C$1513,"DISP"))</f>
        <v>0</v>
      </c>
      <c r="M56" s="57">
        <f>IF($A56="","",SUMIFS('Equipment Index'!$F$2:$F$1513,'Equipment Index'!$G$2:$G$1513,$A56,'Equipment Index'!$C$2:$C$1513,"MOD"))</f>
        <v>0</v>
      </c>
      <c r="N56" s="58" t="str">
        <f>IF($A56="","",IF(COUNTIFS('Equipment Index'!$G$2:$G$1513,$A56,'Equipment Index'!$H$2:$H$1513,"?*")=0,"","Customer-owned — "&amp;COUNTIFS('Equipment Index'!$G$2:$G$1513,$A56,'Equipment Index'!$H$2:$H$1513,"?*")&amp;" unit(s): "&amp;IFERROR(INDEX('Equipment Index'!$H$2:$H$1513,SUMPRODUCT(MATCH(1,('Equipment Index'!$G$2:$G$1513=$A56)*('Equipment Index'!$H$2:$H$1513&lt;&gt;""),0))),"")&amp;IF(COUNTIFS('Equipment Index'!$G$2:$G$1513,$A56,'Equipment Index'!$H$2:$H$1513,"?*")&gt;1," + see table below","")))</f>
        <v/>
      </c>
    </row>
    <row r="57" spans="1:14" ht="15" customHeight="1" x14ac:dyDescent="0.25">
      <c r="A57" s="52" t="str">
        <f>IFERROR(INDEX('Equipment Index'!$G$2:$G$1513,MATCH(ROW()-7,'Equipment Index'!$J$2:$J$1513,0)),"")</f>
        <v>Fetco 1151 V+</v>
      </c>
      <c r="B57" s="53">
        <f>IF($A57="","",SUMIFS('Equipment Index'!$F$2:$F$1513,'Equipment Index'!$G$2:$G$1513,$A57,'Equipment Index'!$A$2:$A$1513,"Barn - Back Rack"))</f>
        <v>1</v>
      </c>
      <c r="C57" s="53">
        <f>IF($A57="","",SUMIFS('Equipment Index'!$F$2:$F$1513,'Equipment Index'!$G$2:$G$1513,$A57,'Equipment Index'!$A$2:$A$1513,"Barn - Front Rack"))</f>
        <v>1</v>
      </c>
      <c r="D57" s="53">
        <f>IF($A57="","",SUMIFS('Equipment Index'!$F$2:$F$1513,'Equipment Index'!$G$2:$G$1513,$A57,'Equipment Index'!$A$2:$A$1513,"Front Lobby"))</f>
        <v>0</v>
      </c>
      <c r="E57" s="53">
        <f>IF($A57="","",SUMIFS('Equipment Index'!$F$2:$F$1513,'Equipment Index'!$G$2:$G$1513,$A57,'Equipment Index'!$A$2:$A$1513,"Service Room"))</f>
        <v>0</v>
      </c>
      <c r="F57" s="53">
        <f>IF($A57="","",SUMIFS('Equipment Index'!$F$2:$F$1513,'Equipment Index'!$G$2:$G$1513,$A57,'Equipment Index'!$A$2:$A$1513,"Production"))</f>
        <v>0</v>
      </c>
      <c r="G57" s="53">
        <f>IF($A57="","",SUMIFS('Equipment Index'!$F$2:$F$1513,'Equipment Index'!$G$2:$G$1513,$A57,'Equipment Index'!$A$2:$A$1513,"Training Room"))</f>
        <v>0</v>
      </c>
      <c r="H57" s="54">
        <f>IF($A57="","",SUMIFS('Equipment Index'!$F$2:$F$1513,'Equipment Index'!$G$2:$G$1513,$A57,'Equipment Index'!$A$2:$A$1513,"Out of State"))</f>
        <v>0</v>
      </c>
      <c r="I57" s="53">
        <f>IF($A57="","",SUMIFS('Equipment Index'!$F$2:$F$1513,'Equipment Index'!$G$2:$G$1513,$A57,'Equipment Index'!$A$2:$A$1513,"San Antonio"))</f>
        <v>0</v>
      </c>
      <c r="J57" s="53">
        <f>IF($A57="","",SUMIFS('Equipment Index'!$F$2:$F$1513,'Equipment Index'!$G$2:$G$1513,$A57,'Equipment Index'!$A$2:$A$1513,"Dallas"))</f>
        <v>0</v>
      </c>
      <c r="K57" s="55">
        <f t="shared" si="1"/>
        <v>2</v>
      </c>
      <c r="L57" s="56">
        <f>IF($A57="","",SUMIFS('Equipment Index'!$F$2:$F$1513,'Equipment Index'!$G$2:$G$1513,$A57,'Equipment Index'!$C$2:$C$1513,"DISP"))</f>
        <v>0</v>
      </c>
      <c r="M57" s="57">
        <f>IF($A57="","",SUMIFS('Equipment Index'!$F$2:$F$1513,'Equipment Index'!$G$2:$G$1513,$A57,'Equipment Index'!$C$2:$C$1513,"MOD"))</f>
        <v>0</v>
      </c>
      <c r="N57" s="58" t="str">
        <f>IF($A57="","",IF(COUNTIFS('Equipment Index'!$G$2:$G$1513,$A57,'Equipment Index'!$H$2:$H$1513,"?*")=0,"","Customer-owned — "&amp;COUNTIFS('Equipment Index'!$G$2:$G$1513,$A57,'Equipment Index'!$H$2:$H$1513,"?*")&amp;" unit(s): "&amp;IFERROR(INDEX('Equipment Index'!$H$2:$H$1513,SUMPRODUCT(MATCH(1,('Equipment Index'!$G$2:$G$1513=$A57)*('Equipment Index'!$H$2:$H$1513&lt;&gt;""),0))),"")&amp;IF(COUNTIFS('Equipment Index'!$G$2:$G$1513,$A57,'Equipment Index'!$H$2:$H$1513,"?*")&gt;1," + see table below","")))</f>
        <v/>
      </c>
    </row>
    <row r="58" spans="1:14" ht="15" customHeight="1" x14ac:dyDescent="0.25">
      <c r="A58" s="52" t="str">
        <f>IFERROR(INDEX('Equipment Index'!$G$2:$G$1513,MATCH(ROW()-7,'Equipment Index'!$J$2:$J$1513,0)),"")</f>
        <v>Fetco 1232 Plus</v>
      </c>
      <c r="B58" s="53">
        <f>IF($A58="","",SUMIFS('Equipment Index'!$F$2:$F$1513,'Equipment Index'!$G$2:$G$1513,$A58,'Equipment Index'!$A$2:$A$1513,"Barn - Back Rack"))</f>
        <v>2</v>
      </c>
      <c r="C58" s="53">
        <f>IF($A58="","",SUMIFS('Equipment Index'!$F$2:$F$1513,'Equipment Index'!$G$2:$G$1513,$A58,'Equipment Index'!$A$2:$A$1513,"Barn - Front Rack"))</f>
        <v>0</v>
      </c>
      <c r="D58" s="53">
        <f>IF($A58="","",SUMIFS('Equipment Index'!$F$2:$F$1513,'Equipment Index'!$G$2:$G$1513,$A58,'Equipment Index'!$A$2:$A$1513,"Front Lobby"))</f>
        <v>0</v>
      </c>
      <c r="E58" s="53">
        <f>IF($A58="","",SUMIFS('Equipment Index'!$F$2:$F$1513,'Equipment Index'!$G$2:$G$1513,$A58,'Equipment Index'!$A$2:$A$1513,"Service Room"))</f>
        <v>0</v>
      </c>
      <c r="F58" s="53">
        <f>IF($A58="","",SUMIFS('Equipment Index'!$F$2:$F$1513,'Equipment Index'!$G$2:$G$1513,$A58,'Equipment Index'!$A$2:$A$1513,"Production"))</f>
        <v>0</v>
      </c>
      <c r="G58" s="53">
        <f>IF($A58="","",SUMIFS('Equipment Index'!$F$2:$F$1513,'Equipment Index'!$G$2:$G$1513,$A58,'Equipment Index'!$A$2:$A$1513,"Training Room"))</f>
        <v>0</v>
      </c>
      <c r="H58" s="54">
        <f>IF($A58="","",SUMIFS('Equipment Index'!$F$2:$F$1513,'Equipment Index'!$G$2:$G$1513,$A58,'Equipment Index'!$A$2:$A$1513,"Out of State"))</f>
        <v>0</v>
      </c>
      <c r="I58" s="53">
        <f>IF($A58="","",SUMIFS('Equipment Index'!$F$2:$F$1513,'Equipment Index'!$G$2:$G$1513,$A58,'Equipment Index'!$A$2:$A$1513,"San Antonio"))</f>
        <v>0</v>
      </c>
      <c r="J58" s="53">
        <f>IF($A58="","",SUMIFS('Equipment Index'!$F$2:$F$1513,'Equipment Index'!$G$2:$G$1513,$A58,'Equipment Index'!$A$2:$A$1513,"Dallas"))</f>
        <v>0</v>
      </c>
      <c r="K58" s="55">
        <f t="shared" si="1"/>
        <v>2</v>
      </c>
      <c r="L58" s="56">
        <f>IF($A58="","",SUMIFS('Equipment Index'!$F$2:$F$1513,'Equipment Index'!$G$2:$G$1513,$A58,'Equipment Index'!$C$2:$C$1513,"DISP"))</f>
        <v>0</v>
      </c>
      <c r="M58" s="57">
        <f>IF($A58="","",SUMIFS('Equipment Index'!$F$2:$F$1513,'Equipment Index'!$G$2:$G$1513,$A58,'Equipment Index'!$C$2:$C$1513,"MOD"))</f>
        <v>0</v>
      </c>
      <c r="N58" s="58" t="str">
        <f>IF($A58="","",IF(COUNTIFS('Equipment Index'!$G$2:$G$1513,$A58,'Equipment Index'!$H$2:$H$1513,"?*")=0,"","Customer-owned — "&amp;COUNTIFS('Equipment Index'!$G$2:$G$1513,$A58,'Equipment Index'!$H$2:$H$1513,"?*")&amp;" unit(s): "&amp;IFERROR(INDEX('Equipment Index'!$H$2:$H$1513,SUMPRODUCT(MATCH(1,('Equipment Index'!$G$2:$G$1513=$A58)*('Equipment Index'!$H$2:$H$1513&lt;&gt;""),0))),"")&amp;IF(COUNTIFS('Equipment Index'!$G$2:$G$1513,$A58,'Equipment Index'!$H$2:$H$1513,"?*")&gt;1," + see table below","")))</f>
        <v/>
      </c>
    </row>
    <row r="59" spans="1:14" ht="15" customHeight="1" x14ac:dyDescent="0.25">
      <c r="A59" s="52" t="str">
        <f>IFERROR(INDEX('Equipment Index'!$G$2:$G$1513,MATCH(ROW()-7,'Equipment Index'!$J$2:$J$1513,0)),"")</f>
        <v>Fetco 1251 Plus</v>
      </c>
      <c r="B59" s="53">
        <f>IF($A59="","",SUMIFS('Equipment Index'!$F$2:$F$1513,'Equipment Index'!$G$2:$G$1513,$A59,'Equipment Index'!$A$2:$A$1513,"Barn - Back Rack"))</f>
        <v>1</v>
      </c>
      <c r="C59" s="53">
        <f>IF($A59="","",SUMIFS('Equipment Index'!$F$2:$F$1513,'Equipment Index'!$G$2:$G$1513,$A59,'Equipment Index'!$A$2:$A$1513,"Barn - Front Rack"))</f>
        <v>0</v>
      </c>
      <c r="D59" s="53">
        <f>IF($A59="","",SUMIFS('Equipment Index'!$F$2:$F$1513,'Equipment Index'!$G$2:$G$1513,$A59,'Equipment Index'!$A$2:$A$1513,"Front Lobby"))</f>
        <v>1</v>
      </c>
      <c r="E59" s="53">
        <f>IF($A59="","",SUMIFS('Equipment Index'!$F$2:$F$1513,'Equipment Index'!$G$2:$G$1513,$A59,'Equipment Index'!$A$2:$A$1513,"Service Room"))</f>
        <v>0</v>
      </c>
      <c r="F59" s="53">
        <f>IF($A59="","",SUMIFS('Equipment Index'!$F$2:$F$1513,'Equipment Index'!$G$2:$G$1513,$A59,'Equipment Index'!$A$2:$A$1513,"Production"))</f>
        <v>0</v>
      </c>
      <c r="G59" s="53">
        <f>IF($A59="","",SUMIFS('Equipment Index'!$F$2:$F$1513,'Equipment Index'!$G$2:$G$1513,$A59,'Equipment Index'!$A$2:$A$1513,"Training Room"))</f>
        <v>0</v>
      </c>
      <c r="H59" s="54">
        <f>IF($A59="","",SUMIFS('Equipment Index'!$F$2:$F$1513,'Equipment Index'!$G$2:$G$1513,$A59,'Equipment Index'!$A$2:$A$1513,"Out of State"))</f>
        <v>0</v>
      </c>
      <c r="I59" s="53">
        <f>IF($A59="","",SUMIFS('Equipment Index'!$F$2:$F$1513,'Equipment Index'!$G$2:$G$1513,$A59,'Equipment Index'!$A$2:$A$1513,"San Antonio"))</f>
        <v>0</v>
      </c>
      <c r="J59" s="53">
        <f>IF($A59="","",SUMIFS('Equipment Index'!$F$2:$F$1513,'Equipment Index'!$G$2:$G$1513,$A59,'Equipment Index'!$A$2:$A$1513,"Dallas"))</f>
        <v>0</v>
      </c>
      <c r="K59" s="55">
        <f t="shared" si="1"/>
        <v>2</v>
      </c>
      <c r="L59" s="56">
        <f>IF($A59="","",SUMIFS('Equipment Index'!$F$2:$F$1513,'Equipment Index'!$G$2:$G$1513,$A59,'Equipment Index'!$C$2:$C$1513,"DISP"))</f>
        <v>0</v>
      </c>
      <c r="M59" s="57">
        <f>IF($A59="","",SUMIFS('Equipment Index'!$F$2:$F$1513,'Equipment Index'!$G$2:$G$1513,$A59,'Equipment Index'!$C$2:$C$1513,"MOD"))</f>
        <v>0</v>
      </c>
      <c r="N59" s="58" t="str">
        <f>IF($A59="","",IF(COUNTIFS('Equipment Index'!$G$2:$G$1513,$A59,'Equipment Index'!$H$2:$H$1513,"?*")=0,"","Customer-owned — "&amp;COUNTIFS('Equipment Index'!$G$2:$G$1513,$A59,'Equipment Index'!$H$2:$H$1513,"?*")&amp;" unit(s): "&amp;IFERROR(INDEX('Equipment Index'!$H$2:$H$1513,SUMPRODUCT(MATCH(1,('Equipment Index'!$G$2:$G$1513=$A59)*('Equipment Index'!$H$2:$H$1513&lt;&gt;""),0))),"")&amp;IF(COUNTIFS('Equipment Index'!$G$2:$G$1513,$A59,'Equipment Index'!$H$2:$H$1513,"?*")&gt;1," + see table below","")))</f>
        <v/>
      </c>
    </row>
    <row r="60" spans="1:14" ht="15" customHeight="1" x14ac:dyDescent="0.25">
      <c r="A60" s="52" t="str">
        <f>IFERROR(INDEX('Equipment Index'!$G$2:$G$1513,MATCH(ROW()-7,'Equipment Index'!$J$2:$J$1513,0)),"")</f>
        <v>Fetco 1252 Plus</v>
      </c>
      <c r="B60" s="53">
        <f>IF($A60="","",SUMIFS('Equipment Index'!$F$2:$F$1513,'Equipment Index'!$G$2:$G$1513,$A60,'Equipment Index'!$A$2:$A$1513,"Barn - Back Rack"))</f>
        <v>0</v>
      </c>
      <c r="C60" s="53">
        <f>IF($A60="","",SUMIFS('Equipment Index'!$F$2:$F$1513,'Equipment Index'!$G$2:$G$1513,$A60,'Equipment Index'!$A$2:$A$1513,"Barn - Front Rack"))</f>
        <v>1</v>
      </c>
      <c r="D60" s="53">
        <f>IF($A60="","",SUMIFS('Equipment Index'!$F$2:$F$1513,'Equipment Index'!$G$2:$G$1513,$A60,'Equipment Index'!$A$2:$A$1513,"Front Lobby"))</f>
        <v>0</v>
      </c>
      <c r="E60" s="53">
        <f>IF($A60="","",SUMIFS('Equipment Index'!$F$2:$F$1513,'Equipment Index'!$G$2:$G$1513,$A60,'Equipment Index'!$A$2:$A$1513,"Service Room"))</f>
        <v>0</v>
      </c>
      <c r="F60" s="53">
        <f>IF($A60="","",SUMIFS('Equipment Index'!$F$2:$F$1513,'Equipment Index'!$G$2:$G$1513,$A60,'Equipment Index'!$A$2:$A$1513,"Production"))</f>
        <v>0</v>
      </c>
      <c r="G60" s="53">
        <f>IF($A60="","",SUMIFS('Equipment Index'!$F$2:$F$1513,'Equipment Index'!$G$2:$G$1513,$A60,'Equipment Index'!$A$2:$A$1513,"Training Room"))</f>
        <v>0</v>
      </c>
      <c r="H60" s="54">
        <f>IF($A60="","",SUMIFS('Equipment Index'!$F$2:$F$1513,'Equipment Index'!$G$2:$G$1513,$A60,'Equipment Index'!$A$2:$A$1513,"Out of State"))</f>
        <v>0</v>
      </c>
      <c r="I60" s="53">
        <f>IF($A60="","",SUMIFS('Equipment Index'!$F$2:$F$1513,'Equipment Index'!$G$2:$G$1513,$A60,'Equipment Index'!$A$2:$A$1513,"San Antonio"))</f>
        <v>1</v>
      </c>
      <c r="J60" s="53">
        <f>IF($A60="","",SUMIFS('Equipment Index'!$F$2:$F$1513,'Equipment Index'!$G$2:$G$1513,$A60,'Equipment Index'!$A$2:$A$1513,"Dallas"))</f>
        <v>0</v>
      </c>
      <c r="K60" s="55">
        <f t="shared" si="1"/>
        <v>2</v>
      </c>
      <c r="L60" s="56">
        <f>IF($A60="","",SUMIFS('Equipment Index'!$F$2:$F$1513,'Equipment Index'!$G$2:$G$1513,$A60,'Equipment Index'!$C$2:$C$1513,"DISP"))</f>
        <v>0</v>
      </c>
      <c r="M60" s="57">
        <f>IF($A60="","",SUMIFS('Equipment Index'!$F$2:$F$1513,'Equipment Index'!$G$2:$G$1513,$A60,'Equipment Index'!$C$2:$C$1513,"MOD"))</f>
        <v>0</v>
      </c>
      <c r="N60" s="58" t="str">
        <f>IF($A60="","",IF(COUNTIFS('Equipment Index'!$G$2:$G$1513,$A60,'Equipment Index'!$H$2:$H$1513,"?*")=0,"","Customer-owned — "&amp;COUNTIFS('Equipment Index'!$G$2:$G$1513,$A60,'Equipment Index'!$H$2:$H$1513,"?*")&amp;" unit(s): "&amp;IFERROR(INDEX('Equipment Index'!$H$2:$H$1513,SUMPRODUCT(MATCH(1,('Equipment Index'!$G$2:$G$1513=$A60)*('Equipment Index'!$H$2:$H$1513&lt;&gt;""),0))),"")&amp;IF(COUNTIFS('Equipment Index'!$G$2:$G$1513,$A60,'Equipment Index'!$H$2:$H$1513,"?*")&gt;1," + see table below","")))</f>
        <v/>
      </c>
    </row>
    <row r="61" spans="1:14" ht="15" customHeight="1" x14ac:dyDescent="0.25">
      <c r="A61" s="52" t="str">
        <f>IFERROR(INDEX('Equipment Index'!$G$2:$G$1513,MATCH(ROW()-7,'Equipment Index'!$J$2:$J$1513,0)),"")</f>
        <v>Fetco 2051e</v>
      </c>
      <c r="B61" s="53">
        <f>IF($A61="","",SUMIFS('Equipment Index'!$F$2:$F$1513,'Equipment Index'!$G$2:$G$1513,$A61,'Equipment Index'!$A$2:$A$1513,"Barn - Back Rack"))</f>
        <v>4</v>
      </c>
      <c r="C61" s="53">
        <f>IF($A61="","",SUMIFS('Equipment Index'!$F$2:$F$1513,'Equipment Index'!$G$2:$G$1513,$A61,'Equipment Index'!$A$2:$A$1513,"Barn - Front Rack"))</f>
        <v>0</v>
      </c>
      <c r="D61" s="53">
        <f>IF($A61="","",SUMIFS('Equipment Index'!$F$2:$F$1513,'Equipment Index'!$G$2:$G$1513,$A61,'Equipment Index'!$A$2:$A$1513,"Front Lobby"))</f>
        <v>0</v>
      </c>
      <c r="E61" s="53">
        <f>IF($A61="","",SUMIFS('Equipment Index'!$F$2:$F$1513,'Equipment Index'!$G$2:$G$1513,$A61,'Equipment Index'!$A$2:$A$1513,"Service Room"))</f>
        <v>0</v>
      </c>
      <c r="F61" s="53">
        <f>IF($A61="","",SUMIFS('Equipment Index'!$F$2:$F$1513,'Equipment Index'!$G$2:$G$1513,$A61,'Equipment Index'!$A$2:$A$1513,"Production"))</f>
        <v>0</v>
      </c>
      <c r="G61" s="53">
        <f>IF($A61="","",SUMIFS('Equipment Index'!$F$2:$F$1513,'Equipment Index'!$G$2:$G$1513,$A61,'Equipment Index'!$A$2:$A$1513,"Training Room"))</f>
        <v>1</v>
      </c>
      <c r="H61" s="54">
        <f>IF($A61="","",SUMIFS('Equipment Index'!$F$2:$F$1513,'Equipment Index'!$G$2:$G$1513,$A61,'Equipment Index'!$A$2:$A$1513,"Out of State"))</f>
        <v>0</v>
      </c>
      <c r="I61" s="53">
        <f>IF($A61="","",SUMIFS('Equipment Index'!$F$2:$F$1513,'Equipment Index'!$G$2:$G$1513,$A61,'Equipment Index'!$A$2:$A$1513,"San Antonio"))</f>
        <v>0</v>
      </c>
      <c r="J61" s="53">
        <f>IF($A61="","",SUMIFS('Equipment Index'!$F$2:$F$1513,'Equipment Index'!$G$2:$G$1513,$A61,'Equipment Index'!$A$2:$A$1513,"Dallas"))</f>
        <v>0</v>
      </c>
      <c r="K61" s="55">
        <f t="shared" si="1"/>
        <v>5</v>
      </c>
      <c r="L61" s="56">
        <f>IF($A61="","",SUMIFS('Equipment Index'!$F$2:$F$1513,'Equipment Index'!$G$2:$G$1513,$A61,'Equipment Index'!$C$2:$C$1513,"DISP"))</f>
        <v>0</v>
      </c>
      <c r="M61" s="57">
        <f>IF($A61="","",SUMIFS('Equipment Index'!$F$2:$F$1513,'Equipment Index'!$G$2:$G$1513,$A61,'Equipment Index'!$C$2:$C$1513,"MOD"))</f>
        <v>0</v>
      </c>
      <c r="N61" s="58" t="str">
        <f>IF($A61="","",IF(COUNTIFS('Equipment Index'!$G$2:$G$1513,$A61,'Equipment Index'!$H$2:$H$1513,"?*")=0,"","Customer-owned — "&amp;COUNTIFS('Equipment Index'!$G$2:$G$1513,$A61,'Equipment Index'!$H$2:$H$1513,"?*")&amp;" unit(s): "&amp;IFERROR(INDEX('Equipment Index'!$H$2:$H$1513,SUMPRODUCT(MATCH(1,('Equipment Index'!$G$2:$G$1513=$A61)*('Equipment Index'!$H$2:$H$1513&lt;&gt;""),0))),"")&amp;IF(COUNTIFS('Equipment Index'!$G$2:$G$1513,$A61,'Equipment Index'!$H$2:$H$1513,"?*")&gt;1," + see table below","")))</f>
        <v/>
      </c>
    </row>
    <row r="62" spans="1:14" ht="15" customHeight="1" x14ac:dyDescent="0.25">
      <c r="A62" s="52" t="str">
        <f>IFERROR(INDEX('Equipment Index'!$G$2:$G$1513,MATCH(ROW()-7,'Equipment Index'!$J$2:$J$1513,0)),"")</f>
        <v>Fetco 51H</v>
      </c>
      <c r="B62" s="53">
        <f>IF($A62="","",SUMIFS('Equipment Index'!$F$2:$F$1513,'Equipment Index'!$G$2:$G$1513,$A62,'Equipment Index'!$A$2:$A$1513,"Barn - Back Rack"))</f>
        <v>7</v>
      </c>
      <c r="C62" s="53">
        <f>IF($A62="","",SUMIFS('Equipment Index'!$F$2:$F$1513,'Equipment Index'!$G$2:$G$1513,$A62,'Equipment Index'!$A$2:$A$1513,"Barn - Front Rack"))</f>
        <v>1</v>
      </c>
      <c r="D62" s="53">
        <f>IF($A62="","",SUMIFS('Equipment Index'!$F$2:$F$1513,'Equipment Index'!$G$2:$G$1513,$A62,'Equipment Index'!$A$2:$A$1513,"Front Lobby"))</f>
        <v>0</v>
      </c>
      <c r="E62" s="53">
        <f>IF($A62="","",SUMIFS('Equipment Index'!$F$2:$F$1513,'Equipment Index'!$G$2:$G$1513,$A62,'Equipment Index'!$A$2:$A$1513,"Service Room"))</f>
        <v>0</v>
      </c>
      <c r="F62" s="53">
        <f>IF($A62="","",SUMIFS('Equipment Index'!$F$2:$F$1513,'Equipment Index'!$G$2:$G$1513,$A62,'Equipment Index'!$A$2:$A$1513,"Production"))</f>
        <v>0</v>
      </c>
      <c r="G62" s="53">
        <f>IF($A62="","",SUMIFS('Equipment Index'!$F$2:$F$1513,'Equipment Index'!$G$2:$G$1513,$A62,'Equipment Index'!$A$2:$A$1513,"Training Room"))</f>
        <v>0</v>
      </c>
      <c r="H62" s="54">
        <f>IF($A62="","",SUMIFS('Equipment Index'!$F$2:$F$1513,'Equipment Index'!$G$2:$G$1513,$A62,'Equipment Index'!$A$2:$A$1513,"Out of State"))</f>
        <v>0</v>
      </c>
      <c r="I62" s="53">
        <f>IF($A62="","",SUMIFS('Equipment Index'!$F$2:$F$1513,'Equipment Index'!$G$2:$G$1513,$A62,'Equipment Index'!$A$2:$A$1513,"San Antonio"))</f>
        <v>0</v>
      </c>
      <c r="J62" s="53">
        <f>IF($A62="","",SUMIFS('Equipment Index'!$F$2:$F$1513,'Equipment Index'!$G$2:$G$1513,$A62,'Equipment Index'!$A$2:$A$1513,"Dallas"))</f>
        <v>0</v>
      </c>
      <c r="K62" s="55">
        <f t="shared" si="1"/>
        <v>8</v>
      </c>
      <c r="L62" s="56">
        <f>IF($A62="","",SUMIFS('Equipment Index'!$F$2:$F$1513,'Equipment Index'!$G$2:$G$1513,$A62,'Equipment Index'!$C$2:$C$1513,"DISP"))</f>
        <v>0</v>
      </c>
      <c r="M62" s="57">
        <f>IF($A62="","",SUMIFS('Equipment Index'!$F$2:$F$1513,'Equipment Index'!$G$2:$G$1513,$A62,'Equipment Index'!$C$2:$C$1513,"MOD"))</f>
        <v>0</v>
      </c>
      <c r="N62" s="58" t="str">
        <f>IF($A62="","",IF(COUNTIFS('Equipment Index'!$G$2:$G$1513,$A62,'Equipment Index'!$H$2:$H$1513,"?*")=0,"","Customer-owned — "&amp;COUNTIFS('Equipment Index'!$G$2:$G$1513,$A62,'Equipment Index'!$H$2:$H$1513,"?*")&amp;" unit(s): "&amp;IFERROR(INDEX('Equipment Index'!$H$2:$H$1513,SUMPRODUCT(MATCH(1,('Equipment Index'!$G$2:$G$1513=$A62)*('Equipment Index'!$H$2:$H$1513&lt;&gt;""),0))),"")&amp;IF(COUNTIFS('Equipment Index'!$G$2:$G$1513,$A62,'Equipment Index'!$H$2:$H$1513,"?*")&gt;1," + see table below","")))</f>
        <v/>
      </c>
    </row>
    <row r="63" spans="1:14" ht="15" customHeight="1" x14ac:dyDescent="0.25">
      <c r="A63" s="52" t="str">
        <f>IFERROR(INDEX('Equipment Index'!$G$2:$G$1513,MATCH(ROW()-7,'Equipment Index'!$J$2:$J$1513,0)),"")</f>
        <v>Fetco 52H</v>
      </c>
      <c r="B63" s="53">
        <f>IF($A63="","",SUMIFS('Equipment Index'!$F$2:$F$1513,'Equipment Index'!$G$2:$G$1513,$A63,'Equipment Index'!$A$2:$A$1513,"Barn - Back Rack"))</f>
        <v>1</v>
      </c>
      <c r="C63" s="53">
        <f>IF($A63="","",SUMIFS('Equipment Index'!$F$2:$F$1513,'Equipment Index'!$G$2:$G$1513,$A63,'Equipment Index'!$A$2:$A$1513,"Barn - Front Rack"))</f>
        <v>2</v>
      </c>
      <c r="D63" s="53">
        <f>IF($A63="","",SUMIFS('Equipment Index'!$F$2:$F$1513,'Equipment Index'!$G$2:$G$1513,$A63,'Equipment Index'!$A$2:$A$1513,"Front Lobby"))</f>
        <v>0</v>
      </c>
      <c r="E63" s="53">
        <f>IF($A63="","",SUMIFS('Equipment Index'!$F$2:$F$1513,'Equipment Index'!$G$2:$G$1513,$A63,'Equipment Index'!$A$2:$A$1513,"Service Room"))</f>
        <v>0</v>
      </c>
      <c r="F63" s="53">
        <f>IF($A63="","",SUMIFS('Equipment Index'!$F$2:$F$1513,'Equipment Index'!$G$2:$G$1513,$A63,'Equipment Index'!$A$2:$A$1513,"Production"))</f>
        <v>0</v>
      </c>
      <c r="G63" s="53">
        <f>IF($A63="","",SUMIFS('Equipment Index'!$F$2:$F$1513,'Equipment Index'!$G$2:$G$1513,$A63,'Equipment Index'!$A$2:$A$1513,"Training Room"))</f>
        <v>0</v>
      </c>
      <c r="H63" s="54">
        <f>IF($A63="","",SUMIFS('Equipment Index'!$F$2:$F$1513,'Equipment Index'!$G$2:$G$1513,$A63,'Equipment Index'!$A$2:$A$1513,"Out of State"))</f>
        <v>0</v>
      </c>
      <c r="I63" s="53">
        <f>IF($A63="","",SUMIFS('Equipment Index'!$F$2:$F$1513,'Equipment Index'!$G$2:$G$1513,$A63,'Equipment Index'!$A$2:$A$1513,"San Antonio"))</f>
        <v>0</v>
      </c>
      <c r="J63" s="53">
        <f>IF($A63="","",SUMIFS('Equipment Index'!$F$2:$F$1513,'Equipment Index'!$G$2:$G$1513,$A63,'Equipment Index'!$A$2:$A$1513,"Dallas"))</f>
        <v>0</v>
      </c>
      <c r="K63" s="55">
        <f t="shared" si="1"/>
        <v>3</v>
      </c>
      <c r="L63" s="56">
        <f>IF($A63="","",SUMIFS('Equipment Index'!$F$2:$F$1513,'Equipment Index'!$G$2:$G$1513,$A63,'Equipment Index'!$C$2:$C$1513,"DISP"))</f>
        <v>0</v>
      </c>
      <c r="M63" s="57">
        <f>IF($A63="","",SUMIFS('Equipment Index'!$F$2:$F$1513,'Equipment Index'!$G$2:$G$1513,$A63,'Equipment Index'!$C$2:$C$1513,"MOD"))</f>
        <v>0</v>
      </c>
      <c r="N63" s="58" t="str">
        <f>IF($A63="","",IF(COUNTIFS('Equipment Index'!$G$2:$G$1513,$A63,'Equipment Index'!$H$2:$H$1513,"?*")=0,"","Customer-owned — "&amp;COUNTIFS('Equipment Index'!$G$2:$G$1513,$A63,'Equipment Index'!$H$2:$H$1513,"?*")&amp;" unit(s): "&amp;IFERROR(INDEX('Equipment Index'!$H$2:$H$1513,SUMPRODUCT(MATCH(1,('Equipment Index'!$G$2:$G$1513=$A63)*('Equipment Index'!$H$2:$H$1513&lt;&gt;""),0))),"")&amp;IF(COUNTIFS('Equipment Index'!$G$2:$G$1513,$A63,'Equipment Index'!$H$2:$H$1513,"?*")&gt;1," + see table below","")))</f>
        <v/>
      </c>
    </row>
    <row r="64" spans="1:14" ht="15" customHeight="1" x14ac:dyDescent="0.25">
      <c r="A64" s="52" t="str">
        <f>IFERROR(INDEX('Equipment Index'!$G$2:$G$1513,MATCH(ROW()-7,'Equipment Index'!$J$2:$J$1513,0)),"")</f>
        <v>Fetco 62H</v>
      </c>
      <c r="B64" s="53">
        <f>IF($A64="","",SUMIFS('Equipment Index'!$F$2:$F$1513,'Equipment Index'!$G$2:$G$1513,$A64,'Equipment Index'!$A$2:$A$1513,"Barn - Back Rack"))</f>
        <v>6</v>
      </c>
      <c r="C64" s="53">
        <f>IF($A64="","",SUMIFS('Equipment Index'!$F$2:$F$1513,'Equipment Index'!$G$2:$G$1513,$A64,'Equipment Index'!$A$2:$A$1513,"Barn - Front Rack"))</f>
        <v>0</v>
      </c>
      <c r="D64" s="53">
        <f>IF($A64="","",SUMIFS('Equipment Index'!$F$2:$F$1513,'Equipment Index'!$G$2:$G$1513,$A64,'Equipment Index'!$A$2:$A$1513,"Front Lobby"))</f>
        <v>0</v>
      </c>
      <c r="E64" s="53">
        <f>IF($A64="","",SUMIFS('Equipment Index'!$F$2:$F$1513,'Equipment Index'!$G$2:$G$1513,$A64,'Equipment Index'!$A$2:$A$1513,"Service Room"))</f>
        <v>0</v>
      </c>
      <c r="F64" s="53">
        <f>IF($A64="","",SUMIFS('Equipment Index'!$F$2:$F$1513,'Equipment Index'!$G$2:$G$1513,$A64,'Equipment Index'!$A$2:$A$1513,"Production"))</f>
        <v>1</v>
      </c>
      <c r="G64" s="53">
        <f>IF($A64="","",SUMIFS('Equipment Index'!$F$2:$F$1513,'Equipment Index'!$G$2:$G$1513,$A64,'Equipment Index'!$A$2:$A$1513,"Training Room"))</f>
        <v>0</v>
      </c>
      <c r="H64" s="54">
        <f>IF($A64="","",SUMIFS('Equipment Index'!$F$2:$F$1513,'Equipment Index'!$G$2:$G$1513,$A64,'Equipment Index'!$A$2:$A$1513,"Out of State"))</f>
        <v>0</v>
      </c>
      <c r="I64" s="53">
        <f>IF($A64="","",SUMIFS('Equipment Index'!$F$2:$F$1513,'Equipment Index'!$G$2:$G$1513,$A64,'Equipment Index'!$A$2:$A$1513,"San Antonio"))</f>
        <v>0</v>
      </c>
      <c r="J64" s="53">
        <f>IF($A64="","",SUMIFS('Equipment Index'!$F$2:$F$1513,'Equipment Index'!$G$2:$G$1513,$A64,'Equipment Index'!$A$2:$A$1513,"Dallas"))</f>
        <v>0</v>
      </c>
      <c r="K64" s="55">
        <f t="shared" si="1"/>
        <v>7</v>
      </c>
      <c r="L64" s="56">
        <f>IF($A64="","",SUMIFS('Equipment Index'!$F$2:$F$1513,'Equipment Index'!$G$2:$G$1513,$A64,'Equipment Index'!$C$2:$C$1513,"DISP"))</f>
        <v>0</v>
      </c>
      <c r="M64" s="57">
        <f>IF($A64="","",SUMIFS('Equipment Index'!$F$2:$F$1513,'Equipment Index'!$G$2:$G$1513,$A64,'Equipment Index'!$C$2:$C$1513,"MOD"))</f>
        <v>0</v>
      </c>
      <c r="N64" s="58" t="str">
        <f>IF($A64="","",IF(COUNTIFS('Equipment Index'!$G$2:$G$1513,$A64,'Equipment Index'!$H$2:$H$1513,"?*")=0,"","Customer-owned — "&amp;COUNTIFS('Equipment Index'!$G$2:$G$1513,$A64,'Equipment Index'!$H$2:$H$1513,"?*")&amp;" unit(s): "&amp;IFERROR(INDEX('Equipment Index'!$H$2:$H$1513,SUMPRODUCT(MATCH(1,('Equipment Index'!$G$2:$G$1513=$A64)*('Equipment Index'!$H$2:$H$1513&lt;&gt;""),0))),"")&amp;IF(COUNTIFS('Equipment Index'!$G$2:$G$1513,$A64,'Equipment Index'!$H$2:$H$1513,"?*")&gt;1," + see table below","")))</f>
        <v/>
      </c>
    </row>
    <row r="65" spans="1:14" ht="15" customHeight="1" x14ac:dyDescent="0.25">
      <c r="A65" s="52" t="str">
        <f>IFERROR(INDEX('Equipment Index'!$G$2:$G$1513,MATCH(ROW()-7,'Equipment Index'!$J$2:$J$1513,0)),"")</f>
        <v>Fetco GR2.2</v>
      </c>
      <c r="B65" s="53">
        <f>IF($A65="","",SUMIFS('Equipment Index'!$F$2:$F$1513,'Equipment Index'!$G$2:$G$1513,$A65,'Equipment Index'!$A$2:$A$1513,"Barn - Back Rack"))</f>
        <v>4</v>
      </c>
      <c r="C65" s="53">
        <f>IF($A65="","",SUMIFS('Equipment Index'!$F$2:$F$1513,'Equipment Index'!$G$2:$G$1513,$A65,'Equipment Index'!$A$2:$A$1513,"Barn - Front Rack"))</f>
        <v>0</v>
      </c>
      <c r="D65" s="53">
        <f>IF($A65="","",SUMIFS('Equipment Index'!$F$2:$F$1513,'Equipment Index'!$G$2:$G$1513,$A65,'Equipment Index'!$A$2:$A$1513,"Front Lobby"))</f>
        <v>0</v>
      </c>
      <c r="E65" s="53">
        <f>IF($A65="","",SUMIFS('Equipment Index'!$F$2:$F$1513,'Equipment Index'!$G$2:$G$1513,$A65,'Equipment Index'!$A$2:$A$1513,"Service Room"))</f>
        <v>0</v>
      </c>
      <c r="F65" s="53">
        <f>IF($A65="","",SUMIFS('Equipment Index'!$F$2:$F$1513,'Equipment Index'!$G$2:$G$1513,$A65,'Equipment Index'!$A$2:$A$1513,"Production"))</f>
        <v>0</v>
      </c>
      <c r="G65" s="53">
        <f>IF($A65="","",SUMIFS('Equipment Index'!$F$2:$F$1513,'Equipment Index'!$G$2:$G$1513,$A65,'Equipment Index'!$A$2:$A$1513,"Training Room"))</f>
        <v>0</v>
      </c>
      <c r="H65" s="54">
        <f>IF($A65="","",SUMIFS('Equipment Index'!$F$2:$F$1513,'Equipment Index'!$G$2:$G$1513,$A65,'Equipment Index'!$A$2:$A$1513,"Out of State"))</f>
        <v>0</v>
      </c>
      <c r="I65" s="53">
        <f>IF($A65="","",SUMIFS('Equipment Index'!$F$2:$F$1513,'Equipment Index'!$G$2:$G$1513,$A65,'Equipment Index'!$A$2:$A$1513,"San Antonio"))</f>
        <v>0</v>
      </c>
      <c r="J65" s="53">
        <f>IF($A65="","",SUMIFS('Equipment Index'!$F$2:$F$1513,'Equipment Index'!$G$2:$G$1513,$A65,'Equipment Index'!$A$2:$A$1513,"Dallas"))</f>
        <v>0</v>
      </c>
      <c r="K65" s="55">
        <f t="shared" si="1"/>
        <v>4</v>
      </c>
      <c r="L65" s="56">
        <f>IF($A65="","",SUMIFS('Equipment Index'!$F$2:$F$1513,'Equipment Index'!$G$2:$G$1513,$A65,'Equipment Index'!$C$2:$C$1513,"DISP"))</f>
        <v>0</v>
      </c>
      <c r="M65" s="57">
        <f>IF($A65="","",SUMIFS('Equipment Index'!$F$2:$F$1513,'Equipment Index'!$G$2:$G$1513,$A65,'Equipment Index'!$C$2:$C$1513,"MOD"))</f>
        <v>0</v>
      </c>
      <c r="N65" s="58" t="str">
        <f>IF($A65="","",IF(COUNTIFS('Equipment Index'!$G$2:$G$1513,$A65,'Equipment Index'!$H$2:$H$1513,"?*")=0,"","Customer-owned — "&amp;COUNTIFS('Equipment Index'!$G$2:$G$1513,$A65,'Equipment Index'!$H$2:$H$1513,"?*")&amp;" unit(s): "&amp;IFERROR(INDEX('Equipment Index'!$H$2:$H$1513,SUMPRODUCT(MATCH(1,('Equipment Index'!$G$2:$G$1513=$A65)*('Equipment Index'!$H$2:$H$1513&lt;&gt;""),0))),"")&amp;IF(COUNTIFS('Equipment Index'!$G$2:$G$1513,$A65,'Equipment Index'!$H$2:$H$1513,"?*")&gt;1," + see table below","")))</f>
        <v/>
      </c>
    </row>
    <row r="66" spans="1:14" ht="15" customHeight="1" x14ac:dyDescent="0.25">
      <c r="A66" s="52" t="str">
        <f>IFERROR(INDEX('Equipment Index'!$G$2:$G$1513,MATCH(ROW()-7,'Equipment Index'!$J$2:$J$1513,0)),"")</f>
        <v>Fetco GR2.3</v>
      </c>
      <c r="B66" s="53">
        <f>IF($A66="","",SUMIFS('Equipment Index'!$F$2:$F$1513,'Equipment Index'!$G$2:$G$1513,$A66,'Equipment Index'!$A$2:$A$1513,"Barn - Back Rack"))</f>
        <v>1</v>
      </c>
      <c r="C66" s="53">
        <f>IF($A66="","",SUMIFS('Equipment Index'!$F$2:$F$1513,'Equipment Index'!$G$2:$G$1513,$A66,'Equipment Index'!$A$2:$A$1513,"Barn - Front Rack"))</f>
        <v>0</v>
      </c>
      <c r="D66" s="53">
        <f>IF($A66="","",SUMIFS('Equipment Index'!$F$2:$F$1513,'Equipment Index'!$G$2:$G$1513,$A66,'Equipment Index'!$A$2:$A$1513,"Front Lobby"))</f>
        <v>0</v>
      </c>
      <c r="E66" s="53">
        <f>IF($A66="","",SUMIFS('Equipment Index'!$F$2:$F$1513,'Equipment Index'!$G$2:$G$1513,$A66,'Equipment Index'!$A$2:$A$1513,"Service Room"))</f>
        <v>0</v>
      </c>
      <c r="F66" s="53">
        <f>IF($A66="","",SUMIFS('Equipment Index'!$F$2:$F$1513,'Equipment Index'!$G$2:$G$1513,$A66,'Equipment Index'!$A$2:$A$1513,"Production"))</f>
        <v>0</v>
      </c>
      <c r="G66" s="53">
        <f>IF($A66="","",SUMIFS('Equipment Index'!$F$2:$F$1513,'Equipment Index'!$G$2:$G$1513,$A66,'Equipment Index'!$A$2:$A$1513,"Training Room"))</f>
        <v>1</v>
      </c>
      <c r="H66" s="54">
        <f>IF($A66="","",SUMIFS('Equipment Index'!$F$2:$F$1513,'Equipment Index'!$G$2:$G$1513,$A66,'Equipment Index'!$A$2:$A$1513,"Out of State"))</f>
        <v>0</v>
      </c>
      <c r="I66" s="53">
        <f>IF($A66="","",SUMIFS('Equipment Index'!$F$2:$F$1513,'Equipment Index'!$G$2:$G$1513,$A66,'Equipment Index'!$A$2:$A$1513,"San Antonio"))</f>
        <v>0</v>
      </c>
      <c r="J66" s="53">
        <f>IF($A66="","",SUMIFS('Equipment Index'!$F$2:$F$1513,'Equipment Index'!$G$2:$G$1513,$A66,'Equipment Index'!$A$2:$A$1513,"Dallas"))</f>
        <v>0</v>
      </c>
      <c r="K66" s="55">
        <f t="shared" si="1"/>
        <v>2</v>
      </c>
      <c r="L66" s="56">
        <f>IF($A66="","",SUMIFS('Equipment Index'!$F$2:$F$1513,'Equipment Index'!$G$2:$G$1513,$A66,'Equipment Index'!$C$2:$C$1513,"DISP"))</f>
        <v>0</v>
      </c>
      <c r="M66" s="57">
        <f>IF($A66="","",SUMIFS('Equipment Index'!$F$2:$F$1513,'Equipment Index'!$G$2:$G$1513,$A66,'Equipment Index'!$C$2:$C$1513,"MOD"))</f>
        <v>0</v>
      </c>
      <c r="N66" s="58" t="str">
        <f>IF($A66="","",IF(COUNTIFS('Equipment Index'!$G$2:$G$1513,$A66,'Equipment Index'!$H$2:$H$1513,"?*")=0,"","Customer-owned — "&amp;COUNTIFS('Equipment Index'!$G$2:$G$1513,$A66,'Equipment Index'!$H$2:$H$1513,"?*")&amp;" unit(s): "&amp;IFERROR(INDEX('Equipment Index'!$H$2:$H$1513,SUMPRODUCT(MATCH(1,('Equipment Index'!$G$2:$G$1513=$A66)*('Equipment Index'!$H$2:$H$1513&lt;&gt;""),0))),"")&amp;IF(COUNTIFS('Equipment Index'!$G$2:$G$1513,$A66,'Equipment Index'!$H$2:$H$1513,"?*")&gt;1," + see table below","")))</f>
        <v/>
      </c>
    </row>
    <row r="67" spans="1:14" ht="15" customHeight="1" x14ac:dyDescent="0.25">
      <c r="A67" s="52" t="str">
        <f>IFERROR(INDEX('Equipment Index'!$G$2:$G$1513,MATCH(ROW()-7,'Equipment Index'!$J$2:$J$1513,0)),"")</f>
        <v>Fetco L4D-10</v>
      </c>
      <c r="B67" s="53">
        <f>IF($A67="","",SUMIFS('Equipment Index'!$F$2:$F$1513,'Equipment Index'!$G$2:$G$1513,$A67,'Equipment Index'!$A$2:$A$1513,"Barn - Back Rack"))</f>
        <v>10</v>
      </c>
      <c r="C67" s="53">
        <f>IF($A67="","",SUMIFS('Equipment Index'!$F$2:$F$1513,'Equipment Index'!$G$2:$G$1513,$A67,'Equipment Index'!$A$2:$A$1513,"Barn - Front Rack"))</f>
        <v>0</v>
      </c>
      <c r="D67" s="53">
        <f>IF($A67="","",SUMIFS('Equipment Index'!$F$2:$F$1513,'Equipment Index'!$G$2:$G$1513,$A67,'Equipment Index'!$A$2:$A$1513,"Front Lobby"))</f>
        <v>0</v>
      </c>
      <c r="E67" s="53">
        <f>IF($A67="","",SUMIFS('Equipment Index'!$F$2:$F$1513,'Equipment Index'!$G$2:$G$1513,$A67,'Equipment Index'!$A$2:$A$1513,"Service Room"))</f>
        <v>0</v>
      </c>
      <c r="F67" s="53">
        <f>IF($A67="","",SUMIFS('Equipment Index'!$F$2:$F$1513,'Equipment Index'!$G$2:$G$1513,$A67,'Equipment Index'!$A$2:$A$1513,"Production"))</f>
        <v>0</v>
      </c>
      <c r="G67" s="53">
        <f>IF($A67="","",SUMIFS('Equipment Index'!$F$2:$F$1513,'Equipment Index'!$G$2:$G$1513,$A67,'Equipment Index'!$A$2:$A$1513,"Training Room"))</f>
        <v>0</v>
      </c>
      <c r="H67" s="54">
        <f>IF($A67="","",SUMIFS('Equipment Index'!$F$2:$F$1513,'Equipment Index'!$G$2:$G$1513,$A67,'Equipment Index'!$A$2:$A$1513,"Out of State"))</f>
        <v>0</v>
      </c>
      <c r="I67" s="53">
        <f>IF($A67="","",SUMIFS('Equipment Index'!$F$2:$F$1513,'Equipment Index'!$G$2:$G$1513,$A67,'Equipment Index'!$A$2:$A$1513,"San Antonio"))</f>
        <v>0</v>
      </c>
      <c r="J67" s="53">
        <f>IF($A67="","",SUMIFS('Equipment Index'!$F$2:$F$1513,'Equipment Index'!$G$2:$G$1513,$A67,'Equipment Index'!$A$2:$A$1513,"Dallas"))</f>
        <v>0</v>
      </c>
      <c r="K67" s="55">
        <f t="shared" si="1"/>
        <v>10</v>
      </c>
      <c r="L67" s="56">
        <f>IF($A67="","",SUMIFS('Equipment Index'!$F$2:$F$1513,'Equipment Index'!$G$2:$G$1513,$A67,'Equipment Index'!$C$2:$C$1513,"DISP"))</f>
        <v>10</v>
      </c>
      <c r="M67" s="57">
        <f>IF($A67="","",SUMIFS('Equipment Index'!$F$2:$F$1513,'Equipment Index'!$G$2:$G$1513,$A67,'Equipment Index'!$C$2:$C$1513,"MOD"))</f>
        <v>0</v>
      </c>
      <c r="N67" s="58" t="str">
        <f>IF($A67="","",IF(COUNTIFS('Equipment Index'!$G$2:$G$1513,$A67,'Equipment Index'!$H$2:$H$1513,"?*")=0,"","Customer-owned — "&amp;COUNTIFS('Equipment Index'!$G$2:$G$1513,$A67,'Equipment Index'!$H$2:$H$1513,"?*")&amp;" unit(s): "&amp;IFERROR(INDEX('Equipment Index'!$H$2:$H$1513,SUMPRODUCT(MATCH(1,('Equipment Index'!$G$2:$G$1513=$A67)*('Equipment Index'!$H$2:$H$1513&lt;&gt;""),0))),"")&amp;IF(COUNTIFS('Equipment Index'!$G$2:$G$1513,$A67,'Equipment Index'!$H$2:$H$1513,"?*")&gt;1," + see table below","")))</f>
        <v/>
      </c>
    </row>
    <row r="68" spans="1:14" ht="15" customHeight="1" x14ac:dyDescent="0.25">
      <c r="A68" s="52" t="str">
        <f>IFERROR(INDEX('Equipment Index'!$G$2:$G$1513,MATCH(ROW()-7,'Equipment Index'!$J$2:$J$1513,0)),"")</f>
        <v>Fetco L4D-15</v>
      </c>
      <c r="B68" s="53">
        <f>IF($A68="","",SUMIFS('Equipment Index'!$F$2:$F$1513,'Equipment Index'!$G$2:$G$1513,$A68,'Equipment Index'!$A$2:$A$1513,"Barn - Back Rack"))</f>
        <v>17</v>
      </c>
      <c r="C68" s="53">
        <f>IF($A68="","",SUMIFS('Equipment Index'!$F$2:$F$1513,'Equipment Index'!$G$2:$G$1513,$A68,'Equipment Index'!$A$2:$A$1513,"Barn - Front Rack"))</f>
        <v>0</v>
      </c>
      <c r="D68" s="53">
        <f>IF($A68="","",SUMIFS('Equipment Index'!$F$2:$F$1513,'Equipment Index'!$G$2:$G$1513,$A68,'Equipment Index'!$A$2:$A$1513,"Front Lobby"))</f>
        <v>0</v>
      </c>
      <c r="E68" s="53">
        <f>IF($A68="","",SUMIFS('Equipment Index'!$F$2:$F$1513,'Equipment Index'!$G$2:$G$1513,$A68,'Equipment Index'!$A$2:$A$1513,"Service Room"))</f>
        <v>0</v>
      </c>
      <c r="F68" s="53">
        <f>IF($A68="","",SUMIFS('Equipment Index'!$F$2:$F$1513,'Equipment Index'!$G$2:$G$1513,$A68,'Equipment Index'!$A$2:$A$1513,"Production"))</f>
        <v>0</v>
      </c>
      <c r="G68" s="53">
        <f>IF($A68="","",SUMIFS('Equipment Index'!$F$2:$F$1513,'Equipment Index'!$G$2:$G$1513,$A68,'Equipment Index'!$A$2:$A$1513,"Training Room"))</f>
        <v>0</v>
      </c>
      <c r="H68" s="54">
        <f>IF($A68="","",SUMIFS('Equipment Index'!$F$2:$F$1513,'Equipment Index'!$G$2:$G$1513,$A68,'Equipment Index'!$A$2:$A$1513,"Out of State"))</f>
        <v>0</v>
      </c>
      <c r="I68" s="53">
        <f>IF($A68="","",SUMIFS('Equipment Index'!$F$2:$F$1513,'Equipment Index'!$G$2:$G$1513,$A68,'Equipment Index'!$A$2:$A$1513,"San Antonio"))</f>
        <v>0</v>
      </c>
      <c r="J68" s="53">
        <f>IF($A68="","",SUMIFS('Equipment Index'!$F$2:$F$1513,'Equipment Index'!$G$2:$G$1513,$A68,'Equipment Index'!$A$2:$A$1513,"Dallas"))</f>
        <v>0</v>
      </c>
      <c r="K68" s="55">
        <f t="shared" si="1"/>
        <v>17</v>
      </c>
      <c r="L68" s="56">
        <f>IF($A68="","",SUMIFS('Equipment Index'!$F$2:$F$1513,'Equipment Index'!$G$2:$G$1513,$A68,'Equipment Index'!$C$2:$C$1513,"DISP"))</f>
        <v>17</v>
      </c>
      <c r="M68" s="57">
        <f>IF($A68="","",SUMIFS('Equipment Index'!$F$2:$F$1513,'Equipment Index'!$G$2:$G$1513,$A68,'Equipment Index'!$C$2:$C$1513,"MOD"))</f>
        <v>0</v>
      </c>
      <c r="N68" s="58" t="str">
        <f>IF($A68="","",IF(COUNTIFS('Equipment Index'!$G$2:$G$1513,$A68,'Equipment Index'!$H$2:$H$1513,"?*")=0,"","Customer-owned — "&amp;COUNTIFS('Equipment Index'!$G$2:$G$1513,$A68,'Equipment Index'!$H$2:$H$1513,"?*")&amp;" unit(s): "&amp;IFERROR(INDEX('Equipment Index'!$H$2:$H$1513,SUMPRODUCT(MATCH(1,('Equipment Index'!$G$2:$G$1513=$A68)*('Equipment Index'!$H$2:$H$1513&lt;&gt;""),0))),"")&amp;IF(COUNTIFS('Equipment Index'!$G$2:$G$1513,$A68,'Equipment Index'!$H$2:$H$1513,"?*")&gt;1," + see table below","")))</f>
        <v/>
      </c>
    </row>
    <row r="69" spans="1:14" ht="15" customHeight="1" x14ac:dyDescent="0.25">
      <c r="A69" s="52" t="str">
        <f>IFERROR(INDEX('Equipment Index'!$G$2:$G$1513,MATCH(ROW()-7,'Equipment Index'!$J$2:$J$1513,0)),"")</f>
        <v>Fetco L4S-10</v>
      </c>
      <c r="B69" s="53">
        <f>IF($A69="","",SUMIFS('Equipment Index'!$F$2:$F$1513,'Equipment Index'!$G$2:$G$1513,$A69,'Equipment Index'!$A$2:$A$1513,"Barn - Back Rack"))</f>
        <v>1</v>
      </c>
      <c r="C69" s="53">
        <f>IF($A69="","",SUMIFS('Equipment Index'!$F$2:$F$1513,'Equipment Index'!$G$2:$G$1513,$A69,'Equipment Index'!$A$2:$A$1513,"Barn - Front Rack"))</f>
        <v>0</v>
      </c>
      <c r="D69" s="53">
        <f>IF($A69="","",SUMIFS('Equipment Index'!$F$2:$F$1513,'Equipment Index'!$G$2:$G$1513,$A69,'Equipment Index'!$A$2:$A$1513,"Front Lobby"))</f>
        <v>0</v>
      </c>
      <c r="E69" s="53">
        <f>IF($A69="","",SUMIFS('Equipment Index'!$F$2:$F$1513,'Equipment Index'!$G$2:$G$1513,$A69,'Equipment Index'!$A$2:$A$1513,"Service Room"))</f>
        <v>0</v>
      </c>
      <c r="F69" s="53">
        <f>IF($A69="","",SUMIFS('Equipment Index'!$F$2:$F$1513,'Equipment Index'!$G$2:$G$1513,$A69,'Equipment Index'!$A$2:$A$1513,"Production"))</f>
        <v>0</v>
      </c>
      <c r="G69" s="53">
        <f>IF($A69="","",SUMIFS('Equipment Index'!$F$2:$F$1513,'Equipment Index'!$G$2:$G$1513,$A69,'Equipment Index'!$A$2:$A$1513,"Training Room"))</f>
        <v>0</v>
      </c>
      <c r="H69" s="54">
        <f>IF($A69="","",SUMIFS('Equipment Index'!$F$2:$F$1513,'Equipment Index'!$G$2:$G$1513,$A69,'Equipment Index'!$A$2:$A$1513,"Out of State"))</f>
        <v>0</v>
      </c>
      <c r="I69" s="53">
        <f>IF($A69="","",SUMIFS('Equipment Index'!$F$2:$F$1513,'Equipment Index'!$G$2:$G$1513,$A69,'Equipment Index'!$A$2:$A$1513,"San Antonio"))</f>
        <v>0</v>
      </c>
      <c r="J69" s="53">
        <f>IF($A69="","",SUMIFS('Equipment Index'!$F$2:$F$1513,'Equipment Index'!$G$2:$G$1513,$A69,'Equipment Index'!$A$2:$A$1513,"Dallas"))</f>
        <v>0</v>
      </c>
      <c r="K69" s="55">
        <f t="shared" si="1"/>
        <v>1</v>
      </c>
      <c r="L69" s="56">
        <f>IF($A69="","",SUMIFS('Equipment Index'!$F$2:$F$1513,'Equipment Index'!$G$2:$G$1513,$A69,'Equipment Index'!$C$2:$C$1513,"DISP"))</f>
        <v>1</v>
      </c>
      <c r="M69" s="57">
        <f>IF($A69="","",SUMIFS('Equipment Index'!$F$2:$F$1513,'Equipment Index'!$G$2:$G$1513,$A69,'Equipment Index'!$C$2:$C$1513,"MOD"))</f>
        <v>0</v>
      </c>
      <c r="N69" s="58" t="str">
        <f>IF($A69="","",IF(COUNTIFS('Equipment Index'!$G$2:$G$1513,$A69,'Equipment Index'!$H$2:$H$1513,"?*")=0,"","Customer-owned — "&amp;COUNTIFS('Equipment Index'!$G$2:$G$1513,$A69,'Equipment Index'!$H$2:$H$1513,"?*")&amp;" unit(s): "&amp;IFERROR(INDEX('Equipment Index'!$H$2:$H$1513,SUMPRODUCT(MATCH(1,('Equipment Index'!$G$2:$G$1513=$A69)*('Equipment Index'!$H$2:$H$1513&lt;&gt;""),0))),"")&amp;IF(COUNTIFS('Equipment Index'!$G$2:$G$1513,$A69,'Equipment Index'!$H$2:$H$1513,"?*")&gt;1," + see table below","")))</f>
        <v/>
      </c>
    </row>
    <row r="70" spans="1:14" ht="15" customHeight="1" x14ac:dyDescent="0.25">
      <c r="A70" s="52" t="str">
        <f>IFERROR(INDEX('Equipment Index'!$G$2:$G$1513,MATCH(ROW()-7,'Equipment Index'!$J$2:$J$1513,0)),"")</f>
        <v>Fetco MBS-1221</v>
      </c>
      <c r="B70" s="53">
        <f>IF($A70="","",SUMIFS('Equipment Index'!$F$2:$F$1513,'Equipment Index'!$G$2:$G$1513,$A70,'Equipment Index'!$A$2:$A$1513,"Barn - Back Rack"))</f>
        <v>6</v>
      </c>
      <c r="C70" s="53">
        <f>IF($A70="","",SUMIFS('Equipment Index'!$F$2:$F$1513,'Equipment Index'!$G$2:$G$1513,$A70,'Equipment Index'!$A$2:$A$1513,"Barn - Front Rack"))</f>
        <v>1</v>
      </c>
      <c r="D70" s="53">
        <f>IF($A70="","",SUMIFS('Equipment Index'!$F$2:$F$1513,'Equipment Index'!$G$2:$G$1513,$A70,'Equipment Index'!$A$2:$A$1513,"Front Lobby"))</f>
        <v>0</v>
      </c>
      <c r="E70" s="53">
        <f>IF($A70="","",SUMIFS('Equipment Index'!$F$2:$F$1513,'Equipment Index'!$G$2:$G$1513,$A70,'Equipment Index'!$A$2:$A$1513,"Service Room"))</f>
        <v>0</v>
      </c>
      <c r="F70" s="53">
        <f>IF($A70="","",SUMIFS('Equipment Index'!$F$2:$F$1513,'Equipment Index'!$G$2:$G$1513,$A70,'Equipment Index'!$A$2:$A$1513,"Production"))</f>
        <v>0</v>
      </c>
      <c r="G70" s="53">
        <f>IF($A70="","",SUMIFS('Equipment Index'!$F$2:$F$1513,'Equipment Index'!$G$2:$G$1513,$A70,'Equipment Index'!$A$2:$A$1513,"Training Room"))</f>
        <v>0</v>
      </c>
      <c r="H70" s="54">
        <f>IF($A70="","",SUMIFS('Equipment Index'!$F$2:$F$1513,'Equipment Index'!$G$2:$G$1513,$A70,'Equipment Index'!$A$2:$A$1513,"Out of State"))</f>
        <v>0</v>
      </c>
      <c r="I70" s="53">
        <f>IF($A70="","",SUMIFS('Equipment Index'!$F$2:$F$1513,'Equipment Index'!$G$2:$G$1513,$A70,'Equipment Index'!$A$2:$A$1513,"San Antonio"))</f>
        <v>0</v>
      </c>
      <c r="J70" s="53">
        <f>IF($A70="","",SUMIFS('Equipment Index'!$F$2:$F$1513,'Equipment Index'!$G$2:$G$1513,$A70,'Equipment Index'!$A$2:$A$1513,"Dallas"))</f>
        <v>0</v>
      </c>
      <c r="K70" s="55">
        <f t="shared" si="1"/>
        <v>7</v>
      </c>
      <c r="L70" s="56">
        <f>IF($A70="","",SUMIFS('Equipment Index'!$F$2:$F$1513,'Equipment Index'!$G$2:$G$1513,$A70,'Equipment Index'!$C$2:$C$1513,"DISP"))</f>
        <v>0</v>
      </c>
      <c r="M70" s="57">
        <f>IF($A70="","",SUMIFS('Equipment Index'!$F$2:$F$1513,'Equipment Index'!$G$2:$G$1513,$A70,'Equipment Index'!$C$2:$C$1513,"MOD"))</f>
        <v>0</v>
      </c>
      <c r="N70" s="58" t="str">
        <f>IF($A70="","",IF(COUNTIFS('Equipment Index'!$G$2:$G$1513,$A70,'Equipment Index'!$H$2:$H$1513,"?*")=0,"","Customer-owned — "&amp;COUNTIFS('Equipment Index'!$G$2:$G$1513,$A70,'Equipment Index'!$H$2:$H$1513,"?*")&amp;" unit(s): "&amp;IFERROR(INDEX('Equipment Index'!$H$2:$H$1513,SUMPRODUCT(MATCH(1,('Equipment Index'!$G$2:$G$1513=$A70)*('Equipment Index'!$H$2:$H$1513&lt;&gt;""),0))),"")&amp;IF(COUNTIFS('Equipment Index'!$G$2:$G$1513,$A70,'Equipment Index'!$H$2:$H$1513,"?*")&gt;1," + see table below","")))</f>
        <v/>
      </c>
    </row>
    <row r="71" spans="1:14" ht="15" customHeight="1" x14ac:dyDescent="0.25">
      <c r="A71" s="52" t="str">
        <f>IFERROR(INDEX('Equipment Index'!$G$2:$G$1513,MATCH(ROW()-7,'Equipment Index'!$J$2:$J$1513,0)),"")</f>
        <v>Fetco MBS-1251</v>
      </c>
      <c r="B71" s="53">
        <f>IF($A71="","",SUMIFS('Equipment Index'!$F$2:$F$1513,'Equipment Index'!$G$2:$G$1513,$A71,'Equipment Index'!$A$2:$A$1513,"Barn - Back Rack"))</f>
        <v>0</v>
      </c>
      <c r="C71" s="53">
        <f>IF($A71="","",SUMIFS('Equipment Index'!$F$2:$F$1513,'Equipment Index'!$G$2:$G$1513,$A71,'Equipment Index'!$A$2:$A$1513,"Barn - Front Rack"))</f>
        <v>0</v>
      </c>
      <c r="D71" s="53">
        <f>IF($A71="","",SUMIFS('Equipment Index'!$F$2:$F$1513,'Equipment Index'!$G$2:$G$1513,$A71,'Equipment Index'!$A$2:$A$1513,"Front Lobby"))</f>
        <v>0</v>
      </c>
      <c r="E71" s="53">
        <f>IF($A71="","",SUMIFS('Equipment Index'!$F$2:$F$1513,'Equipment Index'!$G$2:$G$1513,$A71,'Equipment Index'!$A$2:$A$1513,"Service Room"))</f>
        <v>0</v>
      </c>
      <c r="F71" s="53">
        <f>IF($A71="","",SUMIFS('Equipment Index'!$F$2:$F$1513,'Equipment Index'!$G$2:$G$1513,$A71,'Equipment Index'!$A$2:$A$1513,"Production"))</f>
        <v>0</v>
      </c>
      <c r="G71" s="53">
        <f>IF($A71="","",SUMIFS('Equipment Index'!$F$2:$F$1513,'Equipment Index'!$G$2:$G$1513,$A71,'Equipment Index'!$A$2:$A$1513,"Training Room"))</f>
        <v>1</v>
      </c>
      <c r="H71" s="54">
        <f>IF($A71="","",SUMIFS('Equipment Index'!$F$2:$F$1513,'Equipment Index'!$G$2:$G$1513,$A71,'Equipment Index'!$A$2:$A$1513,"Out of State"))</f>
        <v>0</v>
      </c>
      <c r="I71" s="53">
        <f>IF($A71="","",SUMIFS('Equipment Index'!$F$2:$F$1513,'Equipment Index'!$G$2:$G$1513,$A71,'Equipment Index'!$A$2:$A$1513,"San Antonio"))</f>
        <v>0</v>
      </c>
      <c r="J71" s="53">
        <f>IF($A71="","",SUMIFS('Equipment Index'!$F$2:$F$1513,'Equipment Index'!$G$2:$G$1513,$A71,'Equipment Index'!$A$2:$A$1513,"Dallas"))</f>
        <v>0</v>
      </c>
      <c r="K71" s="55">
        <f t="shared" si="1"/>
        <v>1</v>
      </c>
      <c r="L71" s="56">
        <f>IF($A71="","",SUMIFS('Equipment Index'!$F$2:$F$1513,'Equipment Index'!$G$2:$G$1513,$A71,'Equipment Index'!$C$2:$C$1513,"DISP"))</f>
        <v>0</v>
      </c>
      <c r="M71" s="57">
        <f>IF($A71="","",SUMIFS('Equipment Index'!$F$2:$F$1513,'Equipment Index'!$G$2:$G$1513,$A71,'Equipment Index'!$C$2:$C$1513,"MOD"))</f>
        <v>0</v>
      </c>
      <c r="N71" s="58" t="str">
        <f>IF($A71="","",IF(COUNTIFS('Equipment Index'!$G$2:$G$1513,$A71,'Equipment Index'!$H$2:$H$1513,"?*")=0,"","Customer-owned — "&amp;COUNTIFS('Equipment Index'!$G$2:$G$1513,$A71,'Equipment Index'!$H$2:$H$1513,"?*")&amp;" unit(s): "&amp;IFERROR(INDEX('Equipment Index'!$H$2:$H$1513,SUMPRODUCT(MATCH(1,('Equipment Index'!$G$2:$G$1513=$A71)*('Equipment Index'!$H$2:$H$1513&lt;&gt;""),0))),"")&amp;IF(COUNTIFS('Equipment Index'!$G$2:$G$1513,$A71,'Equipment Index'!$H$2:$H$1513,"?*")&gt;1," + see table below","")))</f>
        <v/>
      </c>
    </row>
    <row r="72" spans="1:14" ht="15" customHeight="1" x14ac:dyDescent="0.25">
      <c r="A72" s="52" t="str">
        <f>IFERROR(INDEX('Equipment Index'!$G$2:$G$1513,MATCH(ROW()-7,'Equipment Index'!$J$2:$J$1513,0)),"")</f>
        <v>Fetco Twin Station</v>
      </c>
      <c r="B72" s="53">
        <f>IF($A72="","",SUMIFS('Equipment Index'!$F$2:$F$1513,'Equipment Index'!$G$2:$G$1513,$A72,'Equipment Index'!$A$2:$A$1513,"Barn - Back Rack"))</f>
        <v>3</v>
      </c>
      <c r="C72" s="53">
        <f>IF($A72="","",SUMIFS('Equipment Index'!$F$2:$F$1513,'Equipment Index'!$G$2:$G$1513,$A72,'Equipment Index'!$A$2:$A$1513,"Barn - Front Rack"))</f>
        <v>0</v>
      </c>
      <c r="D72" s="53">
        <f>IF($A72="","",SUMIFS('Equipment Index'!$F$2:$F$1513,'Equipment Index'!$G$2:$G$1513,$A72,'Equipment Index'!$A$2:$A$1513,"Front Lobby"))</f>
        <v>0</v>
      </c>
      <c r="E72" s="53">
        <f>IF($A72="","",SUMIFS('Equipment Index'!$F$2:$F$1513,'Equipment Index'!$G$2:$G$1513,$A72,'Equipment Index'!$A$2:$A$1513,"Service Room"))</f>
        <v>0</v>
      </c>
      <c r="F72" s="53">
        <f>IF($A72="","",SUMIFS('Equipment Index'!$F$2:$F$1513,'Equipment Index'!$G$2:$G$1513,$A72,'Equipment Index'!$A$2:$A$1513,"Production"))</f>
        <v>0</v>
      </c>
      <c r="G72" s="53">
        <f>IF($A72="","",SUMIFS('Equipment Index'!$F$2:$F$1513,'Equipment Index'!$G$2:$G$1513,$A72,'Equipment Index'!$A$2:$A$1513,"Training Room"))</f>
        <v>0</v>
      </c>
      <c r="H72" s="54">
        <f>IF($A72="","",SUMIFS('Equipment Index'!$F$2:$F$1513,'Equipment Index'!$G$2:$G$1513,$A72,'Equipment Index'!$A$2:$A$1513,"Out of State"))</f>
        <v>0</v>
      </c>
      <c r="I72" s="53">
        <f>IF($A72="","",SUMIFS('Equipment Index'!$F$2:$F$1513,'Equipment Index'!$G$2:$G$1513,$A72,'Equipment Index'!$A$2:$A$1513,"San Antonio"))</f>
        <v>0</v>
      </c>
      <c r="J72" s="53">
        <f>IF($A72="","",SUMIFS('Equipment Index'!$F$2:$F$1513,'Equipment Index'!$G$2:$G$1513,$A72,'Equipment Index'!$A$2:$A$1513,"Dallas"))</f>
        <v>0</v>
      </c>
      <c r="K72" s="55">
        <f t="shared" ref="K72:K103" si="2">IF($A72="","",SUM($B72:$J72))</f>
        <v>3</v>
      </c>
      <c r="L72" s="56">
        <f>IF($A72="","",SUMIFS('Equipment Index'!$F$2:$F$1513,'Equipment Index'!$G$2:$G$1513,$A72,'Equipment Index'!$C$2:$C$1513,"DISP"))</f>
        <v>3</v>
      </c>
      <c r="M72" s="57">
        <f>IF($A72="","",SUMIFS('Equipment Index'!$F$2:$F$1513,'Equipment Index'!$G$2:$G$1513,$A72,'Equipment Index'!$C$2:$C$1513,"MOD"))</f>
        <v>0</v>
      </c>
      <c r="N72" s="58" t="str">
        <f>IF($A72="","",IF(COUNTIFS('Equipment Index'!$G$2:$G$1513,$A72,'Equipment Index'!$H$2:$H$1513,"?*")=0,"","Customer-owned — "&amp;COUNTIFS('Equipment Index'!$G$2:$G$1513,$A72,'Equipment Index'!$H$2:$H$1513,"?*")&amp;" unit(s): "&amp;IFERROR(INDEX('Equipment Index'!$H$2:$H$1513,SUMPRODUCT(MATCH(1,('Equipment Index'!$G$2:$G$1513=$A72)*('Equipment Index'!$H$2:$H$1513&lt;&gt;""),0))),"")&amp;IF(COUNTIFS('Equipment Index'!$G$2:$G$1513,$A72,'Equipment Index'!$H$2:$H$1513,"?*")&gt;1," + see table below","")))</f>
        <v/>
      </c>
    </row>
    <row r="73" spans="1:14" ht="15" customHeight="1" x14ac:dyDescent="0.25">
      <c r="A73" s="52" t="str">
        <f>IFERROR(INDEX('Equipment Index'!$G$2:$G$1513,MATCH(ROW()-7,'Equipment Index'!$J$2:$J$1513,0)),"")</f>
        <v>Frosty Factory 217A</v>
      </c>
      <c r="B73" s="53">
        <f>IF($A73="","",SUMIFS('Equipment Index'!$F$2:$F$1513,'Equipment Index'!$G$2:$G$1513,$A73,'Equipment Index'!$A$2:$A$1513,"Barn - Back Rack"))</f>
        <v>0</v>
      </c>
      <c r="C73" s="53">
        <f>IF($A73="","",SUMIFS('Equipment Index'!$F$2:$F$1513,'Equipment Index'!$G$2:$G$1513,$A73,'Equipment Index'!$A$2:$A$1513,"Barn - Front Rack"))</f>
        <v>0</v>
      </c>
      <c r="D73" s="53">
        <f>IF($A73="","",SUMIFS('Equipment Index'!$F$2:$F$1513,'Equipment Index'!$G$2:$G$1513,$A73,'Equipment Index'!$A$2:$A$1513,"Front Lobby"))</f>
        <v>0</v>
      </c>
      <c r="E73" s="53">
        <f>IF($A73="","",SUMIFS('Equipment Index'!$F$2:$F$1513,'Equipment Index'!$G$2:$G$1513,$A73,'Equipment Index'!$A$2:$A$1513,"Service Room"))</f>
        <v>0</v>
      </c>
      <c r="F73" s="53">
        <f>IF($A73="","",SUMIFS('Equipment Index'!$F$2:$F$1513,'Equipment Index'!$G$2:$G$1513,$A73,'Equipment Index'!$A$2:$A$1513,"Production"))</f>
        <v>0</v>
      </c>
      <c r="G73" s="53">
        <f>IF($A73="","",SUMIFS('Equipment Index'!$F$2:$F$1513,'Equipment Index'!$G$2:$G$1513,$A73,'Equipment Index'!$A$2:$A$1513,"Training Room"))</f>
        <v>1</v>
      </c>
      <c r="H73" s="54">
        <f>IF($A73="","",SUMIFS('Equipment Index'!$F$2:$F$1513,'Equipment Index'!$G$2:$G$1513,$A73,'Equipment Index'!$A$2:$A$1513,"Out of State"))</f>
        <v>0</v>
      </c>
      <c r="I73" s="53">
        <f>IF($A73="","",SUMIFS('Equipment Index'!$F$2:$F$1513,'Equipment Index'!$G$2:$G$1513,$A73,'Equipment Index'!$A$2:$A$1513,"San Antonio"))</f>
        <v>0</v>
      </c>
      <c r="J73" s="53">
        <f>IF($A73="","",SUMIFS('Equipment Index'!$F$2:$F$1513,'Equipment Index'!$G$2:$G$1513,$A73,'Equipment Index'!$A$2:$A$1513,"Dallas"))</f>
        <v>0</v>
      </c>
      <c r="K73" s="55">
        <f t="shared" si="2"/>
        <v>1</v>
      </c>
      <c r="L73" s="56">
        <f>IF($A73="","",SUMIFS('Equipment Index'!$F$2:$F$1513,'Equipment Index'!$G$2:$G$1513,$A73,'Equipment Index'!$C$2:$C$1513,"DISP"))</f>
        <v>0</v>
      </c>
      <c r="M73" s="57">
        <f>IF($A73="","",SUMIFS('Equipment Index'!$F$2:$F$1513,'Equipment Index'!$G$2:$G$1513,$A73,'Equipment Index'!$C$2:$C$1513,"MOD"))</f>
        <v>0</v>
      </c>
      <c r="N73" s="58" t="str">
        <f>IF($A73="","",IF(COUNTIFS('Equipment Index'!$G$2:$G$1513,$A73,'Equipment Index'!$H$2:$H$1513,"?*")=0,"","Customer-owned — "&amp;COUNTIFS('Equipment Index'!$G$2:$G$1513,$A73,'Equipment Index'!$H$2:$H$1513,"?*")&amp;" unit(s): "&amp;IFERROR(INDEX('Equipment Index'!$H$2:$H$1513,SUMPRODUCT(MATCH(1,('Equipment Index'!$G$2:$G$1513=$A73)*('Equipment Index'!$H$2:$H$1513&lt;&gt;""),0))),"")&amp;IF(COUNTIFS('Equipment Index'!$G$2:$G$1513,$A73,'Equipment Index'!$H$2:$H$1513,"?*")&gt;1," + see table below","")))</f>
        <v/>
      </c>
    </row>
    <row r="74" spans="1:14" ht="15" customHeight="1" x14ac:dyDescent="0.25">
      <c r="A74" s="52" t="str">
        <f>IFERROR(INDEX('Equipment Index'!$G$2:$G$1513,MATCH(ROW()-7,'Equipment Index'!$J$2:$J$1513,0)),"")</f>
        <v>La Marzocco KB90 ABR</v>
      </c>
      <c r="B74" s="53">
        <f>IF($A74="","",SUMIFS('Equipment Index'!$F$2:$F$1513,'Equipment Index'!$G$2:$G$1513,$A74,'Equipment Index'!$A$2:$A$1513,"Barn - Back Rack"))</f>
        <v>0</v>
      </c>
      <c r="C74" s="53">
        <f>IF($A74="","",SUMIFS('Equipment Index'!$F$2:$F$1513,'Equipment Index'!$G$2:$G$1513,$A74,'Equipment Index'!$A$2:$A$1513,"Barn - Front Rack"))</f>
        <v>0</v>
      </c>
      <c r="D74" s="53">
        <f>IF($A74="","",SUMIFS('Equipment Index'!$F$2:$F$1513,'Equipment Index'!$G$2:$G$1513,$A74,'Equipment Index'!$A$2:$A$1513,"Front Lobby"))</f>
        <v>1</v>
      </c>
      <c r="E74" s="53">
        <f>IF($A74="","",SUMIFS('Equipment Index'!$F$2:$F$1513,'Equipment Index'!$G$2:$G$1513,$A74,'Equipment Index'!$A$2:$A$1513,"Service Room"))</f>
        <v>0</v>
      </c>
      <c r="F74" s="53">
        <f>IF($A74="","",SUMIFS('Equipment Index'!$F$2:$F$1513,'Equipment Index'!$G$2:$G$1513,$A74,'Equipment Index'!$A$2:$A$1513,"Production"))</f>
        <v>0</v>
      </c>
      <c r="G74" s="53">
        <f>IF($A74="","",SUMIFS('Equipment Index'!$F$2:$F$1513,'Equipment Index'!$G$2:$G$1513,$A74,'Equipment Index'!$A$2:$A$1513,"Training Room"))</f>
        <v>0</v>
      </c>
      <c r="H74" s="54">
        <f>IF($A74="","",SUMIFS('Equipment Index'!$F$2:$F$1513,'Equipment Index'!$G$2:$G$1513,$A74,'Equipment Index'!$A$2:$A$1513,"Out of State"))</f>
        <v>0</v>
      </c>
      <c r="I74" s="53">
        <f>IF($A74="","",SUMIFS('Equipment Index'!$F$2:$F$1513,'Equipment Index'!$G$2:$G$1513,$A74,'Equipment Index'!$A$2:$A$1513,"San Antonio"))</f>
        <v>0</v>
      </c>
      <c r="J74" s="53">
        <f>IF($A74="","",SUMIFS('Equipment Index'!$F$2:$F$1513,'Equipment Index'!$G$2:$G$1513,$A74,'Equipment Index'!$A$2:$A$1513,"Dallas"))</f>
        <v>0</v>
      </c>
      <c r="K74" s="55">
        <f t="shared" si="2"/>
        <v>1</v>
      </c>
      <c r="L74" s="56">
        <f>IF($A74="","",SUMIFS('Equipment Index'!$F$2:$F$1513,'Equipment Index'!$G$2:$G$1513,$A74,'Equipment Index'!$C$2:$C$1513,"DISP"))</f>
        <v>0</v>
      </c>
      <c r="M74" s="57">
        <f>IF($A74="","",SUMIFS('Equipment Index'!$F$2:$F$1513,'Equipment Index'!$G$2:$G$1513,$A74,'Equipment Index'!$C$2:$C$1513,"MOD"))</f>
        <v>0</v>
      </c>
      <c r="N74" s="58" t="str">
        <f>IF($A74="","",IF(COUNTIFS('Equipment Index'!$G$2:$G$1513,$A74,'Equipment Index'!$H$2:$H$1513,"?*")=0,"","Customer-owned — "&amp;COUNTIFS('Equipment Index'!$G$2:$G$1513,$A74,'Equipment Index'!$H$2:$H$1513,"?*")&amp;" unit(s): "&amp;IFERROR(INDEX('Equipment Index'!$H$2:$H$1513,SUMPRODUCT(MATCH(1,('Equipment Index'!$G$2:$G$1513=$A74)*('Equipment Index'!$H$2:$H$1513&lt;&gt;""),0))),"")&amp;IF(COUNTIFS('Equipment Index'!$G$2:$G$1513,$A74,'Equipment Index'!$H$2:$H$1513,"?*")&gt;1," + see table below","")))</f>
        <v/>
      </c>
    </row>
    <row r="75" spans="1:14" ht="15" customHeight="1" x14ac:dyDescent="0.25">
      <c r="A75" s="52" t="str">
        <f>IFERROR(INDEX('Equipment Index'!$G$2:$G$1513,MATCH(ROW()-7,'Equipment Index'!$J$2:$J$1513,0)),"")</f>
        <v>La Marzocco Linea 2EE</v>
      </c>
      <c r="B75" s="53">
        <f>IF($A75="","",SUMIFS('Equipment Index'!$F$2:$F$1513,'Equipment Index'!$G$2:$G$1513,$A75,'Equipment Index'!$A$2:$A$1513,"Barn - Back Rack"))</f>
        <v>0</v>
      </c>
      <c r="C75" s="53">
        <f>IF($A75="","",SUMIFS('Equipment Index'!$F$2:$F$1513,'Equipment Index'!$G$2:$G$1513,$A75,'Equipment Index'!$A$2:$A$1513,"Barn - Front Rack"))</f>
        <v>1</v>
      </c>
      <c r="D75" s="53">
        <f>IF($A75="","",SUMIFS('Equipment Index'!$F$2:$F$1513,'Equipment Index'!$G$2:$G$1513,$A75,'Equipment Index'!$A$2:$A$1513,"Front Lobby"))</f>
        <v>0</v>
      </c>
      <c r="E75" s="53">
        <f>IF($A75="","",SUMIFS('Equipment Index'!$F$2:$F$1513,'Equipment Index'!$G$2:$G$1513,$A75,'Equipment Index'!$A$2:$A$1513,"Service Room"))</f>
        <v>0</v>
      </c>
      <c r="F75" s="53">
        <f>IF($A75="","",SUMIFS('Equipment Index'!$F$2:$F$1513,'Equipment Index'!$G$2:$G$1513,$A75,'Equipment Index'!$A$2:$A$1513,"Production"))</f>
        <v>0</v>
      </c>
      <c r="G75" s="53">
        <f>IF($A75="","",SUMIFS('Equipment Index'!$F$2:$F$1513,'Equipment Index'!$G$2:$G$1513,$A75,'Equipment Index'!$A$2:$A$1513,"Training Room"))</f>
        <v>0</v>
      </c>
      <c r="H75" s="54">
        <f>IF($A75="","",SUMIFS('Equipment Index'!$F$2:$F$1513,'Equipment Index'!$G$2:$G$1513,$A75,'Equipment Index'!$A$2:$A$1513,"Out of State"))</f>
        <v>0</v>
      </c>
      <c r="I75" s="53">
        <f>IF($A75="","",SUMIFS('Equipment Index'!$F$2:$F$1513,'Equipment Index'!$G$2:$G$1513,$A75,'Equipment Index'!$A$2:$A$1513,"San Antonio"))</f>
        <v>0</v>
      </c>
      <c r="J75" s="53">
        <f>IF($A75="","",SUMIFS('Equipment Index'!$F$2:$F$1513,'Equipment Index'!$G$2:$G$1513,$A75,'Equipment Index'!$A$2:$A$1513,"Dallas"))</f>
        <v>0</v>
      </c>
      <c r="K75" s="55">
        <f t="shared" si="2"/>
        <v>1</v>
      </c>
      <c r="L75" s="56">
        <f>IF($A75="","",SUMIFS('Equipment Index'!$F$2:$F$1513,'Equipment Index'!$G$2:$G$1513,$A75,'Equipment Index'!$C$2:$C$1513,"DISP"))</f>
        <v>0</v>
      </c>
      <c r="M75" s="57">
        <f>IF($A75="","",SUMIFS('Equipment Index'!$F$2:$F$1513,'Equipment Index'!$G$2:$G$1513,$A75,'Equipment Index'!$C$2:$C$1513,"MOD"))</f>
        <v>0</v>
      </c>
      <c r="N75" s="58" t="str">
        <f>IF($A75="","",IF(COUNTIFS('Equipment Index'!$G$2:$G$1513,$A75,'Equipment Index'!$H$2:$H$1513,"?*")=0,"","Customer-owned — "&amp;COUNTIFS('Equipment Index'!$G$2:$G$1513,$A75,'Equipment Index'!$H$2:$H$1513,"?*")&amp;" unit(s): "&amp;IFERROR(INDEX('Equipment Index'!$H$2:$H$1513,SUMPRODUCT(MATCH(1,('Equipment Index'!$G$2:$G$1513=$A75)*('Equipment Index'!$H$2:$H$1513&lt;&gt;""),0))),"")&amp;IF(COUNTIFS('Equipment Index'!$G$2:$G$1513,$A75,'Equipment Index'!$H$2:$H$1513,"?*")&gt;1," + see table below","")))</f>
        <v/>
      </c>
    </row>
    <row r="76" spans="1:14" ht="15" customHeight="1" x14ac:dyDescent="0.25">
      <c r="A76" s="52" t="str">
        <f>IFERROR(INDEX('Equipment Index'!$G$2:$G$1513,MATCH(ROW()-7,'Equipment Index'!$J$2:$J$1513,0)),"")</f>
        <v>La Marzocco Linea S 2AV</v>
      </c>
      <c r="B76" s="53">
        <f>IF($A76="","",SUMIFS('Equipment Index'!$F$2:$F$1513,'Equipment Index'!$G$2:$G$1513,$A76,'Equipment Index'!$A$2:$A$1513,"Barn - Back Rack"))</f>
        <v>0</v>
      </c>
      <c r="C76" s="53">
        <f>IF($A76="","",SUMIFS('Equipment Index'!$F$2:$F$1513,'Equipment Index'!$G$2:$G$1513,$A76,'Equipment Index'!$A$2:$A$1513,"Barn - Front Rack"))</f>
        <v>1</v>
      </c>
      <c r="D76" s="53">
        <f>IF($A76="","",SUMIFS('Equipment Index'!$F$2:$F$1513,'Equipment Index'!$G$2:$G$1513,$A76,'Equipment Index'!$A$2:$A$1513,"Front Lobby"))</f>
        <v>0</v>
      </c>
      <c r="E76" s="53">
        <f>IF($A76="","",SUMIFS('Equipment Index'!$F$2:$F$1513,'Equipment Index'!$G$2:$G$1513,$A76,'Equipment Index'!$A$2:$A$1513,"Service Room"))</f>
        <v>0</v>
      </c>
      <c r="F76" s="53">
        <f>IF($A76="","",SUMIFS('Equipment Index'!$F$2:$F$1513,'Equipment Index'!$G$2:$G$1513,$A76,'Equipment Index'!$A$2:$A$1513,"Production"))</f>
        <v>0</v>
      </c>
      <c r="G76" s="53">
        <f>IF($A76="","",SUMIFS('Equipment Index'!$F$2:$F$1513,'Equipment Index'!$G$2:$G$1513,$A76,'Equipment Index'!$A$2:$A$1513,"Training Room"))</f>
        <v>0</v>
      </c>
      <c r="H76" s="54">
        <f>IF($A76="","",SUMIFS('Equipment Index'!$F$2:$F$1513,'Equipment Index'!$G$2:$G$1513,$A76,'Equipment Index'!$A$2:$A$1513,"Out of State"))</f>
        <v>0</v>
      </c>
      <c r="I76" s="53">
        <f>IF($A76="","",SUMIFS('Equipment Index'!$F$2:$F$1513,'Equipment Index'!$G$2:$G$1513,$A76,'Equipment Index'!$A$2:$A$1513,"San Antonio"))</f>
        <v>0</v>
      </c>
      <c r="J76" s="53">
        <f>IF($A76="","",SUMIFS('Equipment Index'!$F$2:$F$1513,'Equipment Index'!$G$2:$G$1513,$A76,'Equipment Index'!$A$2:$A$1513,"Dallas"))</f>
        <v>0</v>
      </c>
      <c r="K76" s="55">
        <f t="shared" si="2"/>
        <v>1</v>
      </c>
      <c r="L76" s="56">
        <f>IF($A76="","",SUMIFS('Equipment Index'!$F$2:$F$1513,'Equipment Index'!$G$2:$G$1513,$A76,'Equipment Index'!$C$2:$C$1513,"DISP"))</f>
        <v>0</v>
      </c>
      <c r="M76" s="57">
        <f>IF($A76="","",SUMIFS('Equipment Index'!$F$2:$F$1513,'Equipment Index'!$G$2:$G$1513,$A76,'Equipment Index'!$C$2:$C$1513,"MOD"))</f>
        <v>0</v>
      </c>
      <c r="N76" s="58" t="str">
        <f>IF($A76="","",IF(COUNTIFS('Equipment Index'!$G$2:$G$1513,$A76,'Equipment Index'!$H$2:$H$1513,"?*")=0,"","Customer-owned — "&amp;COUNTIFS('Equipment Index'!$G$2:$G$1513,$A76,'Equipment Index'!$H$2:$H$1513,"?*")&amp;" unit(s): "&amp;IFERROR(INDEX('Equipment Index'!$H$2:$H$1513,SUMPRODUCT(MATCH(1,('Equipment Index'!$G$2:$G$1513=$A76)*('Equipment Index'!$H$2:$H$1513&lt;&gt;""),0))),"")&amp;IF(COUNTIFS('Equipment Index'!$G$2:$G$1513,$A76,'Equipment Index'!$H$2:$H$1513,"?*")&gt;1," + see table below","")))</f>
        <v>Customer-owned — 1 unit(s): Coco's</v>
      </c>
    </row>
    <row r="77" spans="1:14" ht="15" customHeight="1" x14ac:dyDescent="0.25">
      <c r="A77" s="52" t="str">
        <f>IFERROR(INDEX('Equipment Index'!$G$2:$G$1513,MATCH(ROW()-7,'Equipment Index'!$J$2:$J$1513,0)),"")</f>
        <v>La Marzocco Strada 2EP</v>
      </c>
      <c r="B77" s="53">
        <f>IF($A77="","",SUMIFS('Equipment Index'!$F$2:$F$1513,'Equipment Index'!$G$2:$G$1513,$A77,'Equipment Index'!$A$2:$A$1513,"Barn - Back Rack"))</f>
        <v>0</v>
      </c>
      <c r="C77" s="53">
        <f>IF($A77="","",SUMIFS('Equipment Index'!$F$2:$F$1513,'Equipment Index'!$G$2:$G$1513,$A77,'Equipment Index'!$A$2:$A$1513,"Barn - Front Rack"))</f>
        <v>0</v>
      </c>
      <c r="D77" s="53">
        <f>IF($A77="","",SUMIFS('Equipment Index'!$F$2:$F$1513,'Equipment Index'!$G$2:$G$1513,$A77,'Equipment Index'!$A$2:$A$1513,"Front Lobby"))</f>
        <v>0</v>
      </c>
      <c r="E77" s="53">
        <f>IF($A77="","",SUMIFS('Equipment Index'!$F$2:$F$1513,'Equipment Index'!$G$2:$G$1513,$A77,'Equipment Index'!$A$2:$A$1513,"Service Room"))</f>
        <v>1</v>
      </c>
      <c r="F77" s="53">
        <f>IF($A77="","",SUMIFS('Equipment Index'!$F$2:$F$1513,'Equipment Index'!$G$2:$G$1513,$A77,'Equipment Index'!$A$2:$A$1513,"Production"))</f>
        <v>0</v>
      </c>
      <c r="G77" s="53">
        <f>IF($A77="","",SUMIFS('Equipment Index'!$F$2:$F$1513,'Equipment Index'!$G$2:$G$1513,$A77,'Equipment Index'!$A$2:$A$1513,"Training Room"))</f>
        <v>0</v>
      </c>
      <c r="H77" s="54">
        <f>IF($A77="","",SUMIFS('Equipment Index'!$F$2:$F$1513,'Equipment Index'!$G$2:$G$1513,$A77,'Equipment Index'!$A$2:$A$1513,"Out of State"))</f>
        <v>0</v>
      </c>
      <c r="I77" s="53">
        <f>IF($A77="","",SUMIFS('Equipment Index'!$F$2:$F$1513,'Equipment Index'!$G$2:$G$1513,$A77,'Equipment Index'!$A$2:$A$1513,"San Antonio"))</f>
        <v>0</v>
      </c>
      <c r="J77" s="53">
        <f>IF($A77="","",SUMIFS('Equipment Index'!$F$2:$F$1513,'Equipment Index'!$G$2:$G$1513,$A77,'Equipment Index'!$A$2:$A$1513,"Dallas"))</f>
        <v>0</v>
      </c>
      <c r="K77" s="55">
        <f t="shared" si="2"/>
        <v>1</v>
      </c>
      <c r="L77" s="56">
        <f>IF($A77="","",SUMIFS('Equipment Index'!$F$2:$F$1513,'Equipment Index'!$G$2:$G$1513,$A77,'Equipment Index'!$C$2:$C$1513,"DISP"))</f>
        <v>0</v>
      </c>
      <c r="M77" s="57">
        <f>IF($A77="","",SUMIFS('Equipment Index'!$F$2:$F$1513,'Equipment Index'!$G$2:$G$1513,$A77,'Equipment Index'!$C$2:$C$1513,"MOD"))</f>
        <v>0</v>
      </c>
      <c r="N77" s="58" t="str">
        <f>IF($A77="","",IF(COUNTIFS('Equipment Index'!$G$2:$G$1513,$A77,'Equipment Index'!$H$2:$H$1513,"?*")=0,"","Customer-owned — "&amp;COUNTIFS('Equipment Index'!$G$2:$G$1513,$A77,'Equipment Index'!$H$2:$H$1513,"?*")&amp;" unit(s): "&amp;IFERROR(INDEX('Equipment Index'!$H$2:$H$1513,SUMPRODUCT(MATCH(1,('Equipment Index'!$G$2:$G$1513=$A77)*('Equipment Index'!$H$2:$H$1513&lt;&gt;""),0))),"")&amp;IF(COUNTIFS('Equipment Index'!$G$2:$G$1513,$A77,'Equipment Index'!$H$2:$H$1513,"?*")&gt;1," + see table below","")))</f>
        <v/>
      </c>
    </row>
    <row r="78" spans="1:14" ht="15" customHeight="1" x14ac:dyDescent="0.25">
      <c r="A78" s="52" t="str">
        <f>IFERROR(INDEX('Equipment Index'!$G$2:$G$1513,MATCH(ROW()-7,'Equipment Index'!$J$2:$J$1513,0)),"")</f>
        <v>La Marzocco Strada 3AV</v>
      </c>
      <c r="B78" s="53">
        <f>IF($A78="","",SUMIFS('Equipment Index'!$F$2:$F$1513,'Equipment Index'!$G$2:$G$1513,$A78,'Equipment Index'!$A$2:$A$1513,"Barn - Back Rack"))</f>
        <v>0</v>
      </c>
      <c r="C78" s="53">
        <f>IF($A78="","",SUMIFS('Equipment Index'!$F$2:$F$1513,'Equipment Index'!$G$2:$G$1513,$A78,'Equipment Index'!$A$2:$A$1513,"Barn - Front Rack"))</f>
        <v>1</v>
      </c>
      <c r="D78" s="53">
        <f>IF($A78="","",SUMIFS('Equipment Index'!$F$2:$F$1513,'Equipment Index'!$G$2:$G$1513,$A78,'Equipment Index'!$A$2:$A$1513,"Front Lobby"))</f>
        <v>0</v>
      </c>
      <c r="E78" s="53">
        <f>IF($A78="","",SUMIFS('Equipment Index'!$F$2:$F$1513,'Equipment Index'!$G$2:$G$1513,$A78,'Equipment Index'!$A$2:$A$1513,"Service Room"))</f>
        <v>0</v>
      </c>
      <c r="F78" s="53">
        <f>IF($A78="","",SUMIFS('Equipment Index'!$F$2:$F$1513,'Equipment Index'!$G$2:$G$1513,$A78,'Equipment Index'!$A$2:$A$1513,"Production"))</f>
        <v>0</v>
      </c>
      <c r="G78" s="53">
        <f>IF($A78="","",SUMIFS('Equipment Index'!$F$2:$F$1513,'Equipment Index'!$G$2:$G$1513,$A78,'Equipment Index'!$A$2:$A$1513,"Training Room"))</f>
        <v>0</v>
      </c>
      <c r="H78" s="54">
        <f>IF($A78="","",SUMIFS('Equipment Index'!$F$2:$F$1513,'Equipment Index'!$G$2:$G$1513,$A78,'Equipment Index'!$A$2:$A$1513,"Out of State"))</f>
        <v>0</v>
      </c>
      <c r="I78" s="53">
        <f>IF($A78="","",SUMIFS('Equipment Index'!$F$2:$F$1513,'Equipment Index'!$G$2:$G$1513,$A78,'Equipment Index'!$A$2:$A$1513,"San Antonio"))</f>
        <v>0</v>
      </c>
      <c r="J78" s="53">
        <f>IF($A78="","",SUMIFS('Equipment Index'!$F$2:$F$1513,'Equipment Index'!$G$2:$G$1513,$A78,'Equipment Index'!$A$2:$A$1513,"Dallas"))</f>
        <v>0</v>
      </c>
      <c r="K78" s="55">
        <f t="shared" si="2"/>
        <v>1</v>
      </c>
      <c r="L78" s="56">
        <f>IF($A78="","",SUMIFS('Equipment Index'!$F$2:$F$1513,'Equipment Index'!$G$2:$G$1513,$A78,'Equipment Index'!$C$2:$C$1513,"DISP"))</f>
        <v>0</v>
      </c>
      <c r="M78" s="57">
        <f>IF($A78="","",SUMIFS('Equipment Index'!$F$2:$F$1513,'Equipment Index'!$G$2:$G$1513,$A78,'Equipment Index'!$C$2:$C$1513,"MOD"))</f>
        <v>0</v>
      </c>
      <c r="N78" s="58" t="str">
        <f>IF($A78="","",IF(COUNTIFS('Equipment Index'!$G$2:$G$1513,$A78,'Equipment Index'!$H$2:$H$1513,"?*")=0,"","Customer-owned — "&amp;COUNTIFS('Equipment Index'!$G$2:$G$1513,$A78,'Equipment Index'!$H$2:$H$1513,"?*")&amp;" unit(s): "&amp;IFERROR(INDEX('Equipment Index'!$H$2:$H$1513,SUMPRODUCT(MATCH(1,('Equipment Index'!$G$2:$G$1513=$A78)*('Equipment Index'!$H$2:$H$1513&lt;&gt;""),0))),"")&amp;IF(COUNTIFS('Equipment Index'!$G$2:$G$1513,$A78,'Equipment Index'!$H$2:$H$1513,"?*")&gt;1," + see table below","")))</f>
        <v/>
      </c>
    </row>
    <row r="79" spans="1:14" ht="15" customHeight="1" x14ac:dyDescent="0.25">
      <c r="A79" s="52" t="str">
        <f>IFERROR(INDEX('Equipment Index'!$G$2:$G$1513,MATCH(ROW()-7,'Equipment Index'!$J$2:$J$1513,0)),"")</f>
        <v>La Marzocco Strada XT</v>
      </c>
      <c r="B79" s="53">
        <f>IF($A79="","",SUMIFS('Equipment Index'!$F$2:$F$1513,'Equipment Index'!$G$2:$G$1513,$A79,'Equipment Index'!$A$2:$A$1513,"Barn - Back Rack"))</f>
        <v>0</v>
      </c>
      <c r="C79" s="53">
        <f>IF($A79="","",SUMIFS('Equipment Index'!$F$2:$F$1513,'Equipment Index'!$G$2:$G$1513,$A79,'Equipment Index'!$A$2:$A$1513,"Barn - Front Rack"))</f>
        <v>0</v>
      </c>
      <c r="D79" s="53">
        <f>IF($A79="","",SUMIFS('Equipment Index'!$F$2:$F$1513,'Equipment Index'!$G$2:$G$1513,$A79,'Equipment Index'!$A$2:$A$1513,"Front Lobby"))</f>
        <v>1</v>
      </c>
      <c r="E79" s="53">
        <f>IF($A79="","",SUMIFS('Equipment Index'!$F$2:$F$1513,'Equipment Index'!$G$2:$G$1513,$A79,'Equipment Index'!$A$2:$A$1513,"Service Room"))</f>
        <v>0</v>
      </c>
      <c r="F79" s="53">
        <f>IF($A79="","",SUMIFS('Equipment Index'!$F$2:$F$1513,'Equipment Index'!$G$2:$G$1513,$A79,'Equipment Index'!$A$2:$A$1513,"Production"))</f>
        <v>0</v>
      </c>
      <c r="G79" s="53">
        <f>IF($A79="","",SUMIFS('Equipment Index'!$F$2:$F$1513,'Equipment Index'!$G$2:$G$1513,$A79,'Equipment Index'!$A$2:$A$1513,"Training Room"))</f>
        <v>0</v>
      </c>
      <c r="H79" s="54">
        <f>IF($A79="","",SUMIFS('Equipment Index'!$F$2:$F$1513,'Equipment Index'!$G$2:$G$1513,$A79,'Equipment Index'!$A$2:$A$1513,"Out of State"))</f>
        <v>0</v>
      </c>
      <c r="I79" s="53">
        <f>IF($A79="","",SUMIFS('Equipment Index'!$F$2:$F$1513,'Equipment Index'!$G$2:$G$1513,$A79,'Equipment Index'!$A$2:$A$1513,"San Antonio"))</f>
        <v>0</v>
      </c>
      <c r="J79" s="53">
        <f>IF($A79="","",SUMIFS('Equipment Index'!$F$2:$F$1513,'Equipment Index'!$G$2:$G$1513,$A79,'Equipment Index'!$A$2:$A$1513,"Dallas"))</f>
        <v>0</v>
      </c>
      <c r="K79" s="55">
        <f t="shared" si="2"/>
        <v>1</v>
      </c>
      <c r="L79" s="56">
        <f>IF($A79="","",SUMIFS('Equipment Index'!$F$2:$F$1513,'Equipment Index'!$G$2:$G$1513,$A79,'Equipment Index'!$C$2:$C$1513,"DISP"))</f>
        <v>0</v>
      </c>
      <c r="M79" s="57">
        <f>IF($A79="","",SUMIFS('Equipment Index'!$F$2:$F$1513,'Equipment Index'!$G$2:$G$1513,$A79,'Equipment Index'!$C$2:$C$1513,"MOD"))</f>
        <v>0</v>
      </c>
      <c r="N79" s="58" t="str">
        <f>IF($A79="","",IF(COUNTIFS('Equipment Index'!$G$2:$G$1513,$A79,'Equipment Index'!$H$2:$H$1513,"?*")=0,"","Customer-owned — "&amp;COUNTIFS('Equipment Index'!$G$2:$G$1513,$A79,'Equipment Index'!$H$2:$H$1513,"?*")&amp;" unit(s): "&amp;IFERROR(INDEX('Equipment Index'!$H$2:$H$1513,SUMPRODUCT(MATCH(1,('Equipment Index'!$G$2:$G$1513=$A79)*('Equipment Index'!$H$2:$H$1513&lt;&gt;""),0))),"")&amp;IF(COUNTIFS('Equipment Index'!$G$2:$G$1513,$A79,'Equipment Index'!$H$2:$H$1513,"?*")&gt;1," + see table below","")))</f>
        <v/>
      </c>
    </row>
    <row r="80" spans="1:14" ht="15" customHeight="1" x14ac:dyDescent="0.25">
      <c r="A80" s="52" t="str">
        <f>IFERROR(INDEX('Equipment Index'!$G$2:$G$1513,MATCH(ROW()-7,'Equipment Index'!$J$2:$J$1513,0)),"")</f>
        <v>La Marzocco Swift Grinder</v>
      </c>
      <c r="B80" s="53">
        <f>IF($A80="","",SUMIFS('Equipment Index'!$F$2:$F$1513,'Equipment Index'!$G$2:$G$1513,$A80,'Equipment Index'!$A$2:$A$1513,"Barn - Back Rack"))</f>
        <v>1</v>
      </c>
      <c r="C80" s="53">
        <f>IF($A80="","",SUMIFS('Equipment Index'!$F$2:$F$1513,'Equipment Index'!$G$2:$G$1513,$A80,'Equipment Index'!$A$2:$A$1513,"Barn - Front Rack"))</f>
        <v>1</v>
      </c>
      <c r="D80" s="53">
        <f>IF($A80="","",SUMIFS('Equipment Index'!$F$2:$F$1513,'Equipment Index'!$G$2:$G$1513,$A80,'Equipment Index'!$A$2:$A$1513,"Front Lobby"))</f>
        <v>0</v>
      </c>
      <c r="E80" s="53">
        <f>IF($A80="","",SUMIFS('Equipment Index'!$F$2:$F$1513,'Equipment Index'!$G$2:$G$1513,$A80,'Equipment Index'!$A$2:$A$1513,"Service Room"))</f>
        <v>0</v>
      </c>
      <c r="F80" s="53">
        <f>IF($A80="","",SUMIFS('Equipment Index'!$F$2:$F$1513,'Equipment Index'!$G$2:$G$1513,$A80,'Equipment Index'!$A$2:$A$1513,"Production"))</f>
        <v>0</v>
      </c>
      <c r="G80" s="53">
        <f>IF($A80="","",SUMIFS('Equipment Index'!$F$2:$F$1513,'Equipment Index'!$G$2:$G$1513,$A80,'Equipment Index'!$A$2:$A$1513,"Training Room"))</f>
        <v>1</v>
      </c>
      <c r="H80" s="54">
        <f>IF($A80="","",SUMIFS('Equipment Index'!$F$2:$F$1513,'Equipment Index'!$G$2:$G$1513,$A80,'Equipment Index'!$A$2:$A$1513,"Out of State"))</f>
        <v>0</v>
      </c>
      <c r="I80" s="53">
        <f>IF($A80="","",SUMIFS('Equipment Index'!$F$2:$F$1513,'Equipment Index'!$G$2:$G$1513,$A80,'Equipment Index'!$A$2:$A$1513,"San Antonio"))</f>
        <v>0</v>
      </c>
      <c r="J80" s="53">
        <f>IF($A80="","",SUMIFS('Equipment Index'!$F$2:$F$1513,'Equipment Index'!$G$2:$G$1513,$A80,'Equipment Index'!$A$2:$A$1513,"Dallas"))</f>
        <v>0</v>
      </c>
      <c r="K80" s="55">
        <f t="shared" si="2"/>
        <v>3</v>
      </c>
      <c r="L80" s="56">
        <f>IF($A80="","",SUMIFS('Equipment Index'!$F$2:$F$1513,'Equipment Index'!$G$2:$G$1513,$A80,'Equipment Index'!$C$2:$C$1513,"DISP"))</f>
        <v>0</v>
      </c>
      <c r="M80" s="57">
        <f>IF($A80="","",SUMIFS('Equipment Index'!$F$2:$F$1513,'Equipment Index'!$G$2:$G$1513,$A80,'Equipment Index'!$C$2:$C$1513,"MOD"))</f>
        <v>0</v>
      </c>
      <c r="N80" s="58" t="str">
        <f>IF($A80="","",IF(COUNTIFS('Equipment Index'!$G$2:$G$1513,$A80,'Equipment Index'!$H$2:$H$1513,"?*")=0,"","Customer-owned — "&amp;COUNTIFS('Equipment Index'!$G$2:$G$1513,$A80,'Equipment Index'!$H$2:$H$1513,"?*")&amp;" unit(s): "&amp;IFERROR(INDEX('Equipment Index'!$H$2:$H$1513,SUMPRODUCT(MATCH(1,('Equipment Index'!$G$2:$G$1513=$A80)*('Equipment Index'!$H$2:$H$1513&lt;&gt;""),0))),"")&amp;IF(COUNTIFS('Equipment Index'!$G$2:$G$1513,$A80,'Equipment Index'!$H$2:$H$1513,"?*")&gt;1," + see table below","")))</f>
        <v>Customer-owned — 1 unit(s): Coco's</v>
      </c>
    </row>
    <row r="81" spans="1:14" ht="15" customHeight="1" x14ac:dyDescent="0.25">
      <c r="A81" s="52" t="str">
        <f>IFERROR(INDEX('Equipment Index'!$G$2:$G$1513,MATCH(ROW()-7,'Equipment Index'!$J$2:$J$1513,0)),"")</f>
        <v>La Marzocco Wally</v>
      </c>
      <c r="B81" s="53">
        <f>IF($A81="","",SUMIFS('Equipment Index'!$F$2:$F$1513,'Equipment Index'!$G$2:$G$1513,$A81,'Equipment Index'!$A$2:$A$1513,"Barn - Back Rack"))</f>
        <v>0</v>
      </c>
      <c r="C81" s="53">
        <f>IF($A81="","",SUMIFS('Equipment Index'!$F$2:$F$1513,'Equipment Index'!$G$2:$G$1513,$A81,'Equipment Index'!$A$2:$A$1513,"Barn - Front Rack"))</f>
        <v>0</v>
      </c>
      <c r="D81" s="53">
        <f>IF($A81="","",SUMIFS('Equipment Index'!$F$2:$F$1513,'Equipment Index'!$G$2:$G$1513,$A81,'Equipment Index'!$A$2:$A$1513,"Front Lobby"))</f>
        <v>1</v>
      </c>
      <c r="E81" s="53">
        <f>IF($A81="","",SUMIFS('Equipment Index'!$F$2:$F$1513,'Equipment Index'!$G$2:$G$1513,$A81,'Equipment Index'!$A$2:$A$1513,"Service Room"))</f>
        <v>0</v>
      </c>
      <c r="F81" s="53">
        <f>IF($A81="","",SUMIFS('Equipment Index'!$F$2:$F$1513,'Equipment Index'!$G$2:$G$1513,$A81,'Equipment Index'!$A$2:$A$1513,"Production"))</f>
        <v>0</v>
      </c>
      <c r="G81" s="53">
        <f>IF($A81="","",SUMIFS('Equipment Index'!$F$2:$F$1513,'Equipment Index'!$G$2:$G$1513,$A81,'Equipment Index'!$A$2:$A$1513,"Training Room"))</f>
        <v>0</v>
      </c>
      <c r="H81" s="54">
        <f>IF($A81="","",SUMIFS('Equipment Index'!$F$2:$F$1513,'Equipment Index'!$G$2:$G$1513,$A81,'Equipment Index'!$A$2:$A$1513,"Out of State"))</f>
        <v>0</v>
      </c>
      <c r="I81" s="53">
        <f>IF($A81="","",SUMIFS('Equipment Index'!$F$2:$F$1513,'Equipment Index'!$G$2:$G$1513,$A81,'Equipment Index'!$A$2:$A$1513,"San Antonio"))</f>
        <v>0</v>
      </c>
      <c r="J81" s="53">
        <f>IF($A81="","",SUMIFS('Equipment Index'!$F$2:$F$1513,'Equipment Index'!$G$2:$G$1513,$A81,'Equipment Index'!$A$2:$A$1513,"Dallas"))</f>
        <v>0</v>
      </c>
      <c r="K81" s="55">
        <f t="shared" si="2"/>
        <v>1</v>
      </c>
      <c r="L81" s="56">
        <f>IF($A81="","",SUMIFS('Equipment Index'!$F$2:$F$1513,'Equipment Index'!$G$2:$G$1513,$A81,'Equipment Index'!$C$2:$C$1513,"DISP"))</f>
        <v>0</v>
      </c>
      <c r="M81" s="57">
        <f>IF($A81="","",SUMIFS('Equipment Index'!$F$2:$F$1513,'Equipment Index'!$G$2:$G$1513,$A81,'Equipment Index'!$C$2:$C$1513,"MOD"))</f>
        <v>0</v>
      </c>
      <c r="N81" s="58" t="str">
        <f>IF($A81="","",IF(COUNTIFS('Equipment Index'!$G$2:$G$1513,$A81,'Equipment Index'!$H$2:$H$1513,"?*")=0,"","Customer-owned — "&amp;COUNTIFS('Equipment Index'!$G$2:$G$1513,$A81,'Equipment Index'!$H$2:$H$1513,"?*")&amp;" unit(s): "&amp;IFERROR(INDEX('Equipment Index'!$H$2:$H$1513,SUMPRODUCT(MATCH(1,('Equipment Index'!$G$2:$G$1513=$A81)*('Equipment Index'!$H$2:$H$1513&lt;&gt;""),0))),"")&amp;IF(COUNTIFS('Equipment Index'!$G$2:$G$1513,$A81,'Equipment Index'!$H$2:$H$1513,"?*")&gt;1," + see table below","")))</f>
        <v/>
      </c>
    </row>
    <row r="82" spans="1:14" ht="15" customHeight="1" x14ac:dyDescent="0.25">
      <c r="A82" s="52" t="str">
        <f>IFERROR(INDEX('Equipment Index'!$G$2:$G$1513,MATCH(ROW()-7,'Equipment Index'!$J$2:$J$1513,0)),"")</f>
        <v>Mazzer Kony Doser</v>
      </c>
      <c r="B82" s="53">
        <f>IF($A82="","",SUMIFS('Equipment Index'!$F$2:$F$1513,'Equipment Index'!$G$2:$G$1513,$A82,'Equipment Index'!$A$2:$A$1513,"Barn - Back Rack"))</f>
        <v>0</v>
      </c>
      <c r="C82" s="53">
        <f>IF($A82="","",SUMIFS('Equipment Index'!$F$2:$F$1513,'Equipment Index'!$G$2:$G$1513,$A82,'Equipment Index'!$A$2:$A$1513,"Barn - Front Rack"))</f>
        <v>0</v>
      </c>
      <c r="D82" s="53">
        <f>IF($A82="","",SUMIFS('Equipment Index'!$F$2:$F$1513,'Equipment Index'!$G$2:$G$1513,$A82,'Equipment Index'!$A$2:$A$1513,"Front Lobby"))</f>
        <v>0</v>
      </c>
      <c r="E82" s="53">
        <f>IF($A82="","",SUMIFS('Equipment Index'!$F$2:$F$1513,'Equipment Index'!$G$2:$G$1513,$A82,'Equipment Index'!$A$2:$A$1513,"Service Room"))</f>
        <v>0</v>
      </c>
      <c r="F82" s="53">
        <f>IF($A82="","",SUMIFS('Equipment Index'!$F$2:$F$1513,'Equipment Index'!$G$2:$G$1513,$A82,'Equipment Index'!$A$2:$A$1513,"Production"))</f>
        <v>0</v>
      </c>
      <c r="G82" s="53">
        <f>IF($A82="","",SUMIFS('Equipment Index'!$F$2:$F$1513,'Equipment Index'!$G$2:$G$1513,$A82,'Equipment Index'!$A$2:$A$1513,"Training Room"))</f>
        <v>1</v>
      </c>
      <c r="H82" s="54">
        <f>IF($A82="","",SUMIFS('Equipment Index'!$F$2:$F$1513,'Equipment Index'!$G$2:$G$1513,$A82,'Equipment Index'!$A$2:$A$1513,"Out of State"))</f>
        <v>0</v>
      </c>
      <c r="I82" s="53">
        <f>IF($A82="","",SUMIFS('Equipment Index'!$F$2:$F$1513,'Equipment Index'!$G$2:$G$1513,$A82,'Equipment Index'!$A$2:$A$1513,"San Antonio"))</f>
        <v>0</v>
      </c>
      <c r="J82" s="53">
        <f>IF($A82="","",SUMIFS('Equipment Index'!$F$2:$F$1513,'Equipment Index'!$G$2:$G$1513,$A82,'Equipment Index'!$A$2:$A$1513,"Dallas"))</f>
        <v>0</v>
      </c>
      <c r="K82" s="55">
        <f t="shared" si="2"/>
        <v>1</v>
      </c>
      <c r="L82" s="56">
        <f>IF($A82="","",SUMIFS('Equipment Index'!$F$2:$F$1513,'Equipment Index'!$G$2:$G$1513,$A82,'Equipment Index'!$C$2:$C$1513,"DISP"))</f>
        <v>0</v>
      </c>
      <c r="M82" s="57">
        <f>IF($A82="","",SUMIFS('Equipment Index'!$F$2:$F$1513,'Equipment Index'!$G$2:$G$1513,$A82,'Equipment Index'!$C$2:$C$1513,"MOD"))</f>
        <v>0</v>
      </c>
      <c r="N82" s="58" t="str">
        <f>IF($A82="","",IF(COUNTIFS('Equipment Index'!$G$2:$G$1513,$A82,'Equipment Index'!$H$2:$H$1513,"?*")=0,"","Customer-owned — "&amp;COUNTIFS('Equipment Index'!$G$2:$G$1513,$A82,'Equipment Index'!$H$2:$H$1513,"?*")&amp;" unit(s): "&amp;IFERROR(INDEX('Equipment Index'!$H$2:$H$1513,SUMPRODUCT(MATCH(1,('Equipment Index'!$G$2:$G$1513=$A82)*('Equipment Index'!$H$2:$H$1513&lt;&gt;""),0))),"")&amp;IF(COUNTIFS('Equipment Index'!$G$2:$G$1513,$A82,'Equipment Index'!$H$2:$H$1513,"?*")&gt;1," + see table below","")))</f>
        <v/>
      </c>
    </row>
    <row r="83" spans="1:14" ht="15" customHeight="1" x14ac:dyDescent="0.25">
      <c r="A83" s="52" t="str">
        <f>IFERROR(INDEX('Equipment Index'!$G$2:$G$1513,MATCH(ROW()-7,'Equipment Index'!$J$2:$J$1513,0)),"")</f>
        <v>Mazzer Robur Automatic S</v>
      </c>
      <c r="B83" s="53">
        <f>IF($A83="","",SUMIFS('Equipment Index'!$F$2:$F$1513,'Equipment Index'!$G$2:$G$1513,$A83,'Equipment Index'!$A$2:$A$1513,"Barn - Back Rack"))</f>
        <v>0</v>
      </c>
      <c r="C83" s="53">
        <f>IF($A83="","",SUMIFS('Equipment Index'!$F$2:$F$1513,'Equipment Index'!$G$2:$G$1513,$A83,'Equipment Index'!$A$2:$A$1513,"Barn - Front Rack"))</f>
        <v>0</v>
      </c>
      <c r="D83" s="53">
        <f>IF($A83="","",SUMIFS('Equipment Index'!$F$2:$F$1513,'Equipment Index'!$G$2:$G$1513,$A83,'Equipment Index'!$A$2:$A$1513,"Front Lobby"))</f>
        <v>0</v>
      </c>
      <c r="E83" s="53">
        <f>IF($A83="","",SUMIFS('Equipment Index'!$F$2:$F$1513,'Equipment Index'!$G$2:$G$1513,$A83,'Equipment Index'!$A$2:$A$1513,"Service Room"))</f>
        <v>0</v>
      </c>
      <c r="F83" s="53">
        <f>IF($A83="","",SUMIFS('Equipment Index'!$F$2:$F$1513,'Equipment Index'!$G$2:$G$1513,$A83,'Equipment Index'!$A$2:$A$1513,"Production"))</f>
        <v>0</v>
      </c>
      <c r="G83" s="53">
        <f>IF($A83="","",SUMIFS('Equipment Index'!$F$2:$F$1513,'Equipment Index'!$G$2:$G$1513,$A83,'Equipment Index'!$A$2:$A$1513,"Training Room"))</f>
        <v>0</v>
      </c>
      <c r="H83" s="54">
        <f>IF($A83="","",SUMIFS('Equipment Index'!$F$2:$F$1513,'Equipment Index'!$G$2:$G$1513,$A83,'Equipment Index'!$A$2:$A$1513,"Out of State"))</f>
        <v>0</v>
      </c>
      <c r="I83" s="53">
        <f>IF($A83="","",SUMIFS('Equipment Index'!$F$2:$F$1513,'Equipment Index'!$G$2:$G$1513,$A83,'Equipment Index'!$A$2:$A$1513,"San Antonio"))</f>
        <v>1</v>
      </c>
      <c r="J83" s="53">
        <f>IF($A83="","",SUMIFS('Equipment Index'!$F$2:$F$1513,'Equipment Index'!$G$2:$G$1513,$A83,'Equipment Index'!$A$2:$A$1513,"Dallas"))</f>
        <v>0</v>
      </c>
      <c r="K83" s="55">
        <f t="shared" si="2"/>
        <v>1</v>
      </c>
      <c r="L83" s="56">
        <f>IF($A83="","",SUMIFS('Equipment Index'!$F$2:$F$1513,'Equipment Index'!$G$2:$G$1513,$A83,'Equipment Index'!$C$2:$C$1513,"DISP"))</f>
        <v>0</v>
      </c>
      <c r="M83" s="57">
        <f>IF($A83="","",SUMIFS('Equipment Index'!$F$2:$F$1513,'Equipment Index'!$G$2:$G$1513,$A83,'Equipment Index'!$C$2:$C$1513,"MOD"))</f>
        <v>0</v>
      </c>
      <c r="N83" s="58" t="str">
        <f>IF($A83="","",IF(COUNTIFS('Equipment Index'!$G$2:$G$1513,$A83,'Equipment Index'!$H$2:$H$1513,"?*")=0,"","Customer-owned — "&amp;COUNTIFS('Equipment Index'!$G$2:$G$1513,$A83,'Equipment Index'!$H$2:$H$1513,"?*")&amp;" unit(s): "&amp;IFERROR(INDEX('Equipment Index'!$H$2:$H$1513,SUMPRODUCT(MATCH(1,('Equipment Index'!$G$2:$G$1513=$A83)*('Equipment Index'!$H$2:$H$1513&lt;&gt;""),0))),"")&amp;IF(COUNTIFS('Equipment Index'!$G$2:$G$1513,$A83,'Equipment Index'!$H$2:$H$1513,"?*")&gt;1," + see table below","")))</f>
        <v/>
      </c>
    </row>
    <row r="84" spans="1:14" ht="15" customHeight="1" x14ac:dyDescent="0.25">
      <c r="A84" s="52" t="str">
        <f>IFERROR(INDEX('Equipment Index'!$G$2:$G$1513,MATCH(ROW()-7,'Equipment Index'!$J$2:$J$1513,0)),"")</f>
        <v>Mazzer Robur S E</v>
      </c>
      <c r="B84" s="53">
        <f>IF($A84="","",SUMIFS('Equipment Index'!$F$2:$F$1513,'Equipment Index'!$G$2:$G$1513,$A84,'Equipment Index'!$A$2:$A$1513,"Barn - Back Rack"))</f>
        <v>0</v>
      </c>
      <c r="C84" s="53">
        <f>IF($A84="","",SUMIFS('Equipment Index'!$F$2:$F$1513,'Equipment Index'!$G$2:$G$1513,$A84,'Equipment Index'!$A$2:$A$1513,"Barn - Front Rack"))</f>
        <v>0</v>
      </c>
      <c r="D84" s="53">
        <f>IF($A84="","",SUMIFS('Equipment Index'!$F$2:$F$1513,'Equipment Index'!$G$2:$G$1513,$A84,'Equipment Index'!$A$2:$A$1513,"Front Lobby"))</f>
        <v>2</v>
      </c>
      <c r="E84" s="53">
        <f>IF($A84="","",SUMIFS('Equipment Index'!$F$2:$F$1513,'Equipment Index'!$G$2:$G$1513,$A84,'Equipment Index'!$A$2:$A$1513,"Service Room"))</f>
        <v>0</v>
      </c>
      <c r="F84" s="53">
        <f>IF($A84="","",SUMIFS('Equipment Index'!$F$2:$F$1513,'Equipment Index'!$G$2:$G$1513,$A84,'Equipment Index'!$A$2:$A$1513,"Production"))</f>
        <v>0</v>
      </c>
      <c r="G84" s="53">
        <f>IF($A84="","",SUMIFS('Equipment Index'!$F$2:$F$1513,'Equipment Index'!$G$2:$G$1513,$A84,'Equipment Index'!$A$2:$A$1513,"Training Room"))</f>
        <v>0</v>
      </c>
      <c r="H84" s="54">
        <f>IF($A84="","",SUMIFS('Equipment Index'!$F$2:$F$1513,'Equipment Index'!$G$2:$G$1513,$A84,'Equipment Index'!$A$2:$A$1513,"Out of State"))</f>
        <v>0</v>
      </c>
      <c r="I84" s="53">
        <f>IF($A84="","",SUMIFS('Equipment Index'!$F$2:$F$1513,'Equipment Index'!$G$2:$G$1513,$A84,'Equipment Index'!$A$2:$A$1513,"San Antonio"))</f>
        <v>0</v>
      </c>
      <c r="J84" s="53">
        <f>IF($A84="","",SUMIFS('Equipment Index'!$F$2:$F$1513,'Equipment Index'!$G$2:$G$1513,$A84,'Equipment Index'!$A$2:$A$1513,"Dallas"))</f>
        <v>0</v>
      </c>
      <c r="K84" s="55">
        <f t="shared" si="2"/>
        <v>2</v>
      </c>
      <c r="L84" s="56">
        <f>IF($A84="","",SUMIFS('Equipment Index'!$F$2:$F$1513,'Equipment Index'!$G$2:$G$1513,$A84,'Equipment Index'!$C$2:$C$1513,"DISP"))</f>
        <v>0</v>
      </c>
      <c r="M84" s="57">
        <f>IF($A84="","",SUMIFS('Equipment Index'!$F$2:$F$1513,'Equipment Index'!$G$2:$G$1513,$A84,'Equipment Index'!$C$2:$C$1513,"MOD"))</f>
        <v>0</v>
      </c>
      <c r="N84" s="58" t="str">
        <f>IF($A84="","",IF(COUNTIFS('Equipment Index'!$G$2:$G$1513,$A84,'Equipment Index'!$H$2:$H$1513,"?*")=0,"","Customer-owned — "&amp;COUNTIFS('Equipment Index'!$G$2:$G$1513,$A84,'Equipment Index'!$H$2:$H$1513,"?*")&amp;" unit(s): "&amp;IFERROR(INDEX('Equipment Index'!$H$2:$H$1513,SUMPRODUCT(MATCH(1,('Equipment Index'!$G$2:$G$1513=$A84)*('Equipment Index'!$H$2:$H$1513&lt;&gt;""),0))),"")&amp;IF(COUNTIFS('Equipment Index'!$G$2:$G$1513,$A84,'Equipment Index'!$H$2:$H$1513,"?*")&gt;1," + see table below","")))</f>
        <v/>
      </c>
    </row>
    <row r="85" spans="1:14" ht="15" customHeight="1" x14ac:dyDescent="0.25">
      <c r="A85" s="52" t="str">
        <f>IFERROR(INDEX('Equipment Index'!$G$2:$G$1513,MATCH(ROW()-7,'Equipment Index'!$J$2:$J$1513,0)),"")</f>
        <v>Mazzer Super Jolly Timer</v>
      </c>
      <c r="B85" s="53">
        <f>IF($A85="","",SUMIFS('Equipment Index'!$F$2:$F$1513,'Equipment Index'!$G$2:$G$1513,$A85,'Equipment Index'!$A$2:$A$1513,"Barn - Back Rack"))</f>
        <v>0</v>
      </c>
      <c r="C85" s="53">
        <f>IF($A85="","",SUMIFS('Equipment Index'!$F$2:$F$1513,'Equipment Index'!$G$2:$G$1513,$A85,'Equipment Index'!$A$2:$A$1513,"Barn - Front Rack"))</f>
        <v>0</v>
      </c>
      <c r="D85" s="53">
        <f>IF($A85="","",SUMIFS('Equipment Index'!$F$2:$F$1513,'Equipment Index'!$G$2:$G$1513,$A85,'Equipment Index'!$A$2:$A$1513,"Front Lobby"))</f>
        <v>0</v>
      </c>
      <c r="E85" s="53">
        <f>IF($A85="","",SUMIFS('Equipment Index'!$F$2:$F$1513,'Equipment Index'!$G$2:$G$1513,$A85,'Equipment Index'!$A$2:$A$1513,"Service Room"))</f>
        <v>0</v>
      </c>
      <c r="F85" s="53">
        <f>IF($A85="","",SUMIFS('Equipment Index'!$F$2:$F$1513,'Equipment Index'!$G$2:$G$1513,$A85,'Equipment Index'!$A$2:$A$1513,"Production"))</f>
        <v>0</v>
      </c>
      <c r="G85" s="53">
        <f>IF($A85="","",SUMIFS('Equipment Index'!$F$2:$F$1513,'Equipment Index'!$G$2:$G$1513,$A85,'Equipment Index'!$A$2:$A$1513,"Training Room"))</f>
        <v>0</v>
      </c>
      <c r="H85" s="54">
        <f>IF($A85="","",SUMIFS('Equipment Index'!$F$2:$F$1513,'Equipment Index'!$G$2:$G$1513,$A85,'Equipment Index'!$A$2:$A$1513,"Out of State"))</f>
        <v>0</v>
      </c>
      <c r="I85" s="53">
        <f>IF($A85="","",SUMIFS('Equipment Index'!$F$2:$F$1513,'Equipment Index'!$G$2:$G$1513,$A85,'Equipment Index'!$A$2:$A$1513,"San Antonio"))</f>
        <v>1</v>
      </c>
      <c r="J85" s="53">
        <f>IF($A85="","",SUMIFS('Equipment Index'!$F$2:$F$1513,'Equipment Index'!$G$2:$G$1513,$A85,'Equipment Index'!$A$2:$A$1513,"Dallas"))</f>
        <v>0</v>
      </c>
      <c r="K85" s="55">
        <f t="shared" si="2"/>
        <v>1</v>
      </c>
      <c r="L85" s="56">
        <f>IF($A85="","",SUMIFS('Equipment Index'!$F$2:$F$1513,'Equipment Index'!$G$2:$G$1513,$A85,'Equipment Index'!$C$2:$C$1513,"DISP"))</f>
        <v>0</v>
      </c>
      <c r="M85" s="57">
        <f>IF($A85="","",SUMIFS('Equipment Index'!$F$2:$F$1513,'Equipment Index'!$G$2:$G$1513,$A85,'Equipment Index'!$C$2:$C$1513,"MOD"))</f>
        <v>0</v>
      </c>
      <c r="N85" s="58" t="str">
        <f>IF($A85="","",IF(COUNTIFS('Equipment Index'!$G$2:$G$1513,$A85,'Equipment Index'!$H$2:$H$1513,"?*")=0,"","Customer-owned — "&amp;COUNTIFS('Equipment Index'!$G$2:$G$1513,$A85,'Equipment Index'!$H$2:$H$1513,"?*")&amp;" unit(s): "&amp;IFERROR(INDEX('Equipment Index'!$H$2:$H$1513,SUMPRODUCT(MATCH(1,('Equipment Index'!$G$2:$G$1513=$A85)*('Equipment Index'!$H$2:$H$1513&lt;&gt;""),0))),"")&amp;IF(COUNTIFS('Equipment Index'!$G$2:$G$1513,$A85,'Equipment Index'!$H$2:$H$1513,"?*")&gt;1," + see table below","")))</f>
        <v/>
      </c>
    </row>
    <row r="86" spans="1:14" ht="15" customHeight="1" x14ac:dyDescent="0.25">
      <c r="A86" s="52" t="str">
        <f>IFERROR(INDEX('Equipment Index'!$G$2:$G$1513,MATCH(ROW()-7,'Equipment Index'!$J$2:$J$1513,0)),"")</f>
        <v>Mazzer Super Jolly V Up E</v>
      </c>
      <c r="B86" s="53">
        <f>IF($A86="","",SUMIFS('Equipment Index'!$F$2:$F$1513,'Equipment Index'!$G$2:$G$1513,$A86,'Equipment Index'!$A$2:$A$1513,"Barn - Back Rack"))</f>
        <v>2</v>
      </c>
      <c r="C86" s="53">
        <f>IF($A86="","",SUMIFS('Equipment Index'!$F$2:$F$1513,'Equipment Index'!$G$2:$G$1513,$A86,'Equipment Index'!$A$2:$A$1513,"Barn - Front Rack"))</f>
        <v>0</v>
      </c>
      <c r="D86" s="53">
        <f>IF($A86="","",SUMIFS('Equipment Index'!$F$2:$F$1513,'Equipment Index'!$G$2:$G$1513,$A86,'Equipment Index'!$A$2:$A$1513,"Front Lobby"))</f>
        <v>0</v>
      </c>
      <c r="E86" s="53">
        <f>IF($A86="","",SUMIFS('Equipment Index'!$F$2:$F$1513,'Equipment Index'!$G$2:$G$1513,$A86,'Equipment Index'!$A$2:$A$1513,"Service Room"))</f>
        <v>0</v>
      </c>
      <c r="F86" s="53">
        <f>IF($A86="","",SUMIFS('Equipment Index'!$F$2:$F$1513,'Equipment Index'!$G$2:$G$1513,$A86,'Equipment Index'!$A$2:$A$1513,"Production"))</f>
        <v>0</v>
      </c>
      <c r="G86" s="53">
        <f>IF($A86="","",SUMIFS('Equipment Index'!$F$2:$F$1513,'Equipment Index'!$G$2:$G$1513,$A86,'Equipment Index'!$A$2:$A$1513,"Training Room"))</f>
        <v>0</v>
      </c>
      <c r="H86" s="54">
        <f>IF($A86="","",SUMIFS('Equipment Index'!$F$2:$F$1513,'Equipment Index'!$G$2:$G$1513,$A86,'Equipment Index'!$A$2:$A$1513,"Out of State"))</f>
        <v>0</v>
      </c>
      <c r="I86" s="53">
        <f>IF($A86="","",SUMIFS('Equipment Index'!$F$2:$F$1513,'Equipment Index'!$G$2:$G$1513,$A86,'Equipment Index'!$A$2:$A$1513,"San Antonio"))</f>
        <v>0</v>
      </c>
      <c r="J86" s="53">
        <f>IF($A86="","",SUMIFS('Equipment Index'!$F$2:$F$1513,'Equipment Index'!$G$2:$G$1513,$A86,'Equipment Index'!$A$2:$A$1513,"Dallas"))</f>
        <v>0</v>
      </c>
      <c r="K86" s="55">
        <f t="shared" si="2"/>
        <v>2</v>
      </c>
      <c r="L86" s="56">
        <f>IF($A86="","",SUMIFS('Equipment Index'!$F$2:$F$1513,'Equipment Index'!$G$2:$G$1513,$A86,'Equipment Index'!$C$2:$C$1513,"DISP"))</f>
        <v>0</v>
      </c>
      <c r="M86" s="57">
        <f>IF($A86="","",SUMIFS('Equipment Index'!$F$2:$F$1513,'Equipment Index'!$G$2:$G$1513,$A86,'Equipment Index'!$C$2:$C$1513,"MOD"))</f>
        <v>0</v>
      </c>
      <c r="N86" s="58" t="str">
        <f>IF($A86="","",IF(COUNTIFS('Equipment Index'!$G$2:$G$1513,$A86,'Equipment Index'!$H$2:$H$1513,"?*")=0,"","Customer-owned — "&amp;COUNTIFS('Equipment Index'!$G$2:$G$1513,$A86,'Equipment Index'!$H$2:$H$1513,"?*")&amp;" unit(s): "&amp;IFERROR(INDEX('Equipment Index'!$H$2:$H$1513,SUMPRODUCT(MATCH(1,('Equipment Index'!$G$2:$G$1513=$A86)*('Equipment Index'!$H$2:$H$1513&lt;&gt;""),0))),"")&amp;IF(COUNTIFS('Equipment Index'!$G$2:$G$1513,$A86,'Equipment Index'!$H$2:$H$1513,"?*")&gt;1," + see table below","")))</f>
        <v/>
      </c>
    </row>
    <row r="87" spans="1:14" ht="15" customHeight="1" x14ac:dyDescent="0.25">
      <c r="A87" s="52" t="str">
        <f>IFERROR(INDEX('Equipment Index'!$G$2:$G$1513,MATCH(ROW()-7,'Equipment Index'!$J$2:$J$1513,0)),"")</f>
        <v>Mazzer Super Jolly V Up Timer</v>
      </c>
      <c r="B87" s="53">
        <f>IF($A87="","",SUMIFS('Equipment Index'!$F$2:$F$1513,'Equipment Index'!$G$2:$G$1513,$A87,'Equipment Index'!$A$2:$A$1513,"Barn - Back Rack"))</f>
        <v>0</v>
      </c>
      <c r="C87" s="53">
        <f>IF($A87="","",SUMIFS('Equipment Index'!$F$2:$F$1513,'Equipment Index'!$G$2:$G$1513,$A87,'Equipment Index'!$A$2:$A$1513,"Barn - Front Rack"))</f>
        <v>0</v>
      </c>
      <c r="D87" s="53">
        <f>IF($A87="","",SUMIFS('Equipment Index'!$F$2:$F$1513,'Equipment Index'!$G$2:$G$1513,$A87,'Equipment Index'!$A$2:$A$1513,"Front Lobby"))</f>
        <v>1</v>
      </c>
      <c r="E87" s="53">
        <f>IF($A87="","",SUMIFS('Equipment Index'!$F$2:$F$1513,'Equipment Index'!$G$2:$G$1513,$A87,'Equipment Index'!$A$2:$A$1513,"Service Room"))</f>
        <v>0</v>
      </c>
      <c r="F87" s="53">
        <f>IF($A87="","",SUMIFS('Equipment Index'!$F$2:$F$1513,'Equipment Index'!$G$2:$G$1513,$A87,'Equipment Index'!$A$2:$A$1513,"Production"))</f>
        <v>0</v>
      </c>
      <c r="G87" s="53">
        <f>IF($A87="","",SUMIFS('Equipment Index'!$F$2:$F$1513,'Equipment Index'!$G$2:$G$1513,$A87,'Equipment Index'!$A$2:$A$1513,"Training Room"))</f>
        <v>1</v>
      </c>
      <c r="H87" s="54">
        <f>IF($A87="","",SUMIFS('Equipment Index'!$F$2:$F$1513,'Equipment Index'!$G$2:$G$1513,$A87,'Equipment Index'!$A$2:$A$1513,"Out of State"))</f>
        <v>0</v>
      </c>
      <c r="I87" s="53">
        <f>IF($A87="","",SUMIFS('Equipment Index'!$F$2:$F$1513,'Equipment Index'!$G$2:$G$1513,$A87,'Equipment Index'!$A$2:$A$1513,"San Antonio"))</f>
        <v>0</v>
      </c>
      <c r="J87" s="53">
        <f>IF($A87="","",SUMIFS('Equipment Index'!$F$2:$F$1513,'Equipment Index'!$G$2:$G$1513,$A87,'Equipment Index'!$A$2:$A$1513,"Dallas"))</f>
        <v>0</v>
      </c>
      <c r="K87" s="55">
        <f t="shared" si="2"/>
        <v>2</v>
      </c>
      <c r="L87" s="56">
        <f>IF($A87="","",SUMIFS('Equipment Index'!$F$2:$F$1513,'Equipment Index'!$G$2:$G$1513,$A87,'Equipment Index'!$C$2:$C$1513,"DISP"))</f>
        <v>0</v>
      </c>
      <c r="M87" s="57">
        <f>IF($A87="","",SUMIFS('Equipment Index'!$F$2:$F$1513,'Equipment Index'!$G$2:$G$1513,$A87,'Equipment Index'!$C$2:$C$1513,"MOD"))</f>
        <v>0</v>
      </c>
      <c r="N87" s="58" t="str">
        <f>IF($A87="","",IF(COUNTIFS('Equipment Index'!$G$2:$G$1513,$A87,'Equipment Index'!$H$2:$H$1513,"?*")=0,"","Customer-owned — "&amp;COUNTIFS('Equipment Index'!$G$2:$G$1513,$A87,'Equipment Index'!$H$2:$H$1513,"?*")&amp;" unit(s): "&amp;IFERROR(INDEX('Equipment Index'!$H$2:$H$1513,SUMPRODUCT(MATCH(1,('Equipment Index'!$G$2:$G$1513=$A87)*('Equipment Index'!$H$2:$H$1513&lt;&gt;""),0))),"")&amp;IF(COUNTIFS('Equipment Index'!$G$2:$G$1513,$A87,'Equipment Index'!$H$2:$H$1513,"?*")&gt;1," + see table below","")))</f>
        <v/>
      </c>
    </row>
    <row r="88" spans="1:14" ht="15" customHeight="1" x14ac:dyDescent="0.25">
      <c r="A88" s="52" t="str">
        <f>IFERROR(INDEX('Equipment Index'!$G$2:$G$1513,MATCH(ROW()-7,'Equipment Index'!$J$2:$J$1513,0)),"")</f>
        <v>Rancilio Classe 5 Compact 120v</v>
      </c>
      <c r="B88" s="53">
        <f>IF($A88="","",SUMIFS('Equipment Index'!$F$2:$F$1513,'Equipment Index'!$G$2:$G$1513,$A88,'Equipment Index'!$A$2:$A$1513,"Barn - Back Rack"))</f>
        <v>0</v>
      </c>
      <c r="C88" s="53">
        <f>IF($A88="","",SUMIFS('Equipment Index'!$F$2:$F$1513,'Equipment Index'!$G$2:$G$1513,$A88,'Equipment Index'!$A$2:$A$1513,"Barn - Front Rack"))</f>
        <v>0</v>
      </c>
      <c r="D88" s="53">
        <f>IF($A88="","",SUMIFS('Equipment Index'!$F$2:$F$1513,'Equipment Index'!$G$2:$G$1513,$A88,'Equipment Index'!$A$2:$A$1513,"Front Lobby"))</f>
        <v>0</v>
      </c>
      <c r="E88" s="53">
        <f>IF($A88="","",SUMIFS('Equipment Index'!$F$2:$F$1513,'Equipment Index'!$G$2:$G$1513,$A88,'Equipment Index'!$A$2:$A$1513,"Service Room"))</f>
        <v>1</v>
      </c>
      <c r="F88" s="53">
        <f>IF($A88="","",SUMIFS('Equipment Index'!$F$2:$F$1513,'Equipment Index'!$G$2:$G$1513,$A88,'Equipment Index'!$A$2:$A$1513,"Production"))</f>
        <v>0</v>
      </c>
      <c r="G88" s="53">
        <f>IF($A88="","",SUMIFS('Equipment Index'!$F$2:$F$1513,'Equipment Index'!$G$2:$G$1513,$A88,'Equipment Index'!$A$2:$A$1513,"Training Room"))</f>
        <v>0</v>
      </c>
      <c r="H88" s="54">
        <f>IF($A88="","",SUMIFS('Equipment Index'!$F$2:$F$1513,'Equipment Index'!$G$2:$G$1513,$A88,'Equipment Index'!$A$2:$A$1513,"Out of State"))</f>
        <v>0</v>
      </c>
      <c r="I88" s="53">
        <f>IF($A88="","",SUMIFS('Equipment Index'!$F$2:$F$1513,'Equipment Index'!$G$2:$G$1513,$A88,'Equipment Index'!$A$2:$A$1513,"San Antonio"))</f>
        <v>0</v>
      </c>
      <c r="J88" s="53">
        <f>IF($A88="","",SUMIFS('Equipment Index'!$F$2:$F$1513,'Equipment Index'!$G$2:$G$1513,$A88,'Equipment Index'!$A$2:$A$1513,"Dallas"))</f>
        <v>0</v>
      </c>
      <c r="K88" s="55">
        <f t="shared" si="2"/>
        <v>1</v>
      </c>
      <c r="L88" s="56">
        <f>IF($A88="","",SUMIFS('Equipment Index'!$F$2:$F$1513,'Equipment Index'!$G$2:$G$1513,$A88,'Equipment Index'!$C$2:$C$1513,"DISP"))</f>
        <v>0</v>
      </c>
      <c r="M88" s="57">
        <f>IF($A88="","",SUMIFS('Equipment Index'!$F$2:$F$1513,'Equipment Index'!$G$2:$G$1513,$A88,'Equipment Index'!$C$2:$C$1513,"MOD"))</f>
        <v>0</v>
      </c>
      <c r="N88" s="58" t="str">
        <f>IF($A88="","",IF(COUNTIFS('Equipment Index'!$G$2:$G$1513,$A88,'Equipment Index'!$H$2:$H$1513,"?*")=0,"","Customer-owned — "&amp;COUNTIFS('Equipment Index'!$G$2:$G$1513,$A88,'Equipment Index'!$H$2:$H$1513,"?*")&amp;" unit(s): "&amp;IFERROR(INDEX('Equipment Index'!$H$2:$H$1513,SUMPRODUCT(MATCH(1,('Equipment Index'!$G$2:$G$1513=$A88)*('Equipment Index'!$H$2:$H$1513&lt;&gt;""),0))),"")&amp;IF(COUNTIFS('Equipment Index'!$G$2:$G$1513,$A88,'Equipment Index'!$H$2:$H$1513,"?*")&gt;1," + see table below","")))</f>
        <v/>
      </c>
    </row>
    <row r="89" spans="1:14" ht="15" customHeight="1" x14ac:dyDescent="0.25">
      <c r="A89" s="52" t="str">
        <f>IFERROR(INDEX('Equipment Index'!$G$2:$G$1513,MATCH(ROW()-7,'Equipment Index'!$J$2:$J$1513,0)),"")</f>
        <v>Rancilio Classe 5 Compact 220V</v>
      </c>
      <c r="B89" s="53">
        <f>IF($A89="","",SUMIFS('Equipment Index'!$F$2:$F$1513,'Equipment Index'!$G$2:$G$1513,$A89,'Equipment Index'!$A$2:$A$1513,"Barn - Back Rack"))</f>
        <v>1</v>
      </c>
      <c r="C89" s="53">
        <f>IF($A89="","",SUMIFS('Equipment Index'!$F$2:$F$1513,'Equipment Index'!$G$2:$G$1513,$A89,'Equipment Index'!$A$2:$A$1513,"Barn - Front Rack"))</f>
        <v>0</v>
      </c>
      <c r="D89" s="53">
        <f>IF($A89="","",SUMIFS('Equipment Index'!$F$2:$F$1513,'Equipment Index'!$G$2:$G$1513,$A89,'Equipment Index'!$A$2:$A$1513,"Front Lobby"))</f>
        <v>0</v>
      </c>
      <c r="E89" s="53">
        <f>IF($A89="","",SUMIFS('Equipment Index'!$F$2:$F$1513,'Equipment Index'!$G$2:$G$1513,$A89,'Equipment Index'!$A$2:$A$1513,"Service Room"))</f>
        <v>0</v>
      </c>
      <c r="F89" s="53">
        <f>IF($A89="","",SUMIFS('Equipment Index'!$F$2:$F$1513,'Equipment Index'!$G$2:$G$1513,$A89,'Equipment Index'!$A$2:$A$1513,"Production"))</f>
        <v>0</v>
      </c>
      <c r="G89" s="53">
        <f>IF($A89="","",SUMIFS('Equipment Index'!$F$2:$F$1513,'Equipment Index'!$G$2:$G$1513,$A89,'Equipment Index'!$A$2:$A$1513,"Training Room"))</f>
        <v>0</v>
      </c>
      <c r="H89" s="54">
        <f>IF($A89="","",SUMIFS('Equipment Index'!$F$2:$F$1513,'Equipment Index'!$G$2:$G$1513,$A89,'Equipment Index'!$A$2:$A$1513,"Out of State"))</f>
        <v>0</v>
      </c>
      <c r="I89" s="53">
        <f>IF($A89="","",SUMIFS('Equipment Index'!$F$2:$F$1513,'Equipment Index'!$G$2:$G$1513,$A89,'Equipment Index'!$A$2:$A$1513,"San Antonio"))</f>
        <v>0</v>
      </c>
      <c r="J89" s="53">
        <f>IF($A89="","",SUMIFS('Equipment Index'!$F$2:$F$1513,'Equipment Index'!$G$2:$G$1513,$A89,'Equipment Index'!$A$2:$A$1513,"Dallas"))</f>
        <v>0</v>
      </c>
      <c r="K89" s="55">
        <f t="shared" si="2"/>
        <v>1</v>
      </c>
      <c r="L89" s="56">
        <f>IF($A89="","",SUMIFS('Equipment Index'!$F$2:$F$1513,'Equipment Index'!$G$2:$G$1513,$A89,'Equipment Index'!$C$2:$C$1513,"DISP"))</f>
        <v>0</v>
      </c>
      <c r="M89" s="57">
        <f>IF($A89="","",SUMIFS('Equipment Index'!$F$2:$F$1513,'Equipment Index'!$G$2:$G$1513,$A89,'Equipment Index'!$C$2:$C$1513,"MOD"))</f>
        <v>0</v>
      </c>
      <c r="N89" s="58" t="str">
        <f>IF($A89="","",IF(COUNTIFS('Equipment Index'!$G$2:$G$1513,$A89,'Equipment Index'!$H$2:$H$1513,"?*")=0,"","Customer-owned — "&amp;COUNTIFS('Equipment Index'!$G$2:$G$1513,$A89,'Equipment Index'!$H$2:$H$1513,"?*")&amp;" unit(s): "&amp;IFERROR(INDEX('Equipment Index'!$H$2:$H$1513,SUMPRODUCT(MATCH(1,('Equipment Index'!$G$2:$G$1513=$A89)*('Equipment Index'!$H$2:$H$1513&lt;&gt;""),0))),"")&amp;IF(COUNTIFS('Equipment Index'!$G$2:$G$1513,$A89,'Equipment Index'!$H$2:$H$1513,"?*")&gt;1," + see table below","")))</f>
        <v/>
      </c>
    </row>
    <row r="90" spans="1:14" ht="15" customHeight="1" x14ac:dyDescent="0.25">
      <c r="A90" s="52" t="str">
        <f>IFERROR(INDEX('Equipment Index'!$G$2:$G$1513,MATCH(ROW()-7,'Equipment Index'!$J$2:$J$1513,0)),"")</f>
        <v>Rancilio Classe 5 ST 1GR</v>
      </c>
      <c r="B90" s="53">
        <f>IF($A90="","",SUMIFS('Equipment Index'!$F$2:$F$1513,'Equipment Index'!$G$2:$G$1513,$A90,'Equipment Index'!$A$2:$A$1513,"Barn - Back Rack"))</f>
        <v>2</v>
      </c>
      <c r="C90" s="53">
        <f>IF($A90="","",SUMIFS('Equipment Index'!$F$2:$F$1513,'Equipment Index'!$G$2:$G$1513,$A90,'Equipment Index'!$A$2:$A$1513,"Barn - Front Rack"))</f>
        <v>0</v>
      </c>
      <c r="D90" s="53">
        <f>IF($A90="","",SUMIFS('Equipment Index'!$F$2:$F$1513,'Equipment Index'!$G$2:$G$1513,$A90,'Equipment Index'!$A$2:$A$1513,"Front Lobby"))</f>
        <v>0</v>
      </c>
      <c r="E90" s="53">
        <f>IF($A90="","",SUMIFS('Equipment Index'!$F$2:$F$1513,'Equipment Index'!$G$2:$G$1513,$A90,'Equipment Index'!$A$2:$A$1513,"Service Room"))</f>
        <v>0</v>
      </c>
      <c r="F90" s="53">
        <f>IF($A90="","",SUMIFS('Equipment Index'!$F$2:$F$1513,'Equipment Index'!$G$2:$G$1513,$A90,'Equipment Index'!$A$2:$A$1513,"Production"))</f>
        <v>0</v>
      </c>
      <c r="G90" s="53">
        <f>IF($A90="","",SUMIFS('Equipment Index'!$F$2:$F$1513,'Equipment Index'!$G$2:$G$1513,$A90,'Equipment Index'!$A$2:$A$1513,"Training Room"))</f>
        <v>0</v>
      </c>
      <c r="H90" s="54">
        <f>IF($A90="","",SUMIFS('Equipment Index'!$F$2:$F$1513,'Equipment Index'!$G$2:$G$1513,$A90,'Equipment Index'!$A$2:$A$1513,"Out of State"))</f>
        <v>0</v>
      </c>
      <c r="I90" s="53">
        <f>IF($A90="","",SUMIFS('Equipment Index'!$F$2:$F$1513,'Equipment Index'!$G$2:$G$1513,$A90,'Equipment Index'!$A$2:$A$1513,"San Antonio"))</f>
        <v>0</v>
      </c>
      <c r="J90" s="53">
        <f>IF($A90="","",SUMIFS('Equipment Index'!$F$2:$F$1513,'Equipment Index'!$G$2:$G$1513,$A90,'Equipment Index'!$A$2:$A$1513,"Dallas"))</f>
        <v>0</v>
      </c>
      <c r="K90" s="55">
        <f t="shared" si="2"/>
        <v>2</v>
      </c>
      <c r="L90" s="56">
        <f>IF($A90="","",SUMIFS('Equipment Index'!$F$2:$F$1513,'Equipment Index'!$G$2:$G$1513,$A90,'Equipment Index'!$C$2:$C$1513,"DISP"))</f>
        <v>0</v>
      </c>
      <c r="M90" s="57">
        <f>IF($A90="","",SUMIFS('Equipment Index'!$F$2:$F$1513,'Equipment Index'!$G$2:$G$1513,$A90,'Equipment Index'!$C$2:$C$1513,"MOD"))</f>
        <v>0</v>
      </c>
      <c r="N90" s="58" t="str">
        <f>IF($A90="","",IF(COUNTIFS('Equipment Index'!$G$2:$G$1513,$A90,'Equipment Index'!$H$2:$H$1513,"?*")=0,"","Customer-owned — "&amp;COUNTIFS('Equipment Index'!$G$2:$G$1513,$A90,'Equipment Index'!$H$2:$H$1513,"?*")&amp;" unit(s): "&amp;IFERROR(INDEX('Equipment Index'!$H$2:$H$1513,SUMPRODUCT(MATCH(1,('Equipment Index'!$G$2:$G$1513=$A90)*('Equipment Index'!$H$2:$H$1513&lt;&gt;""),0))),"")&amp;IF(COUNTIFS('Equipment Index'!$G$2:$G$1513,$A90,'Equipment Index'!$H$2:$H$1513,"?*")&gt;1," + see table below","")))</f>
        <v/>
      </c>
    </row>
    <row r="91" spans="1:14" ht="15" customHeight="1" x14ac:dyDescent="0.25">
      <c r="A91" s="52" t="str">
        <f>IFERROR(INDEX('Equipment Index'!$G$2:$G$1513,MATCH(ROW()-7,'Equipment Index'!$J$2:$J$1513,0)),"")</f>
        <v>Service Ideas 2.4 L Airpots</v>
      </c>
      <c r="B91" s="53">
        <f>IF($A91="","",SUMIFS('Equipment Index'!$F$2:$F$1513,'Equipment Index'!$G$2:$G$1513,$A91,'Equipment Index'!$A$2:$A$1513,"Barn - Back Rack"))</f>
        <v>33</v>
      </c>
      <c r="C91" s="53">
        <f>IF($A91="","",SUMIFS('Equipment Index'!$F$2:$F$1513,'Equipment Index'!$G$2:$G$1513,$A91,'Equipment Index'!$A$2:$A$1513,"Barn - Front Rack"))</f>
        <v>0</v>
      </c>
      <c r="D91" s="53">
        <f>IF($A91="","",SUMIFS('Equipment Index'!$F$2:$F$1513,'Equipment Index'!$G$2:$G$1513,$A91,'Equipment Index'!$A$2:$A$1513,"Front Lobby"))</f>
        <v>0</v>
      </c>
      <c r="E91" s="53">
        <f>IF($A91="","",SUMIFS('Equipment Index'!$F$2:$F$1513,'Equipment Index'!$G$2:$G$1513,$A91,'Equipment Index'!$A$2:$A$1513,"Service Room"))</f>
        <v>0</v>
      </c>
      <c r="F91" s="53">
        <f>IF($A91="","",SUMIFS('Equipment Index'!$F$2:$F$1513,'Equipment Index'!$G$2:$G$1513,$A91,'Equipment Index'!$A$2:$A$1513,"Production"))</f>
        <v>0</v>
      </c>
      <c r="G91" s="53">
        <f>IF($A91="","",SUMIFS('Equipment Index'!$F$2:$F$1513,'Equipment Index'!$G$2:$G$1513,$A91,'Equipment Index'!$A$2:$A$1513,"Training Room"))</f>
        <v>0</v>
      </c>
      <c r="H91" s="54">
        <f>IF($A91="","",SUMIFS('Equipment Index'!$F$2:$F$1513,'Equipment Index'!$G$2:$G$1513,$A91,'Equipment Index'!$A$2:$A$1513,"Out of State"))</f>
        <v>0</v>
      </c>
      <c r="I91" s="53">
        <f>IF($A91="","",SUMIFS('Equipment Index'!$F$2:$F$1513,'Equipment Index'!$G$2:$G$1513,$A91,'Equipment Index'!$A$2:$A$1513,"San Antonio"))</f>
        <v>0</v>
      </c>
      <c r="J91" s="53">
        <f>IF($A91="","",SUMIFS('Equipment Index'!$F$2:$F$1513,'Equipment Index'!$G$2:$G$1513,$A91,'Equipment Index'!$A$2:$A$1513,"Dallas"))</f>
        <v>0</v>
      </c>
      <c r="K91" s="55">
        <f t="shared" si="2"/>
        <v>33</v>
      </c>
      <c r="L91" s="56">
        <f>IF($A91="","",SUMIFS('Equipment Index'!$F$2:$F$1513,'Equipment Index'!$G$2:$G$1513,$A91,'Equipment Index'!$C$2:$C$1513,"DISP"))</f>
        <v>33</v>
      </c>
      <c r="M91" s="57">
        <f>IF($A91="","",SUMIFS('Equipment Index'!$F$2:$F$1513,'Equipment Index'!$G$2:$G$1513,$A91,'Equipment Index'!$C$2:$C$1513,"MOD"))</f>
        <v>0</v>
      </c>
      <c r="N91" s="58" t="str">
        <f>IF($A91="","",IF(COUNTIFS('Equipment Index'!$G$2:$G$1513,$A91,'Equipment Index'!$H$2:$H$1513,"?*")=0,"","Customer-owned — "&amp;COUNTIFS('Equipment Index'!$G$2:$G$1513,$A91,'Equipment Index'!$H$2:$H$1513,"?*")&amp;" unit(s): "&amp;IFERROR(INDEX('Equipment Index'!$H$2:$H$1513,SUMPRODUCT(MATCH(1,('Equipment Index'!$G$2:$G$1513=$A91)*('Equipment Index'!$H$2:$H$1513&lt;&gt;""),0))),"")&amp;IF(COUNTIFS('Equipment Index'!$G$2:$G$1513,$A91,'Equipment Index'!$H$2:$H$1513,"?*")&gt;1," + see table below","")))</f>
        <v/>
      </c>
    </row>
    <row r="92" spans="1:14" ht="15" customHeight="1" x14ac:dyDescent="0.25">
      <c r="A92" s="52" t="str">
        <f>IFERROR(INDEX('Equipment Index'!$G$2:$G$1513,MATCH(ROW()-7,'Equipment Index'!$J$2:$J$1513,0)),"")</f>
        <v>Victoria Arduino Leva 3</v>
      </c>
      <c r="B92" s="53">
        <f>IF($A92="","",SUMIFS('Equipment Index'!$F$2:$F$1513,'Equipment Index'!$G$2:$G$1513,$A92,'Equipment Index'!$A$2:$A$1513,"Barn - Back Rack"))</f>
        <v>0</v>
      </c>
      <c r="C92" s="53">
        <f>IF($A92="","",SUMIFS('Equipment Index'!$F$2:$F$1513,'Equipment Index'!$G$2:$G$1513,$A92,'Equipment Index'!$A$2:$A$1513,"Barn - Front Rack"))</f>
        <v>1</v>
      </c>
      <c r="D92" s="53">
        <f>IF($A92="","",SUMIFS('Equipment Index'!$F$2:$F$1513,'Equipment Index'!$G$2:$G$1513,$A92,'Equipment Index'!$A$2:$A$1513,"Front Lobby"))</f>
        <v>0</v>
      </c>
      <c r="E92" s="53">
        <f>IF($A92="","",SUMIFS('Equipment Index'!$F$2:$F$1513,'Equipment Index'!$G$2:$G$1513,$A92,'Equipment Index'!$A$2:$A$1513,"Service Room"))</f>
        <v>0</v>
      </c>
      <c r="F92" s="53">
        <f>IF($A92="","",SUMIFS('Equipment Index'!$F$2:$F$1513,'Equipment Index'!$G$2:$G$1513,$A92,'Equipment Index'!$A$2:$A$1513,"Production"))</f>
        <v>0</v>
      </c>
      <c r="G92" s="53">
        <f>IF($A92="","",SUMIFS('Equipment Index'!$F$2:$F$1513,'Equipment Index'!$G$2:$G$1513,$A92,'Equipment Index'!$A$2:$A$1513,"Training Room"))</f>
        <v>0</v>
      </c>
      <c r="H92" s="54">
        <f>IF($A92="","",SUMIFS('Equipment Index'!$F$2:$F$1513,'Equipment Index'!$G$2:$G$1513,$A92,'Equipment Index'!$A$2:$A$1513,"Out of State"))</f>
        <v>0</v>
      </c>
      <c r="I92" s="53">
        <f>IF($A92="","",SUMIFS('Equipment Index'!$F$2:$F$1513,'Equipment Index'!$G$2:$G$1513,$A92,'Equipment Index'!$A$2:$A$1513,"San Antonio"))</f>
        <v>0</v>
      </c>
      <c r="J92" s="53">
        <f>IF($A92="","",SUMIFS('Equipment Index'!$F$2:$F$1513,'Equipment Index'!$G$2:$G$1513,$A92,'Equipment Index'!$A$2:$A$1513,"Dallas"))</f>
        <v>0</v>
      </c>
      <c r="K92" s="55">
        <f t="shared" si="2"/>
        <v>1</v>
      </c>
      <c r="L92" s="56">
        <f>IF($A92="","",SUMIFS('Equipment Index'!$F$2:$F$1513,'Equipment Index'!$G$2:$G$1513,$A92,'Equipment Index'!$C$2:$C$1513,"DISP"))</f>
        <v>0</v>
      </c>
      <c r="M92" s="57">
        <f>IF($A92="","",SUMIFS('Equipment Index'!$F$2:$F$1513,'Equipment Index'!$G$2:$G$1513,$A92,'Equipment Index'!$C$2:$C$1513,"MOD"))</f>
        <v>0</v>
      </c>
      <c r="N92" s="58" t="str">
        <f>IF($A92="","",IF(COUNTIFS('Equipment Index'!$G$2:$G$1513,$A92,'Equipment Index'!$H$2:$H$1513,"?*")=0,"","Customer-owned — "&amp;COUNTIFS('Equipment Index'!$G$2:$G$1513,$A92,'Equipment Index'!$H$2:$H$1513,"?*")&amp;" unit(s): "&amp;IFERROR(INDEX('Equipment Index'!$H$2:$H$1513,SUMPRODUCT(MATCH(1,('Equipment Index'!$G$2:$G$1513=$A92)*('Equipment Index'!$H$2:$H$1513&lt;&gt;""),0))),"")&amp;IF(COUNTIFS('Equipment Index'!$G$2:$G$1513,$A92,'Equipment Index'!$H$2:$H$1513,"?*")&gt;1," + see table below","")))</f>
        <v/>
      </c>
    </row>
    <row r="93" spans="1:14" ht="15" customHeight="1" x14ac:dyDescent="0.25">
      <c r="A93" s="52" t="str">
        <f>IFERROR(INDEX('Equipment Index'!$G$2:$G$1513,MATCH(ROW()-7,'Equipment Index'!$J$2:$J$1513,0)),"")</f>
        <v>WAT Water CT Sparkling 3202-200</v>
      </c>
      <c r="B93" s="53">
        <f>IF($A93="","",SUMIFS('Equipment Index'!$F$2:$F$1513,'Equipment Index'!$G$2:$G$1513,$A93,'Equipment Index'!$A$2:$A$1513,"Barn - Back Rack"))</f>
        <v>0</v>
      </c>
      <c r="C93" s="53">
        <f>IF($A93="","",SUMIFS('Equipment Index'!$F$2:$F$1513,'Equipment Index'!$G$2:$G$1513,$A93,'Equipment Index'!$A$2:$A$1513,"Barn - Front Rack"))</f>
        <v>1</v>
      </c>
      <c r="D93" s="53">
        <f>IF($A93="","",SUMIFS('Equipment Index'!$F$2:$F$1513,'Equipment Index'!$G$2:$G$1513,$A93,'Equipment Index'!$A$2:$A$1513,"Front Lobby"))</f>
        <v>0</v>
      </c>
      <c r="E93" s="53">
        <f>IF($A93="","",SUMIFS('Equipment Index'!$F$2:$F$1513,'Equipment Index'!$G$2:$G$1513,$A93,'Equipment Index'!$A$2:$A$1513,"Service Room"))</f>
        <v>0</v>
      </c>
      <c r="F93" s="53">
        <f>IF($A93="","",SUMIFS('Equipment Index'!$F$2:$F$1513,'Equipment Index'!$G$2:$G$1513,$A93,'Equipment Index'!$A$2:$A$1513,"Production"))</f>
        <v>0</v>
      </c>
      <c r="G93" s="53">
        <f>IF($A93="","",SUMIFS('Equipment Index'!$F$2:$F$1513,'Equipment Index'!$G$2:$G$1513,$A93,'Equipment Index'!$A$2:$A$1513,"Training Room"))</f>
        <v>0</v>
      </c>
      <c r="H93" s="54">
        <f>IF($A93="","",SUMIFS('Equipment Index'!$F$2:$F$1513,'Equipment Index'!$G$2:$G$1513,$A93,'Equipment Index'!$A$2:$A$1513,"Out of State"))</f>
        <v>0</v>
      </c>
      <c r="I93" s="53">
        <f>IF($A93="","",SUMIFS('Equipment Index'!$F$2:$F$1513,'Equipment Index'!$G$2:$G$1513,$A93,'Equipment Index'!$A$2:$A$1513,"San Antonio"))</f>
        <v>0</v>
      </c>
      <c r="J93" s="53">
        <f>IF($A93="","",SUMIFS('Equipment Index'!$F$2:$F$1513,'Equipment Index'!$G$2:$G$1513,$A93,'Equipment Index'!$A$2:$A$1513,"Dallas"))</f>
        <v>0</v>
      </c>
      <c r="K93" s="55">
        <f t="shared" si="2"/>
        <v>1</v>
      </c>
      <c r="L93" s="56">
        <f>IF($A93="","",SUMIFS('Equipment Index'!$F$2:$F$1513,'Equipment Index'!$G$2:$G$1513,$A93,'Equipment Index'!$C$2:$C$1513,"DISP"))</f>
        <v>0</v>
      </c>
      <c r="M93" s="57">
        <f>IF($A93="","",SUMIFS('Equipment Index'!$F$2:$F$1513,'Equipment Index'!$G$2:$G$1513,$A93,'Equipment Index'!$C$2:$C$1513,"MOD"))</f>
        <v>0</v>
      </c>
      <c r="N93" s="58" t="str">
        <f>IF($A93="","",IF(COUNTIFS('Equipment Index'!$G$2:$G$1513,$A93,'Equipment Index'!$H$2:$H$1513,"?*")=0,"","Customer-owned — "&amp;COUNTIFS('Equipment Index'!$G$2:$G$1513,$A93,'Equipment Index'!$H$2:$H$1513,"?*")&amp;" unit(s): "&amp;IFERROR(INDEX('Equipment Index'!$H$2:$H$1513,SUMPRODUCT(MATCH(1,('Equipment Index'!$G$2:$G$1513=$A93)*('Equipment Index'!$H$2:$H$1513&lt;&gt;""),0))),"")&amp;IF(COUNTIFS('Equipment Index'!$G$2:$G$1513,$A93,'Equipment Index'!$H$2:$H$1513,"?*")&gt;1," + see table below","")))</f>
        <v/>
      </c>
    </row>
    <row r="94" spans="1:14" ht="15" customHeight="1" x14ac:dyDescent="0.25">
      <c r="A94" s="52" t="str">
        <f>IFERROR(INDEX('Equipment Index'!$G$2:$G$1513,MATCH(ROW()-7,'Equipment Index'!$J$2:$J$1513,0)),"")</f>
        <v/>
      </c>
      <c r="B94" s="53" t="str">
        <f>IF($A94="","",SUMIFS('Equipment Index'!$F$2:$F$1513,'Equipment Index'!$G$2:$G$1513,$A94,'Equipment Index'!$A$2:$A$1513,"Barn - Back Rack"))</f>
        <v/>
      </c>
      <c r="C94" s="53" t="str">
        <f>IF($A94="","",SUMIFS('Equipment Index'!$F$2:$F$1513,'Equipment Index'!$G$2:$G$1513,$A94,'Equipment Index'!$A$2:$A$1513,"Barn - Front Rack"))</f>
        <v/>
      </c>
      <c r="D94" s="53" t="str">
        <f>IF($A94="","",SUMIFS('Equipment Index'!$F$2:$F$1513,'Equipment Index'!$G$2:$G$1513,$A94,'Equipment Index'!$A$2:$A$1513,"Front Lobby"))</f>
        <v/>
      </c>
      <c r="E94" s="53" t="str">
        <f>IF($A94="","",SUMIFS('Equipment Index'!$F$2:$F$1513,'Equipment Index'!$G$2:$G$1513,$A94,'Equipment Index'!$A$2:$A$1513,"Service Room"))</f>
        <v/>
      </c>
      <c r="F94" s="53" t="str">
        <f>IF($A94="","",SUMIFS('Equipment Index'!$F$2:$F$1513,'Equipment Index'!$G$2:$G$1513,$A94,'Equipment Index'!$A$2:$A$1513,"Production"))</f>
        <v/>
      </c>
      <c r="G94" s="53" t="str">
        <f>IF($A94="","",SUMIFS('Equipment Index'!$F$2:$F$1513,'Equipment Index'!$G$2:$G$1513,$A94,'Equipment Index'!$A$2:$A$1513,"Training Room"))</f>
        <v/>
      </c>
      <c r="H94" s="54" t="str">
        <f>IF($A94="","",SUMIFS('Equipment Index'!$F$2:$F$1513,'Equipment Index'!$G$2:$G$1513,$A94,'Equipment Index'!$A$2:$A$1513,"Out of State"))</f>
        <v/>
      </c>
      <c r="I94" s="53" t="str">
        <f>IF($A94="","",SUMIFS('Equipment Index'!$F$2:$F$1513,'Equipment Index'!$G$2:$G$1513,$A94,'Equipment Index'!$A$2:$A$1513,"San Antonio"))</f>
        <v/>
      </c>
      <c r="J94" s="53" t="str">
        <f>IF($A94="","",SUMIFS('Equipment Index'!$F$2:$F$1513,'Equipment Index'!$G$2:$G$1513,$A94,'Equipment Index'!$A$2:$A$1513,"Dallas"))</f>
        <v/>
      </c>
      <c r="K94" s="55" t="str">
        <f t="shared" si="2"/>
        <v/>
      </c>
      <c r="L94" s="56" t="str">
        <f>IF($A94="","",SUMIFS('Equipment Index'!$F$2:$F$1513,'Equipment Index'!$G$2:$G$1513,$A94,'Equipment Index'!$C$2:$C$1513,"DISP"))</f>
        <v/>
      </c>
      <c r="M94" s="57" t="str">
        <f>IF($A94="","",SUMIFS('Equipment Index'!$F$2:$F$1513,'Equipment Index'!$G$2:$G$1513,$A94,'Equipment Index'!$C$2:$C$1513,"MOD"))</f>
        <v/>
      </c>
      <c r="N94" s="58" t="str">
        <f>IF($A94="","",IF(COUNTIFS('Equipment Index'!$G$2:$G$1513,$A94,'Equipment Index'!$H$2:$H$1513,"?*")=0,"","Customer-owned — "&amp;COUNTIFS('Equipment Index'!$G$2:$G$1513,$A94,'Equipment Index'!$H$2:$H$1513,"?*")&amp;" unit(s): "&amp;IFERROR(INDEX('Equipment Index'!$H$2:$H$1513,SUMPRODUCT(MATCH(1,('Equipment Index'!$G$2:$G$1513=$A94)*('Equipment Index'!$H$2:$H$1513&lt;&gt;""),0))),"")&amp;IF(COUNTIFS('Equipment Index'!$G$2:$G$1513,$A94,'Equipment Index'!$H$2:$H$1513,"?*")&gt;1," + see table below","")))</f>
        <v/>
      </c>
    </row>
    <row r="95" spans="1:14" ht="15" customHeight="1" x14ac:dyDescent="0.25">
      <c r="A95" s="52" t="str">
        <f>IFERROR(INDEX('Equipment Index'!$G$2:$G$1513,MATCH(ROW()-7,'Equipment Index'!$J$2:$J$1513,0)),"")</f>
        <v/>
      </c>
      <c r="B95" s="53" t="str">
        <f>IF($A95="","",SUMIFS('Equipment Index'!$F$2:$F$1513,'Equipment Index'!$G$2:$G$1513,$A95,'Equipment Index'!$A$2:$A$1513,"Barn - Back Rack"))</f>
        <v/>
      </c>
      <c r="C95" s="53" t="str">
        <f>IF($A95="","",SUMIFS('Equipment Index'!$F$2:$F$1513,'Equipment Index'!$G$2:$G$1513,$A95,'Equipment Index'!$A$2:$A$1513,"Barn - Front Rack"))</f>
        <v/>
      </c>
      <c r="D95" s="53" t="str">
        <f>IF($A95="","",SUMIFS('Equipment Index'!$F$2:$F$1513,'Equipment Index'!$G$2:$G$1513,$A95,'Equipment Index'!$A$2:$A$1513,"Front Lobby"))</f>
        <v/>
      </c>
      <c r="E95" s="53" t="str">
        <f>IF($A95="","",SUMIFS('Equipment Index'!$F$2:$F$1513,'Equipment Index'!$G$2:$G$1513,$A95,'Equipment Index'!$A$2:$A$1513,"Service Room"))</f>
        <v/>
      </c>
      <c r="F95" s="53" t="str">
        <f>IF($A95="","",SUMIFS('Equipment Index'!$F$2:$F$1513,'Equipment Index'!$G$2:$G$1513,$A95,'Equipment Index'!$A$2:$A$1513,"Production"))</f>
        <v/>
      </c>
      <c r="G95" s="53" t="str">
        <f>IF($A95="","",SUMIFS('Equipment Index'!$F$2:$F$1513,'Equipment Index'!$G$2:$G$1513,$A95,'Equipment Index'!$A$2:$A$1513,"Training Room"))</f>
        <v/>
      </c>
      <c r="H95" s="54" t="str">
        <f>IF($A95="","",SUMIFS('Equipment Index'!$F$2:$F$1513,'Equipment Index'!$G$2:$G$1513,$A95,'Equipment Index'!$A$2:$A$1513,"Out of State"))</f>
        <v/>
      </c>
      <c r="I95" s="53" t="str">
        <f>IF($A95="","",SUMIFS('Equipment Index'!$F$2:$F$1513,'Equipment Index'!$G$2:$G$1513,$A95,'Equipment Index'!$A$2:$A$1513,"San Antonio"))</f>
        <v/>
      </c>
      <c r="J95" s="53" t="str">
        <f>IF($A95="","",SUMIFS('Equipment Index'!$F$2:$F$1513,'Equipment Index'!$G$2:$G$1513,$A95,'Equipment Index'!$A$2:$A$1513,"Dallas"))</f>
        <v/>
      </c>
      <c r="K95" s="55" t="str">
        <f t="shared" si="2"/>
        <v/>
      </c>
      <c r="L95" s="56" t="str">
        <f>IF($A95="","",SUMIFS('Equipment Index'!$F$2:$F$1513,'Equipment Index'!$G$2:$G$1513,$A95,'Equipment Index'!$C$2:$C$1513,"DISP"))</f>
        <v/>
      </c>
      <c r="M95" s="57" t="str">
        <f>IF($A95="","",SUMIFS('Equipment Index'!$F$2:$F$1513,'Equipment Index'!$G$2:$G$1513,$A95,'Equipment Index'!$C$2:$C$1513,"MOD"))</f>
        <v/>
      </c>
      <c r="N95" s="58" t="str">
        <f>IF($A95="","",IF(COUNTIFS('Equipment Index'!$G$2:$G$1513,$A95,'Equipment Index'!$H$2:$H$1513,"?*")=0,"","Customer-owned — "&amp;COUNTIFS('Equipment Index'!$G$2:$G$1513,$A95,'Equipment Index'!$H$2:$H$1513,"?*")&amp;" unit(s): "&amp;IFERROR(INDEX('Equipment Index'!$H$2:$H$1513,SUMPRODUCT(MATCH(1,('Equipment Index'!$G$2:$G$1513=$A95)*('Equipment Index'!$H$2:$H$1513&lt;&gt;""),0))),"")&amp;IF(COUNTIFS('Equipment Index'!$G$2:$G$1513,$A95,'Equipment Index'!$H$2:$H$1513,"?*")&gt;1," + see table below","")))</f>
        <v/>
      </c>
    </row>
    <row r="96" spans="1:14" ht="15" customHeight="1" x14ac:dyDescent="0.25">
      <c r="A96" s="52" t="str">
        <f>IFERROR(INDEX('Equipment Index'!$G$2:$G$1513,MATCH(ROW()-7,'Equipment Index'!$J$2:$J$1513,0)),"")</f>
        <v/>
      </c>
      <c r="B96" s="53" t="str">
        <f>IF($A96="","",SUMIFS('Equipment Index'!$F$2:$F$1513,'Equipment Index'!$G$2:$G$1513,$A96,'Equipment Index'!$A$2:$A$1513,"Barn - Back Rack"))</f>
        <v/>
      </c>
      <c r="C96" s="53" t="str">
        <f>IF($A96="","",SUMIFS('Equipment Index'!$F$2:$F$1513,'Equipment Index'!$G$2:$G$1513,$A96,'Equipment Index'!$A$2:$A$1513,"Barn - Front Rack"))</f>
        <v/>
      </c>
      <c r="D96" s="53" t="str">
        <f>IF($A96="","",SUMIFS('Equipment Index'!$F$2:$F$1513,'Equipment Index'!$G$2:$G$1513,$A96,'Equipment Index'!$A$2:$A$1513,"Front Lobby"))</f>
        <v/>
      </c>
      <c r="E96" s="53" t="str">
        <f>IF($A96="","",SUMIFS('Equipment Index'!$F$2:$F$1513,'Equipment Index'!$G$2:$G$1513,$A96,'Equipment Index'!$A$2:$A$1513,"Service Room"))</f>
        <v/>
      </c>
      <c r="F96" s="53" t="str">
        <f>IF($A96="","",SUMIFS('Equipment Index'!$F$2:$F$1513,'Equipment Index'!$G$2:$G$1513,$A96,'Equipment Index'!$A$2:$A$1513,"Production"))</f>
        <v/>
      </c>
      <c r="G96" s="53" t="str">
        <f>IF($A96="","",SUMIFS('Equipment Index'!$F$2:$F$1513,'Equipment Index'!$G$2:$G$1513,$A96,'Equipment Index'!$A$2:$A$1513,"Training Room"))</f>
        <v/>
      </c>
      <c r="H96" s="54" t="str">
        <f>IF($A96="","",SUMIFS('Equipment Index'!$F$2:$F$1513,'Equipment Index'!$G$2:$G$1513,$A96,'Equipment Index'!$A$2:$A$1513,"Out of State"))</f>
        <v/>
      </c>
      <c r="I96" s="53" t="str">
        <f>IF($A96="","",SUMIFS('Equipment Index'!$F$2:$F$1513,'Equipment Index'!$G$2:$G$1513,$A96,'Equipment Index'!$A$2:$A$1513,"San Antonio"))</f>
        <v/>
      </c>
      <c r="J96" s="53" t="str">
        <f>IF($A96="","",SUMIFS('Equipment Index'!$F$2:$F$1513,'Equipment Index'!$G$2:$G$1513,$A96,'Equipment Index'!$A$2:$A$1513,"Dallas"))</f>
        <v/>
      </c>
      <c r="K96" s="55" t="str">
        <f t="shared" si="2"/>
        <v/>
      </c>
      <c r="L96" s="56" t="str">
        <f>IF($A96="","",SUMIFS('Equipment Index'!$F$2:$F$1513,'Equipment Index'!$G$2:$G$1513,$A96,'Equipment Index'!$C$2:$C$1513,"DISP"))</f>
        <v/>
      </c>
      <c r="M96" s="57" t="str">
        <f>IF($A96="","",SUMIFS('Equipment Index'!$F$2:$F$1513,'Equipment Index'!$G$2:$G$1513,$A96,'Equipment Index'!$C$2:$C$1513,"MOD"))</f>
        <v/>
      </c>
      <c r="N96" s="58" t="str">
        <f>IF($A96="","",IF(COUNTIFS('Equipment Index'!$G$2:$G$1513,$A96,'Equipment Index'!$H$2:$H$1513,"?*")=0,"","Customer-owned — "&amp;COUNTIFS('Equipment Index'!$G$2:$G$1513,$A96,'Equipment Index'!$H$2:$H$1513,"?*")&amp;" unit(s): "&amp;IFERROR(INDEX('Equipment Index'!$H$2:$H$1513,SUMPRODUCT(MATCH(1,('Equipment Index'!$G$2:$G$1513=$A96)*('Equipment Index'!$H$2:$H$1513&lt;&gt;""),0))),"")&amp;IF(COUNTIFS('Equipment Index'!$G$2:$G$1513,$A96,'Equipment Index'!$H$2:$H$1513,"?*")&gt;1," + see table below","")))</f>
        <v/>
      </c>
    </row>
    <row r="97" spans="1:14" ht="15" customHeight="1" x14ac:dyDescent="0.25">
      <c r="A97" s="52" t="str">
        <f>IFERROR(INDEX('Equipment Index'!$G$2:$G$1513,MATCH(ROW()-7,'Equipment Index'!$J$2:$J$1513,0)),"")</f>
        <v/>
      </c>
      <c r="B97" s="53" t="str">
        <f>IF($A97="","",SUMIFS('Equipment Index'!$F$2:$F$1513,'Equipment Index'!$G$2:$G$1513,$A97,'Equipment Index'!$A$2:$A$1513,"Barn - Back Rack"))</f>
        <v/>
      </c>
      <c r="C97" s="53" t="str">
        <f>IF($A97="","",SUMIFS('Equipment Index'!$F$2:$F$1513,'Equipment Index'!$G$2:$G$1513,$A97,'Equipment Index'!$A$2:$A$1513,"Barn - Front Rack"))</f>
        <v/>
      </c>
      <c r="D97" s="53" t="str">
        <f>IF($A97="","",SUMIFS('Equipment Index'!$F$2:$F$1513,'Equipment Index'!$G$2:$G$1513,$A97,'Equipment Index'!$A$2:$A$1513,"Front Lobby"))</f>
        <v/>
      </c>
      <c r="E97" s="53" t="str">
        <f>IF($A97="","",SUMIFS('Equipment Index'!$F$2:$F$1513,'Equipment Index'!$G$2:$G$1513,$A97,'Equipment Index'!$A$2:$A$1513,"Service Room"))</f>
        <v/>
      </c>
      <c r="F97" s="53" t="str">
        <f>IF($A97="","",SUMIFS('Equipment Index'!$F$2:$F$1513,'Equipment Index'!$G$2:$G$1513,$A97,'Equipment Index'!$A$2:$A$1513,"Production"))</f>
        <v/>
      </c>
      <c r="G97" s="53" t="str">
        <f>IF($A97="","",SUMIFS('Equipment Index'!$F$2:$F$1513,'Equipment Index'!$G$2:$G$1513,$A97,'Equipment Index'!$A$2:$A$1513,"Training Room"))</f>
        <v/>
      </c>
      <c r="H97" s="54" t="str">
        <f>IF($A97="","",SUMIFS('Equipment Index'!$F$2:$F$1513,'Equipment Index'!$G$2:$G$1513,$A97,'Equipment Index'!$A$2:$A$1513,"Out of State"))</f>
        <v/>
      </c>
      <c r="I97" s="53" t="str">
        <f>IF($A97="","",SUMIFS('Equipment Index'!$F$2:$F$1513,'Equipment Index'!$G$2:$G$1513,$A97,'Equipment Index'!$A$2:$A$1513,"San Antonio"))</f>
        <v/>
      </c>
      <c r="J97" s="53" t="str">
        <f>IF($A97="","",SUMIFS('Equipment Index'!$F$2:$F$1513,'Equipment Index'!$G$2:$G$1513,$A97,'Equipment Index'!$A$2:$A$1513,"Dallas"))</f>
        <v/>
      </c>
      <c r="K97" s="55" t="str">
        <f t="shared" si="2"/>
        <v/>
      </c>
      <c r="L97" s="56" t="str">
        <f>IF($A97="","",SUMIFS('Equipment Index'!$F$2:$F$1513,'Equipment Index'!$G$2:$G$1513,$A97,'Equipment Index'!$C$2:$C$1513,"DISP"))</f>
        <v/>
      </c>
      <c r="M97" s="57" t="str">
        <f>IF($A97="","",SUMIFS('Equipment Index'!$F$2:$F$1513,'Equipment Index'!$G$2:$G$1513,$A97,'Equipment Index'!$C$2:$C$1513,"MOD"))</f>
        <v/>
      </c>
      <c r="N97" s="58" t="str">
        <f>IF($A97="","",IF(COUNTIFS('Equipment Index'!$G$2:$G$1513,$A97,'Equipment Index'!$H$2:$H$1513,"?*")=0,"","Customer-owned — "&amp;COUNTIFS('Equipment Index'!$G$2:$G$1513,$A97,'Equipment Index'!$H$2:$H$1513,"?*")&amp;" unit(s): "&amp;IFERROR(INDEX('Equipment Index'!$H$2:$H$1513,SUMPRODUCT(MATCH(1,('Equipment Index'!$G$2:$G$1513=$A97)*('Equipment Index'!$H$2:$H$1513&lt;&gt;""),0))),"")&amp;IF(COUNTIFS('Equipment Index'!$G$2:$G$1513,$A97,'Equipment Index'!$H$2:$H$1513,"?*")&gt;1," + see table below","")))</f>
        <v/>
      </c>
    </row>
    <row r="98" spans="1:14" ht="15" customHeight="1" x14ac:dyDescent="0.25">
      <c r="A98" s="52" t="str">
        <f>IFERROR(INDEX('Equipment Index'!$G$2:$G$1513,MATCH(ROW()-7,'Equipment Index'!$J$2:$J$1513,0)),"")</f>
        <v/>
      </c>
      <c r="B98" s="53" t="str">
        <f>IF($A98="","",SUMIFS('Equipment Index'!$F$2:$F$1513,'Equipment Index'!$G$2:$G$1513,$A98,'Equipment Index'!$A$2:$A$1513,"Barn - Back Rack"))</f>
        <v/>
      </c>
      <c r="C98" s="53" t="str">
        <f>IF($A98="","",SUMIFS('Equipment Index'!$F$2:$F$1513,'Equipment Index'!$G$2:$G$1513,$A98,'Equipment Index'!$A$2:$A$1513,"Barn - Front Rack"))</f>
        <v/>
      </c>
      <c r="D98" s="53" t="str">
        <f>IF($A98="","",SUMIFS('Equipment Index'!$F$2:$F$1513,'Equipment Index'!$G$2:$G$1513,$A98,'Equipment Index'!$A$2:$A$1513,"Front Lobby"))</f>
        <v/>
      </c>
      <c r="E98" s="53" t="str">
        <f>IF($A98="","",SUMIFS('Equipment Index'!$F$2:$F$1513,'Equipment Index'!$G$2:$G$1513,$A98,'Equipment Index'!$A$2:$A$1513,"Service Room"))</f>
        <v/>
      </c>
      <c r="F98" s="53" t="str">
        <f>IF($A98="","",SUMIFS('Equipment Index'!$F$2:$F$1513,'Equipment Index'!$G$2:$G$1513,$A98,'Equipment Index'!$A$2:$A$1513,"Production"))</f>
        <v/>
      </c>
      <c r="G98" s="53" t="str">
        <f>IF($A98="","",SUMIFS('Equipment Index'!$F$2:$F$1513,'Equipment Index'!$G$2:$G$1513,$A98,'Equipment Index'!$A$2:$A$1513,"Training Room"))</f>
        <v/>
      </c>
      <c r="H98" s="54" t="str">
        <f>IF($A98="","",SUMIFS('Equipment Index'!$F$2:$F$1513,'Equipment Index'!$G$2:$G$1513,$A98,'Equipment Index'!$A$2:$A$1513,"Out of State"))</f>
        <v/>
      </c>
      <c r="I98" s="53" t="str">
        <f>IF($A98="","",SUMIFS('Equipment Index'!$F$2:$F$1513,'Equipment Index'!$G$2:$G$1513,$A98,'Equipment Index'!$A$2:$A$1513,"San Antonio"))</f>
        <v/>
      </c>
      <c r="J98" s="53" t="str">
        <f>IF($A98="","",SUMIFS('Equipment Index'!$F$2:$F$1513,'Equipment Index'!$G$2:$G$1513,$A98,'Equipment Index'!$A$2:$A$1513,"Dallas"))</f>
        <v/>
      </c>
      <c r="K98" s="55" t="str">
        <f t="shared" si="2"/>
        <v/>
      </c>
      <c r="L98" s="56" t="str">
        <f>IF($A98="","",SUMIFS('Equipment Index'!$F$2:$F$1513,'Equipment Index'!$G$2:$G$1513,$A98,'Equipment Index'!$C$2:$C$1513,"DISP"))</f>
        <v/>
      </c>
      <c r="M98" s="57" t="str">
        <f>IF($A98="","",SUMIFS('Equipment Index'!$F$2:$F$1513,'Equipment Index'!$G$2:$G$1513,$A98,'Equipment Index'!$C$2:$C$1513,"MOD"))</f>
        <v/>
      </c>
      <c r="N98" s="58" t="str">
        <f>IF($A98="","",IF(COUNTIFS('Equipment Index'!$G$2:$G$1513,$A98,'Equipment Index'!$H$2:$H$1513,"?*")=0,"","Customer-owned — "&amp;COUNTIFS('Equipment Index'!$G$2:$G$1513,$A98,'Equipment Index'!$H$2:$H$1513,"?*")&amp;" unit(s): "&amp;IFERROR(INDEX('Equipment Index'!$H$2:$H$1513,SUMPRODUCT(MATCH(1,('Equipment Index'!$G$2:$G$1513=$A98)*('Equipment Index'!$H$2:$H$1513&lt;&gt;""),0))),"")&amp;IF(COUNTIFS('Equipment Index'!$G$2:$G$1513,$A98,'Equipment Index'!$H$2:$H$1513,"?*")&gt;1," + see table below","")))</f>
        <v/>
      </c>
    </row>
    <row r="99" spans="1:14" ht="15" customHeight="1" x14ac:dyDescent="0.25">
      <c r="A99" s="52" t="str">
        <f>IFERROR(INDEX('Equipment Index'!$G$2:$G$1513,MATCH(ROW()-7,'Equipment Index'!$J$2:$J$1513,0)),"")</f>
        <v/>
      </c>
      <c r="B99" s="53" t="str">
        <f>IF($A99="","",SUMIFS('Equipment Index'!$F$2:$F$1513,'Equipment Index'!$G$2:$G$1513,$A99,'Equipment Index'!$A$2:$A$1513,"Barn - Back Rack"))</f>
        <v/>
      </c>
      <c r="C99" s="53" t="str">
        <f>IF($A99="","",SUMIFS('Equipment Index'!$F$2:$F$1513,'Equipment Index'!$G$2:$G$1513,$A99,'Equipment Index'!$A$2:$A$1513,"Barn - Front Rack"))</f>
        <v/>
      </c>
      <c r="D99" s="53" t="str">
        <f>IF($A99="","",SUMIFS('Equipment Index'!$F$2:$F$1513,'Equipment Index'!$G$2:$G$1513,$A99,'Equipment Index'!$A$2:$A$1513,"Front Lobby"))</f>
        <v/>
      </c>
      <c r="E99" s="53" t="str">
        <f>IF($A99="","",SUMIFS('Equipment Index'!$F$2:$F$1513,'Equipment Index'!$G$2:$G$1513,$A99,'Equipment Index'!$A$2:$A$1513,"Service Room"))</f>
        <v/>
      </c>
      <c r="F99" s="53" t="str">
        <f>IF($A99="","",SUMIFS('Equipment Index'!$F$2:$F$1513,'Equipment Index'!$G$2:$G$1513,$A99,'Equipment Index'!$A$2:$A$1513,"Production"))</f>
        <v/>
      </c>
      <c r="G99" s="53" t="str">
        <f>IF($A99="","",SUMIFS('Equipment Index'!$F$2:$F$1513,'Equipment Index'!$G$2:$G$1513,$A99,'Equipment Index'!$A$2:$A$1513,"Training Room"))</f>
        <v/>
      </c>
      <c r="H99" s="54" t="str">
        <f>IF($A99="","",SUMIFS('Equipment Index'!$F$2:$F$1513,'Equipment Index'!$G$2:$G$1513,$A99,'Equipment Index'!$A$2:$A$1513,"Out of State"))</f>
        <v/>
      </c>
      <c r="I99" s="53" t="str">
        <f>IF($A99="","",SUMIFS('Equipment Index'!$F$2:$F$1513,'Equipment Index'!$G$2:$G$1513,$A99,'Equipment Index'!$A$2:$A$1513,"San Antonio"))</f>
        <v/>
      </c>
      <c r="J99" s="53" t="str">
        <f>IF($A99="","",SUMIFS('Equipment Index'!$F$2:$F$1513,'Equipment Index'!$G$2:$G$1513,$A99,'Equipment Index'!$A$2:$A$1513,"Dallas"))</f>
        <v/>
      </c>
      <c r="K99" s="55" t="str">
        <f t="shared" si="2"/>
        <v/>
      </c>
      <c r="L99" s="56" t="str">
        <f>IF($A99="","",SUMIFS('Equipment Index'!$F$2:$F$1513,'Equipment Index'!$G$2:$G$1513,$A99,'Equipment Index'!$C$2:$C$1513,"DISP"))</f>
        <v/>
      </c>
      <c r="M99" s="57" t="str">
        <f>IF($A99="","",SUMIFS('Equipment Index'!$F$2:$F$1513,'Equipment Index'!$G$2:$G$1513,$A99,'Equipment Index'!$C$2:$C$1513,"MOD"))</f>
        <v/>
      </c>
      <c r="N99" s="58" t="str">
        <f>IF($A99="","",IF(COUNTIFS('Equipment Index'!$G$2:$G$1513,$A99,'Equipment Index'!$H$2:$H$1513,"?*")=0,"","Customer-owned — "&amp;COUNTIFS('Equipment Index'!$G$2:$G$1513,$A99,'Equipment Index'!$H$2:$H$1513,"?*")&amp;" unit(s): "&amp;IFERROR(INDEX('Equipment Index'!$H$2:$H$1513,SUMPRODUCT(MATCH(1,('Equipment Index'!$G$2:$G$1513=$A99)*('Equipment Index'!$H$2:$H$1513&lt;&gt;""),0))),"")&amp;IF(COUNTIFS('Equipment Index'!$G$2:$G$1513,$A99,'Equipment Index'!$H$2:$H$1513,"?*")&gt;1," + see table below","")))</f>
        <v/>
      </c>
    </row>
    <row r="100" spans="1:14" ht="15" customHeight="1" x14ac:dyDescent="0.25">
      <c r="A100" s="52" t="str">
        <f>IFERROR(INDEX('Equipment Index'!$G$2:$G$1513,MATCH(ROW()-7,'Equipment Index'!$J$2:$J$1513,0)),"")</f>
        <v/>
      </c>
      <c r="B100" s="53" t="str">
        <f>IF($A100="","",SUMIFS('Equipment Index'!$F$2:$F$1513,'Equipment Index'!$G$2:$G$1513,$A100,'Equipment Index'!$A$2:$A$1513,"Barn - Back Rack"))</f>
        <v/>
      </c>
      <c r="C100" s="53" t="str">
        <f>IF($A100="","",SUMIFS('Equipment Index'!$F$2:$F$1513,'Equipment Index'!$G$2:$G$1513,$A100,'Equipment Index'!$A$2:$A$1513,"Barn - Front Rack"))</f>
        <v/>
      </c>
      <c r="D100" s="53" t="str">
        <f>IF($A100="","",SUMIFS('Equipment Index'!$F$2:$F$1513,'Equipment Index'!$G$2:$G$1513,$A100,'Equipment Index'!$A$2:$A$1513,"Front Lobby"))</f>
        <v/>
      </c>
      <c r="E100" s="53" t="str">
        <f>IF($A100="","",SUMIFS('Equipment Index'!$F$2:$F$1513,'Equipment Index'!$G$2:$G$1513,$A100,'Equipment Index'!$A$2:$A$1513,"Service Room"))</f>
        <v/>
      </c>
      <c r="F100" s="53" t="str">
        <f>IF($A100="","",SUMIFS('Equipment Index'!$F$2:$F$1513,'Equipment Index'!$G$2:$G$1513,$A100,'Equipment Index'!$A$2:$A$1513,"Production"))</f>
        <v/>
      </c>
      <c r="G100" s="53" t="str">
        <f>IF($A100="","",SUMIFS('Equipment Index'!$F$2:$F$1513,'Equipment Index'!$G$2:$G$1513,$A100,'Equipment Index'!$A$2:$A$1513,"Training Room"))</f>
        <v/>
      </c>
      <c r="H100" s="54" t="str">
        <f>IF($A100="","",SUMIFS('Equipment Index'!$F$2:$F$1513,'Equipment Index'!$G$2:$G$1513,$A100,'Equipment Index'!$A$2:$A$1513,"Out of State"))</f>
        <v/>
      </c>
      <c r="I100" s="53" t="str">
        <f>IF($A100="","",SUMIFS('Equipment Index'!$F$2:$F$1513,'Equipment Index'!$G$2:$G$1513,$A100,'Equipment Index'!$A$2:$A$1513,"San Antonio"))</f>
        <v/>
      </c>
      <c r="J100" s="53" t="str">
        <f>IF($A100="","",SUMIFS('Equipment Index'!$F$2:$F$1513,'Equipment Index'!$G$2:$G$1513,$A100,'Equipment Index'!$A$2:$A$1513,"Dallas"))</f>
        <v/>
      </c>
      <c r="K100" s="55" t="str">
        <f t="shared" si="2"/>
        <v/>
      </c>
      <c r="L100" s="56" t="str">
        <f>IF($A100="","",SUMIFS('Equipment Index'!$F$2:$F$1513,'Equipment Index'!$G$2:$G$1513,$A100,'Equipment Index'!$C$2:$C$1513,"DISP"))</f>
        <v/>
      </c>
      <c r="M100" s="57" t="str">
        <f>IF($A100="","",SUMIFS('Equipment Index'!$F$2:$F$1513,'Equipment Index'!$G$2:$G$1513,$A100,'Equipment Index'!$C$2:$C$1513,"MOD"))</f>
        <v/>
      </c>
      <c r="N100" s="58" t="str">
        <f>IF($A100="","",IF(COUNTIFS('Equipment Index'!$G$2:$G$1513,$A100,'Equipment Index'!$H$2:$H$1513,"?*")=0,"","Customer-owned — "&amp;COUNTIFS('Equipment Index'!$G$2:$G$1513,$A100,'Equipment Index'!$H$2:$H$1513,"?*")&amp;" unit(s): "&amp;IFERROR(INDEX('Equipment Index'!$H$2:$H$1513,SUMPRODUCT(MATCH(1,('Equipment Index'!$G$2:$G$1513=$A100)*('Equipment Index'!$H$2:$H$1513&lt;&gt;""),0))),"")&amp;IF(COUNTIFS('Equipment Index'!$G$2:$G$1513,$A100,'Equipment Index'!$H$2:$H$1513,"?*")&gt;1," + see table below","")))</f>
        <v/>
      </c>
    </row>
    <row r="101" spans="1:14" ht="15" customHeight="1" x14ac:dyDescent="0.25">
      <c r="A101" s="52" t="str">
        <f>IFERROR(INDEX('Equipment Index'!$G$2:$G$1513,MATCH(ROW()-7,'Equipment Index'!$J$2:$J$1513,0)),"")</f>
        <v/>
      </c>
      <c r="B101" s="53" t="str">
        <f>IF($A101="","",SUMIFS('Equipment Index'!$F$2:$F$1513,'Equipment Index'!$G$2:$G$1513,$A101,'Equipment Index'!$A$2:$A$1513,"Barn - Back Rack"))</f>
        <v/>
      </c>
      <c r="C101" s="53" t="str">
        <f>IF($A101="","",SUMIFS('Equipment Index'!$F$2:$F$1513,'Equipment Index'!$G$2:$G$1513,$A101,'Equipment Index'!$A$2:$A$1513,"Barn - Front Rack"))</f>
        <v/>
      </c>
      <c r="D101" s="53" t="str">
        <f>IF($A101="","",SUMIFS('Equipment Index'!$F$2:$F$1513,'Equipment Index'!$G$2:$G$1513,$A101,'Equipment Index'!$A$2:$A$1513,"Front Lobby"))</f>
        <v/>
      </c>
      <c r="E101" s="53" t="str">
        <f>IF($A101="","",SUMIFS('Equipment Index'!$F$2:$F$1513,'Equipment Index'!$G$2:$G$1513,$A101,'Equipment Index'!$A$2:$A$1513,"Service Room"))</f>
        <v/>
      </c>
      <c r="F101" s="53" t="str">
        <f>IF($A101="","",SUMIFS('Equipment Index'!$F$2:$F$1513,'Equipment Index'!$G$2:$G$1513,$A101,'Equipment Index'!$A$2:$A$1513,"Production"))</f>
        <v/>
      </c>
      <c r="G101" s="53" t="str">
        <f>IF($A101="","",SUMIFS('Equipment Index'!$F$2:$F$1513,'Equipment Index'!$G$2:$G$1513,$A101,'Equipment Index'!$A$2:$A$1513,"Training Room"))</f>
        <v/>
      </c>
      <c r="H101" s="54" t="str">
        <f>IF($A101="","",SUMIFS('Equipment Index'!$F$2:$F$1513,'Equipment Index'!$G$2:$G$1513,$A101,'Equipment Index'!$A$2:$A$1513,"Out of State"))</f>
        <v/>
      </c>
      <c r="I101" s="53" t="str">
        <f>IF($A101="","",SUMIFS('Equipment Index'!$F$2:$F$1513,'Equipment Index'!$G$2:$G$1513,$A101,'Equipment Index'!$A$2:$A$1513,"San Antonio"))</f>
        <v/>
      </c>
      <c r="J101" s="53" t="str">
        <f>IF($A101="","",SUMIFS('Equipment Index'!$F$2:$F$1513,'Equipment Index'!$G$2:$G$1513,$A101,'Equipment Index'!$A$2:$A$1513,"Dallas"))</f>
        <v/>
      </c>
      <c r="K101" s="55" t="str">
        <f t="shared" si="2"/>
        <v/>
      </c>
      <c r="L101" s="56" t="str">
        <f>IF($A101="","",SUMIFS('Equipment Index'!$F$2:$F$1513,'Equipment Index'!$G$2:$G$1513,$A101,'Equipment Index'!$C$2:$C$1513,"DISP"))</f>
        <v/>
      </c>
      <c r="M101" s="57" t="str">
        <f>IF($A101="","",SUMIFS('Equipment Index'!$F$2:$F$1513,'Equipment Index'!$G$2:$G$1513,$A101,'Equipment Index'!$C$2:$C$1513,"MOD"))</f>
        <v/>
      </c>
      <c r="N101" s="58" t="str">
        <f>IF($A101="","",IF(COUNTIFS('Equipment Index'!$G$2:$G$1513,$A101,'Equipment Index'!$H$2:$H$1513,"?*")=0,"","Customer-owned — "&amp;COUNTIFS('Equipment Index'!$G$2:$G$1513,$A101,'Equipment Index'!$H$2:$H$1513,"?*")&amp;" unit(s): "&amp;IFERROR(INDEX('Equipment Index'!$H$2:$H$1513,SUMPRODUCT(MATCH(1,('Equipment Index'!$G$2:$G$1513=$A101)*('Equipment Index'!$H$2:$H$1513&lt;&gt;""),0))),"")&amp;IF(COUNTIFS('Equipment Index'!$G$2:$G$1513,$A101,'Equipment Index'!$H$2:$H$1513,"?*")&gt;1," + see table below","")))</f>
        <v/>
      </c>
    </row>
    <row r="102" spans="1:14" ht="15" customHeight="1" x14ac:dyDescent="0.25">
      <c r="A102" s="52" t="str">
        <f>IFERROR(INDEX('Equipment Index'!$G$2:$G$1513,MATCH(ROW()-7,'Equipment Index'!$J$2:$J$1513,0)),"")</f>
        <v/>
      </c>
      <c r="B102" s="53" t="str">
        <f>IF($A102="","",SUMIFS('Equipment Index'!$F$2:$F$1513,'Equipment Index'!$G$2:$G$1513,$A102,'Equipment Index'!$A$2:$A$1513,"Barn - Back Rack"))</f>
        <v/>
      </c>
      <c r="C102" s="53" t="str">
        <f>IF($A102="","",SUMIFS('Equipment Index'!$F$2:$F$1513,'Equipment Index'!$G$2:$G$1513,$A102,'Equipment Index'!$A$2:$A$1513,"Barn - Front Rack"))</f>
        <v/>
      </c>
      <c r="D102" s="53" t="str">
        <f>IF($A102="","",SUMIFS('Equipment Index'!$F$2:$F$1513,'Equipment Index'!$G$2:$G$1513,$A102,'Equipment Index'!$A$2:$A$1513,"Front Lobby"))</f>
        <v/>
      </c>
      <c r="E102" s="53" t="str">
        <f>IF($A102="","",SUMIFS('Equipment Index'!$F$2:$F$1513,'Equipment Index'!$G$2:$G$1513,$A102,'Equipment Index'!$A$2:$A$1513,"Service Room"))</f>
        <v/>
      </c>
      <c r="F102" s="53" t="str">
        <f>IF($A102="","",SUMIFS('Equipment Index'!$F$2:$F$1513,'Equipment Index'!$G$2:$G$1513,$A102,'Equipment Index'!$A$2:$A$1513,"Production"))</f>
        <v/>
      </c>
      <c r="G102" s="53" t="str">
        <f>IF($A102="","",SUMIFS('Equipment Index'!$F$2:$F$1513,'Equipment Index'!$G$2:$G$1513,$A102,'Equipment Index'!$A$2:$A$1513,"Training Room"))</f>
        <v/>
      </c>
      <c r="H102" s="54" t="str">
        <f>IF($A102="","",SUMIFS('Equipment Index'!$F$2:$F$1513,'Equipment Index'!$G$2:$G$1513,$A102,'Equipment Index'!$A$2:$A$1513,"Out of State"))</f>
        <v/>
      </c>
      <c r="I102" s="53" t="str">
        <f>IF($A102="","",SUMIFS('Equipment Index'!$F$2:$F$1513,'Equipment Index'!$G$2:$G$1513,$A102,'Equipment Index'!$A$2:$A$1513,"San Antonio"))</f>
        <v/>
      </c>
      <c r="J102" s="53" t="str">
        <f>IF($A102="","",SUMIFS('Equipment Index'!$F$2:$F$1513,'Equipment Index'!$G$2:$G$1513,$A102,'Equipment Index'!$A$2:$A$1513,"Dallas"))</f>
        <v/>
      </c>
      <c r="K102" s="55" t="str">
        <f t="shared" si="2"/>
        <v/>
      </c>
      <c r="L102" s="56" t="str">
        <f>IF($A102="","",SUMIFS('Equipment Index'!$F$2:$F$1513,'Equipment Index'!$G$2:$G$1513,$A102,'Equipment Index'!$C$2:$C$1513,"DISP"))</f>
        <v/>
      </c>
      <c r="M102" s="57" t="str">
        <f>IF($A102="","",SUMIFS('Equipment Index'!$F$2:$F$1513,'Equipment Index'!$G$2:$G$1513,$A102,'Equipment Index'!$C$2:$C$1513,"MOD"))</f>
        <v/>
      </c>
      <c r="N102" s="58" t="str">
        <f>IF($A102="","",IF(COUNTIFS('Equipment Index'!$G$2:$G$1513,$A102,'Equipment Index'!$H$2:$H$1513,"?*")=0,"","Customer-owned — "&amp;COUNTIFS('Equipment Index'!$G$2:$G$1513,$A102,'Equipment Index'!$H$2:$H$1513,"?*")&amp;" unit(s): "&amp;IFERROR(INDEX('Equipment Index'!$H$2:$H$1513,SUMPRODUCT(MATCH(1,('Equipment Index'!$G$2:$G$1513=$A102)*('Equipment Index'!$H$2:$H$1513&lt;&gt;""),0))),"")&amp;IF(COUNTIFS('Equipment Index'!$G$2:$G$1513,$A102,'Equipment Index'!$H$2:$H$1513,"?*")&gt;1," + see table below","")))</f>
        <v/>
      </c>
    </row>
    <row r="103" spans="1:14" ht="15" customHeight="1" x14ac:dyDescent="0.25">
      <c r="A103" s="52" t="str">
        <f>IFERROR(INDEX('Equipment Index'!$G$2:$G$1513,MATCH(ROW()-7,'Equipment Index'!$J$2:$J$1513,0)),"")</f>
        <v/>
      </c>
      <c r="B103" s="53" t="str">
        <f>IF($A103="","",SUMIFS('Equipment Index'!$F$2:$F$1513,'Equipment Index'!$G$2:$G$1513,$A103,'Equipment Index'!$A$2:$A$1513,"Barn - Back Rack"))</f>
        <v/>
      </c>
      <c r="C103" s="53" t="str">
        <f>IF($A103="","",SUMIFS('Equipment Index'!$F$2:$F$1513,'Equipment Index'!$G$2:$G$1513,$A103,'Equipment Index'!$A$2:$A$1513,"Barn - Front Rack"))</f>
        <v/>
      </c>
      <c r="D103" s="53" t="str">
        <f>IF($A103="","",SUMIFS('Equipment Index'!$F$2:$F$1513,'Equipment Index'!$G$2:$G$1513,$A103,'Equipment Index'!$A$2:$A$1513,"Front Lobby"))</f>
        <v/>
      </c>
      <c r="E103" s="53" t="str">
        <f>IF($A103="","",SUMIFS('Equipment Index'!$F$2:$F$1513,'Equipment Index'!$G$2:$G$1513,$A103,'Equipment Index'!$A$2:$A$1513,"Service Room"))</f>
        <v/>
      </c>
      <c r="F103" s="53" t="str">
        <f>IF($A103="","",SUMIFS('Equipment Index'!$F$2:$F$1513,'Equipment Index'!$G$2:$G$1513,$A103,'Equipment Index'!$A$2:$A$1513,"Production"))</f>
        <v/>
      </c>
      <c r="G103" s="53" t="str">
        <f>IF($A103="","",SUMIFS('Equipment Index'!$F$2:$F$1513,'Equipment Index'!$G$2:$G$1513,$A103,'Equipment Index'!$A$2:$A$1513,"Training Room"))</f>
        <v/>
      </c>
      <c r="H103" s="54" t="str">
        <f>IF($A103="","",SUMIFS('Equipment Index'!$F$2:$F$1513,'Equipment Index'!$G$2:$G$1513,$A103,'Equipment Index'!$A$2:$A$1513,"Out of State"))</f>
        <v/>
      </c>
      <c r="I103" s="53" t="str">
        <f>IF($A103="","",SUMIFS('Equipment Index'!$F$2:$F$1513,'Equipment Index'!$G$2:$G$1513,$A103,'Equipment Index'!$A$2:$A$1513,"San Antonio"))</f>
        <v/>
      </c>
      <c r="J103" s="53" t="str">
        <f>IF($A103="","",SUMIFS('Equipment Index'!$F$2:$F$1513,'Equipment Index'!$G$2:$G$1513,$A103,'Equipment Index'!$A$2:$A$1513,"Dallas"))</f>
        <v/>
      </c>
      <c r="K103" s="55" t="str">
        <f t="shared" si="2"/>
        <v/>
      </c>
      <c r="L103" s="56" t="str">
        <f>IF($A103="","",SUMIFS('Equipment Index'!$F$2:$F$1513,'Equipment Index'!$G$2:$G$1513,$A103,'Equipment Index'!$C$2:$C$1513,"DISP"))</f>
        <v/>
      </c>
      <c r="M103" s="57" t="str">
        <f>IF($A103="","",SUMIFS('Equipment Index'!$F$2:$F$1513,'Equipment Index'!$G$2:$G$1513,$A103,'Equipment Index'!$C$2:$C$1513,"MOD"))</f>
        <v/>
      </c>
      <c r="N103" s="58" t="str">
        <f>IF($A103="","",IF(COUNTIFS('Equipment Index'!$G$2:$G$1513,$A103,'Equipment Index'!$H$2:$H$1513,"?*")=0,"","Customer-owned — "&amp;COUNTIFS('Equipment Index'!$G$2:$G$1513,$A103,'Equipment Index'!$H$2:$H$1513,"?*")&amp;" unit(s): "&amp;IFERROR(INDEX('Equipment Index'!$H$2:$H$1513,SUMPRODUCT(MATCH(1,('Equipment Index'!$G$2:$G$1513=$A103)*('Equipment Index'!$H$2:$H$1513&lt;&gt;""),0))),"")&amp;IF(COUNTIFS('Equipment Index'!$G$2:$G$1513,$A103,'Equipment Index'!$H$2:$H$1513,"?*")&gt;1," + see table below","")))</f>
        <v/>
      </c>
    </row>
    <row r="104" spans="1:14" ht="15" customHeight="1" x14ac:dyDescent="0.25">
      <c r="A104" s="52" t="str">
        <f>IFERROR(INDEX('Equipment Index'!$G$2:$G$1513,MATCH(ROW()-7,'Equipment Index'!$J$2:$J$1513,0)),"")</f>
        <v/>
      </c>
      <c r="B104" s="53" t="str">
        <f>IF($A104="","",SUMIFS('Equipment Index'!$F$2:$F$1513,'Equipment Index'!$G$2:$G$1513,$A104,'Equipment Index'!$A$2:$A$1513,"Barn - Back Rack"))</f>
        <v/>
      </c>
      <c r="C104" s="53" t="str">
        <f>IF($A104="","",SUMIFS('Equipment Index'!$F$2:$F$1513,'Equipment Index'!$G$2:$G$1513,$A104,'Equipment Index'!$A$2:$A$1513,"Barn - Front Rack"))</f>
        <v/>
      </c>
      <c r="D104" s="53" t="str">
        <f>IF($A104="","",SUMIFS('Equipment Index'!$F$2:$F$1513,'Equipment Index'!$G$2:$G$1513,$A104,'Equipment Index'!$A$2:$A$1513,"Front Lobby"))</f>
        <v/>
      </c>
      <c r="E104" s="53" t="str">
        <f>IF($A104="","",SUMIFS('Equipment Index'!$F$2:$F$1513,'Equipment Index'!$G$2:$G$1513,$A104,'Equipment Index'!$A$2:$A$1513,"Service Room"))</f>
        <v/>
      </c>
      <c r="F104" s="53" t="str">
        <f>IF($A104="","",SUMIFS('Equipment Index'!$F$2:$F$1513,'Equipment Index'!$G$2:$G$1513,$A104,'Equipment Index'!$A$2:$A$1513,"Production"))</f>
        <v/>
      </c>
      <c r="G104" s="53" t="str">
        <f>IF($A104="","",SUMIFS('Equipment Index'!$F$2:$F$1513,'Equipment Index'!$G$2:$G$1513,$A104,'Equipment Index'!$A$2:$A$1513,"Training Room"))</f>
        <v/>
      </c>
      <c r="H104" s="54" t="str">
        <f>IF($A104="","",SUMIFS('Equipment Index'!$F$2:$F$1513,'Equipment Index'!$G$2:$G$1513,$A104,'Equipment Index'!$A$2:$A$1513,"Out of State"))</f>
        <v/>
      </c>
      <c r="I104" s="53" t="str">
        <f>IF($A104="","",SUMIFS('Equipment Index'!$F$2:$F$1513,'Equipment Index'!$G$2:$G$1513,$A104,'Equipment Index'!$A$2:$A$1513,"San Antonio"))</f>
        <v/>
      </c>
      <c r="J104" s="53" t="str">
        <f>IF($A104="","",SUMIFS('Equipment Index'!$F$2:$F$1513,'Equipment Index'!$G$2:$G$1513,$A104,'Equipment Index'!$A$2:$A$1513,"Dallas"))</f>
        <v/>
      </c>
      <c r="K104" s="55" t="str">
        <f t="shared" ref="K104:K135" si="3">IF($A104="","",SUM($B104:$J104))</f>
        <v/>
      </c>
      <c r="L104" s="56" t="str">
        <f>IF($A104="","",SUMIFS('Equipment Index'!$F$2:$F$1513,'Equipment Index'!$G$2:$G$1513,$A104,'Equipment Index'!$C$2:$C$1513,"DISP"))</f>
        <v/>
      </c>
      <c r="M104" s="57" t="str">
        <f>IF($A104="","",SUMIFS('Equipment Index'!$F$2:$F$1513,'Equipment Index'!$G$2:$G$1513,$A104,'Equipment Index'!$C$2:$C$1513,"MOD"))</f>
        <v/>
      </c>
      <c r="N104" s="58" t="str">
        <f>IF($A104="","",IF(COUNTIFS('Equipment Index'!$G$2:$G$1513,$A104,'Equipment Index'!$H$2:$H$1513,"?*")=0,"","Customer-owned — "&amp;COUNTIFS('Equipment Index'!$G$2:$G$1513,$A104,'Equipment Index'!$H$2:$H$1513,"?*")&amp;" unit(s): "&amp;IFERROR(INDEX('Equipment Index'!$H$2:$H$1513,SUMPRODUCT(MATCH(1,('Equipment Index'!$G$2:$G$1513=$A104)*('Equipment Index'!$H$2:$H$1513&lt;&gt;""),0))),"")&amp;IF(COUNTIFS('Equipment Index'!$G$2:$G$1513,$A104,'Equipment Index'!$H$2:$H$1513,"?*")&gt;1," + see table below","")))</f>
        <v/>
      </c>
    </row>
    <row r="105" spans="1:14" ht="15" customHeight="1" x14ac:dyDescent="0.25">
      <c r="A105" s="52" t="str">
        <f>IFERROR(INDEX('Equipment Index'!$G$2:$G$1513,MATCH(ROW()-7,'Equipment Index'!$J$2:$J$1513,0)),"")</f>
        <v/>
      </c>
      <c r="B105" s="53" t="str">
        <f>IF($A105="","",SUMIFS('Equipment Index'!$F$2:$F$1513,'Equipment Index'!$G$2:$G$1513,$A105,'Equipment Index'!$A$2:$A$1513,"Barn - Back Rack"))</f>
        <v/>
      </c>
      <c r="C105" s="53" t="str">
        <f>IF($A105="","",SUMIFS('Equipment Index'!$F$2:$F$1513,'Equipment Index'!$G$2:$G$1513,$A105,'Equipment Index'!$A$2:$A$1513,"Barn - Front Rack"))</f>
        <v/>
      </c>
      <c r="D105" s="53" t="str">
        <f>IF($A105="","",SUMIFS('Equipment Index'!$F$2:$F$1513,'Equipment Index'!$G$2:$G$1513,$A105,'Equipment Index'!$A$2:$A$1513,"Front Lobby"))</f>
        <v/>
      </c>
      <c r="E105" s="53" t="str">
        <f>IF($A105="","",SUMIFS('Equipment Index'!$F$2:$F$1513,'Equipment Index'!$G$2:$G$1513,$A105,'Equipment Index'!$A$2:$A$1513,"Service Room"))</f>
        <v/>
      </c>
      <c r="F105" s="53" t="str">
        <f>IF($A105="","",SUMIFS('Equipment Index'!$F$2:$F$1513,'Equipment Index'!$G$2:$G$1513,$A105,'Equipment Index'!$A$2:$A$1513,"Production"))</f>
        <v/>
      </c>
      <c r="G105" s="53" t="str">
        <f>IF($A105="","",SUMIFS('Equipment Index'!$F$2:$F$1513,'Equipment Index'!$G$2:$G$1513,$A105,'Equipment Index'!$A$2:$A$1513,"Training Room"))</f>
        <v/>
      </c>
      <c r="H105" s="54" t="str">
        <f>IF($A105="","",SUMIFS('Equipment Index'!$F$2:$F$1513,'Equipment Index'!$G$2:$G$1513,$A105,'Equipment Index'!$A$2:$A$1513,"Out of State"))</f>
        <v/>
      </c>
      <c r="I105" s="53" t="str">
        <f>IF($A105="","",SUMIFS('Equipment Index'!$F$2:$F$1513,'Equipment Index'!$G$2:$G$1513,$A105,'Equipment Index'!$A$2:$A$1513,"San Antonio"))</f>
        <v/>
      </c>
      <c r="J105" s="53" t="str">
        <f>IF($A105="","",SUMIFS('Equipment Index'!$F$2:$F$1513,'Equipment Index'!$G$2:$G$1513,$A105,'Equipment Index'!$A$2:$A$1513,"Dallas"))</f>
        <v/>
      </c>
      <c r="K105" s="55" t="str">
        <f t="shared" si="3"/>
        <v/>
      </c>
      <c r="L105" s="56" t="str">
        <f>IF($A105="","",SUMIFS('Equipment Index'!$F$2:$F$1513,'Equipment Index'!$G$2:$G$1513,$A105,'Equipment Index'!$C$2:$C$1513,"DISP"))</f>
        <v/>
      </c>
      <c r="M105" s="57" t="str">
        <f>IF($A105="","",SUMIFS('Equipment Index'!$F$2:$F$1513,'Equipment Index'!$G$2:$G$1513,$A105,'Equipment Index'!$C$2:$C$1513,"MOD"))</f>
        <v/>
      </c>
      <c r="N105" s="58" t="str">
        <f>IF($A105="","",IF(COUNTIFS('Equipment Index'!$G$2:$G$1513,$A105,'Equipment Index'!$H$2:$H$1513,"?*")=0,"","Customer-owned — "&amp;COUNTIFS('Equipment Index'!$G$2:$G$1513,$A105,'Equipment Index'!$H$2:$H$1513,"?*")&amp;" unit(s): "&amp;IFERROR(INDEX('Equipment Index'!$H$2:$H$1513,SUMPRODUCT(MATCH(1,('Equipment Index'!$G$2:$G$1513=$A105)*('Equipment Index'!$H$2:$H$1513&lt;&gt;""),0))),"")&amp;IF(COUNTIFS('Equipment Index'!$G$2:$G$1513,$A105,'Equipment Index'!$H$2:$H$1513,"?*")&gt;1," + see table below","")))</f>
        <v/>
      </c>
    </row>
    <row r="106" spans="1:14" ht="15" customHeight="1" x14ac:dyDescent="0.25">
      <c r="A106" s="52" t="str">
        <f>IFERROR(INDEX('Equipment Index'!$G$2:$G$1513,MATCH(ROW()-7,'Equipment Index'!$J$2:$J$1513,0)),"")</f>
        <v/>
      </c>
      <c r="B106" s="53" t="str">
        <f>IF($A106="","",SUMIFS('Equipment Index'!$F$2:$F$1513,'Equipment Index'!$G$2:$G$1513,$A106,'Equipment Index'!$A$2:$A$1513,"Barn - Back Rack"))</f>
        <v/>
      </c>
      <c r="C106" s="53" t="str">
        <f>IF($A106="","",SUMIFS('Equipment Index'!$F$2:$F$1513,'Equipment Index'!$G$2:$G$1513,$A106,'Equipment Index'!$A$2:$A$1513,"Barn - Front Rack"))</f>
        <v/>
      </c>
      <c r="D106" s="53" t="str">
        <f>IF($A106="","",SUMIFS('Equipment Index'!$F$2:$F$1513,'Equipment Index'!$G$2:$G$1513,$A106,'Equipment Index'!$A$2:$A$1513,"Front Lobby"))</f>
        <v/>
      </c>
      <c r="E106" s="53" t="str">
        <f>IF($A106="","",SUMIFS('Equipment Index'!$F$2:$F$1513,'Equipment Index'!$G$2:$G$1513,$A106,'Equipment Index'!$A$2:$A$1513,"Service Room"))</f>
        <v/>
      </c>
      <c r="F106" s="53" t="str">
        <f>IF($A106="","",SUMIFS('Equipment Index'!$F$2:$F$1513,'Equipment Index'!$G$2:$G$1513,$A106,'Equipment Index'!$A$2:$A$1513,"Production"))</f>
        <v/>
      </c>
      <c r="G106" s="53" t="str">
        <f>IF($A106="","",SUMIFS('Equipment Index'!$F$2:$F$1513,'Equipment Index'!$G$2:$G$1513,$A106,'Equipment Index'!$A$2:$A$1513,"Training Room"))</f>
        <v/>
      </c>
      <c r="H106" s="54" t="str">
        <f>IF($A106="","",SUMIFS('Equipment Index'!$F$2:$F$1513,'Equipment Index'!$G$2:$G$1513,$A106,'Equipment Index'!$A$2:$A$1513,"Out of State"))</f>
        <v/>
      </c>
      <c r="I106" s="53" t="str">
        <f>IF($A106="","",SUMIFS('Equipment Index'!$F$2:$F$1513,'Equipment Index'!$G$2:$G$1513,$A106,'Equipment Index'!$A$2:$A$1513,"San Antonio"))</f>
        <v/>
      </c>
      <c r="J106" s="53" t="str">
        <f>IF($A106="","",SUMIFS('Equipment Index'!$F$2:$F$1513,'Equipment Index'!$G$2:$G$1513,$A106,'Equipment Index'!$A$2:$A$1513,"Dallas"))</f>
        <v/>
      </c>
      <c r="K106" s="55" t="str">
        <f t="shared" si="3"/>
        <v/>
      </c>
      <c r="L106" s="56" t="str">
        <f>IF($A106="","",SUMIFS('Equipment Index'!$F$2:$F$1513,'Equipment Index'!$G$2:$G$1513,$A106,'Equipment Index'!$C$2:$C$1513,"DISP"))</f>
        <v/>
      </c>
      <c r="M106" s="57" t="str">
        <f>IF($A106="","",SUMIFS('Equipment Index'!$F$2:$F$1513,'Equipment Index'!$G$2:$G$1513,$A106,'Equipment Index'!$C$2:$C$1513,"MOD"))</f>
        <v/>
      </c>
      <c r="N106" s="58" t="str">
        <f>IF($A106="","",IF(COUNTIFS('Equipment Index'!$G$2:$G$1513,$A106,'Equipment Index'!$H$2:$H$1513,"?*")=0,"","Customer-owned — "&amp;COUNTIFS('Equipment Index'!$G$2:$G$1513,$A106,'Equipment Index'!$H$2:$H$1513,"?*")&amp;" unit(s): "&amp;IFERROR(INDEX('Equipment Index'!$H$2:$H$1513,SUMPRODUCT(MATCH(1,('Equipment Index'!$G$2:$G$1513=$A106)*('Equipment Index'!$H$2:$H$1513&lt;&gt;""),0))),"")&amp;IF(COUNTIFS('Equipment Index'!$G$2:$G$1513,$A106,'Equipment Index'!$H$2:$H$1513,"?*")&gt;1," + see table below","")))</f>
        <v/>
      </c>
    </row>
    <row r="107" spans="1:14" ht="15" customHeight="1" x14ac:dyDescent="0.25">
      <c r="A107" s="52" t="str">
        <f>IFERROR(INDEX('Equipment Index'!$G$2:$G$1513,MATCH(ROW()-7,'Equipment Index'!$J$2:$J$1513,0)),"")</f>
        <v/>
      </c>
      <c r="B107" s="53" t="str">
        <f>IF($A107="","",SUMIFS('Equipment Index'!$F$2:$F$1513,'Equipment Index'!$G$2:$G$1513,$A107,'Equipment Index'!$A$2:$A$1513,"Barn - Back Rack"))</f>
        <v/>
      </c>
      <c r="C107" s="53" t="str">
        <f>IF($A107="","",SUMIFS('Equipment Index'!$F$2:$F$1513,'Equipment Index'!$G$2:$G$1513,$A107,'Equipment Index'!$A$2:$A$1513,"Barn - Front Rack"))</f>
        <v/>
      </c>
      <c r="D107" s="53" t="str">
        <f>IF($A107="","",SUMIFS('Equipment Index'!$F$2:$F$1513,'Equipment Index'!$G$2:$G$1513,$A107,'Equipment Index'!$A$2:$A$1513,"Front Lobby"))</f>
        <v/>
      </c>
      <c r="E107" s="53" t="str">
        <f>IF($A107="","",SUMIFS('Equipment Index'!$F$2:$F$1513,'Equipment Index'!$G$2:$G$1513,$A107,'Equipment Index'!$A$2:$A$1513,"Service Room"))</f>
        <v/>
      </c>
      <c r="F107" s="53" t="str">
        <f>IF($A107="","",SUMIFS('Equipment Index'!$F$2:$F$1513,'Equipment Index'!$G$2:$G$1513,$A107,'Equipment Index'!$A$2:$A$1513,"Production"))</f>
        <v/>
      </c>
      <c r="G107" s="53" t="str">
        <f>IF($A107="","",SUMIFS('Equipment Index'!$F$2:$F$1513,'Equipment Index'!$G$2:$G$1513,$A107,'Equipment Index'!$A$2:$A$1513,"Training Room"))</f>
        <v/>
      </c>
      <c r="H107" s="54" t="str">
        <f>IF($A107="","",SUMIFS('Equipment Index'!$F$2:$F$1513,'Equipment Index'!$G$2:$G$1513,$A107,'Equipment Index'!$A$2:$A$1513,"Out of State"))</f>
        <v/>
      </c>
      <c r="I107" s="53" t="str">
        <f>IF($A107="","",SUMIFS('Equipment Index'!$F$2:$F$1513,'Equipment Index'!$G$2:$G$1513,$A107,'Equipment Index'!$A$2:$A$1513,"San Antonio"))</f>
        <v/>
      </c>
      <c r="J107" s="53" t="str">
        <f>IF($A107="","",SUMIFS('Equipment Index'!$F$2:$F$1513,'Equipment Index'!$G$2:$G$1513,$A107,'Equipment Index'!$A$2:$A$1513,"Dallas"))</f>
        <v/>
      </c>
      <c r="K107" s="55" t="str">
        <f t="shared" si="3"/>
        <v/>
      </c>
      <c r="L107" s="56" t="str">
        <f>IF($A107="","",SUMIFS('Equipment Index'!$F$2:$F$1513,'Equipment Index'!$G$2:$G$1513,$A107,'Equipment Index'!$C$2:$C$1513,"DISP"))</f>
        <v/>
      </c>
      <c r="M107" s="57" t="str">
        <f>IF($A107="","",SUMIFS('Equipment Index'!$F$2:$F$1513,'Equipment Index'!$G$2:$G$1513,$A107,'Equipment Index'!$C$2:$C$1513,"MOD"))</f>
        <v/>
      </c>
      <c r="N107" s="58" t="str">
        <f>IF($A107="","",IF(COUNTIFS('Equipment Index'!$G$2:$G$1513,$A107,'Equipment Index'!$H$2:$H$1513,"?*")=0,"","Customer-owned — "&amp;COUNTIFS('Equipment Index'!$G$2:$G$1513,$A107,'Equipment Index'!$H$2:$H$1513,"?*")&amp;" unit(s): "&amp;IFERROR(INDEX('Equipment Index'!$H$2:$H$1513,SUMPRODUCT(MATCH(1,('Equipment Index'!$G$2:$G$1513=$A107)*('Equipment Index'!$H$2:$H$1513&lt;&gt;""),0))),"")&amp;IF(COUNTIFS('Equipment Index'!$G$2:$G$1513,$A107,'Equipment Index'!$H$2:$H$1513,"?*")&gt;1," + see table below","")))</f>
        <v/>
      </c>
    </row>
    <row r="108" spans="1:14" ht="15" customHeight="1" x14ac:dyDescent="0.25">
      <c r="A108" s="52" t="str">
        <f>IFERROR(INDEX('Equipment Index'!$G$2:$G$1513,MATCH(ROW()-7,'Equipment Index'!$J$2:$J$1513,0)),"")</f>
        <v/>
      </c>
      <c r="B108" s="53" t="str">
        <f>IF($A108="","",SUMIFS('Equipment Index'!$F$2:$F$1513,'Equipment Index'!$G$2:$G$1513,$A108,'Equipment Index'!$A$2:$A$1513,"Barn - Back Rack"))</f>
        <v/>
      </c>
      <c r="C108" s="53" t="str">
        <f>IF($A108="","",SUMIFS('Equipment Index'!$F$2:$F$1513,'Equipment Index'!$G$2:$G$1513,$A108,'Equipment Index'!$A$2:$A$1513,"Barn - Front Rack"))</f>
        <v/>
      </c>
      <c r="D108" s="53" t="str">
        <f>IF($A108="","",SUMIFS('Equipment Index'!$F$2:$F$1513,'Equipment Index'!$G$2:$G$1513,$A108,'Equipment Index'!$A$2:$A$1513,"Front Lobby"))</f>
        <v/>
      </c>
      <c r="E108" s="53" t="str">
        <f>IF($A108="","",SUMIFS('Equipment Index'!$F$2:$F$1513,'Equipment Index'!$G$2:$G$1513,$A108,'Equipment Index'!$A$2:$A$1513,"Service Room"))</f>
        <v/>
      </c>
      <c r="F108" s="53" t="str">
        <f>IF($A108="","",SUMIFS('Equipment Index'!$F$2:$F$1513,'Equipment Index'!$G$2:$G$1513,$A108,'Equipment Index'!$A$2:$A$1513,"Production"))</f>
        <v/>
      </c>
      <c r="G108" s="53" t="str">
        <f>IF($A108="","",SUMIFS('Equipment Index'!$F$2:$F$1513,'Equipment Index'!$G$2:$G$1513,$A108,'Equipment Index'!$A$2:$A$1513,"Training Room"))</f>
        <v/>
      </c>
      <c r="H108" s="54" t="str">
        <f>IF($A108="","",SUMIFS('Equipment Index'!$F$2:$F$1513,'Equipment Index'!$G$2:$G$1513,$A108,'Equipment Index'!$A$2:$A$1513,"Out of State"))</f>
        <v/>
      </c>
      <c r="I108" s="53" t="str">
        <f>IF($A108="","",SUMIFS('Equipment Index'!$F$2:$F$1513,'Equipment Index'!$G$2:$G$1513,$A108,'Equipment Index'!$A$2:$A$1513,"San Antonio"))</f>
        <v/>
      </c>
      <c r="J108" s="53" t="str">
        <f>IF($A108="","",SUMIFS('Equipment Index'!$F$2:$F$1513,'Equipment Index'!$G$2:$G$1513,$A108,'Equipment Index'!$A$2:$A$1513,"Dallas"))</f>
        <v/>
      </c>
      <c r="K108" s="55" t="str">
        <f t="shared" si="3"/>
        <v/>
      </c>
      <c r="L108" s="56" t="str">
        <f>IF($A108="","",SUMIFS('Equipment Index'!$F$2:$F$1513,'Equipment Index'!$G$2:$G$1513,$A108,'Equipment Index'!$C$2:$C$1513,"DISP"))</f>
        <v/>
      </c>
      <c r="M108" s="57" t="str">
        <f>IF($A108="","",SUMIFS('Equipment Index'!$F$2:$F$1513,'Equipment Index'!$G$2:$G$1513,$A108,'Equipment Index'!$C$2:$C$1513,"MOD"))</f>
        <v/>
      </c>
      <c r="N108" s="58" t="str">
        <f>IF($A108="","",IF(COUNTIFS('Equipment Index'!$G$2:$G$1513,$A108,'Equipment Index'!$H$2:$H$1513,"?*")=0,"","Customer-owned — "&amp;COUNTIFS('Equipment Index'!$G$2:$G$1513,$A108,'Equipment Index'!$H$2:$H$1513,"?*")&amp;" unit(s): "&amp;IFERROR(INDEX('Equipment Index'!$H$2:$H$1513,SUMPRODUCT(MATCH(1,('Equipment Index'!$G$2:$G$1513=$A108)*('Equipment Index'!$H$2:$H$1513&lt;&gt;""),0))),"")&amp;IF(COUNTIFS('Equipment Index'!$G$2:$G$1513,$A108,'Equipment Index'!$H$2:$H$1513,"?*")&gt;1," + see table below","")))</f>
        <v/>
      </c>
    </row>
    <row r="109" spans="1:14" ht="15" customHeight="1" x14ac:dyDescent="0.25">
      <c r="A109" s="52" t="str">
        <f>IFERROR(INDEX('Equipment Index'!$G$2:$G$1513,MATCH(ROW()-7,'Equipment Index'!$J$2:$J$1513,0)),"")</f>
        <v/>
      </c>
      <c r="B109" s="53" t="str">
        <f>IF($A109="","",SUMIFS('Equipment Index'!$F$2:$F$1513,'Equipment Index'!$G$2:$G$1513,$A109,'Equipment Index'!$A$2:$A$1513,"Barn - Back Rack"))</f>
        <v/>
      </c>
      <c r="C109" s="53" t="str">
        <f>IF($A109="","",SUMIFS('Equipment Index'!$F$2:$F$1513,'Equipment Index'!$G$2:$G$1513,$A109,'Equipment Index'!$A$2:$A$1513,"Barn - Front Rack"))</f>
        <v/>
      </c>
      <c r="D109" s="53" t="str">
        <f>IF($A109="","",SUMIFS('Equipment Index'!$F$2:$F$1513,'Equipment Index'!$G$2:$G$1513,$A109,'Equipment Index'!$A$2:$A$1513,"Front Lobby"))</f>
        <v/>
      </c>
      <c r="E109" s="53" t="str">
        <f>IF($A109="","",SUMIFS('Equipment Index'!$F$2:$F$1513,'Equipment Index'!$G$2:$G$1513,$A109,'Equipment Index'!$A$2:$A$1513,"Service Room"))</f>
        <v/>
      </c>
      <c r="F109" s="53" t="str">
        <f>IF($A109="","",SUMIFS('Equipment Index'!$F$2:$F$1513,'Equipment Index'!$G$2:$G$1513,$A109,'Equipment Index'!$A$2:$A$1513,"Production"))</f>
        <v/>
      </c>
      <c r="G109" s="53" t="str">
        <f>IF($A109="","",SUMIFS('Equipment Index'!$F$2:$F$1513,'Equipment Index'!$G$2:$G$1513,$A109,'Equipment Index'!$A$2:$A$1513,"Training Room"))</f>
        <v/>
      </c>
      <c r="H109" s="54" t="str">
        <f>IF($A109="","",SUMIFS('Equipment Index'!$F$2:$F$1513,'Equipment Index'!$G$2:$G$1513,$A109,'Equipment Index'!$A$2:$A$1513,"Out of State"))</f>
        <v/>
      </c>
      <c r="I109" s="53" t="str">
        <f>IF($A109="","",SUMIFS('Equipment Index'!$F$2:$F$1513,'Equipment Index'!$G$2:$G$1513,$A109,'Equipment Index'!$A$2:$A$1513,"San Antonio"))</f>
        <v/>
      </c>
      <c r="J109" s="53" t="str">
        <f>IF($A109="","",SUMIFS('Equipment Index'!$F$2:$F$1513,'Equipment Index'!$G$2:$G$1513,$A109,'Equipment Index'!$A$2:$A$1513,"Dallas"))</f>
        <v/>
      </c>
      <c r="K109" s="55" t="str">
        <f t="shared" si="3"/>
        <v/>
      </c>
      <c r="L109" s="56" t="str">
        <f>IF($A109="","",SUMIFS('Equipment Index'!$F$2:$F$1513,'Equipment Index'!$G$2:$G$1513,$A109,'Equipment Index'!$C$2:$C$1513,"DISP"))</f>
        <v/>
      </c>
      <c r="M109" s="57" t="str">
        <f>IF($A109="","",SUMIFS('Equipment Index'!$F$2:$F$1513,'Equipment Index'!$G$2:$G$1513,$A109,'Equipment Index'!$C$2:$C$1513,"MOD"))</f>
        <v/>
      </c>
      <c r="N109" s="58" t="str">
        <f>IF($A109="","",IF(COUNTIFS('Equipment Index'!$G$2:$G$1513,$A109,'Equipment Index'!$H$2:$H$1513,"?*")=0,"","Customer-owned — "&amp;COUNTIFS('Equipment Index'!$G$2:$G$1513,$A109,'Equipment Index'!$H$2:$H$1513,"?*")&amp;" unit(s): "&amp;IFERROR(INDEX('Equipment Index'!$H$2:$H$1513,SUMPRODUCT(MATCH(1,('Equipment Index'!$G$2:$G$1513=$A109)*('Equipment Index'!$H$2:$H$1513&lt;&gt;""),0))),"")&amp;IF(COUNTIFS('Equipment Index'!$G$2:$G$1513,$A109,'Equipment Index'!$H$2:$H$1513,"?*")&gt;1," + see table below","")))</f>
        <v/>
      </c>
    </row>
    <row r="110" spans="1:14" ht="15" customHeight="1" x14ac:dyDescent="0.25">
      <c r="A110" s="52" t="str">
        <f>IFERROR(INDEX('Equipment Index'!$G$2:$G$1513,MATCH(ROW()-7,'Equipment Index'!$J$2:$J$1513,0)),"")</f>
        <v/>
      </c>
      <c r="B110" s="53" t="str">
        <f>IF($A110="","",SUMIFS('Equipment Index'!$F$2:$F$1513,'Equipment Index'!$G$2:$G$1513,$A110,'Equipment Index'!$A$2:$A$1513,"Barn - Back Rack"))</f>
        <v/>
      </c>
      <c r="C110" s="53" t="str">
        <f>IF($A110="","",SUMIFS('Equipment Index'!$F$2:$F$1513,'Equipment Index'!$G$2:$G$1513,$A110,'Equipment Index'!$A$2:$A$1513,"Barn - Front Rack"))</f>
        <v/>
      </c>
      <c r="D110" s="53" t="str">
        <f>IF($A110="","",SUMIFS('Equipment Index'!$F$2:$F$1513,'Equipment Index'!$G$2:$G$1513,$A110,'Equipment Index'!$A$2:$A$1513,"Front Lobby"))</f>
        <v/>
      </c>
      <c r="E110" s="53" t="str">
        <f>IF($A110="","",SUMIFS('Equipment Index'!$F$2:$F$1513,'Equipment Index'!$G$2:$G$1513,$A110,'Equipment Index'!$A$2:$A$1513,"Service Room"))</f>
        <v/>
      </c>
      <c r="F110" s="53" t="str">
        <f>IF($A110="","",SUMIFS('Equipment Index'!$F$2:$F$1513,'Equipment Index'!$G$2:$G$1513,$A110,'Equipment Index'!$A$2:$A$1513,"Production"))</f>
        <v/>
      </c>
      <c r="G110" s="53" t="str">
        <f>IF($A110="","",SUMIFS('Equipment Index'!$F$2:$F$1513,'Equipment Index'!$G$2:$G$1513,$A110,'Equipment Index'!$A$2:$A$1513,"Training Room"))</f>
        <v/>
      </c>
      <c r="H110" s="54" t="str">
        <f>IF($A110="","",SUMIFS('Equipment Index'!$F$2:$F$1513,'Equipment Index'!$G$2:$G$1513,$A110,'Equipment Index'!$A$2:$A$1513,"Out of State"))</f>
        <v/>
      </c>
      <c r="I110" s="53" t="str">
        <f>IF($A110="","",SUMIFS('Equipment Index'!$F$2:$F$1513,'Equipment Index'!$G$2:$G$1513,$A110,'Equipment Index'!$A$2:$A$1513,"San Antonio"))</f>
        <v/>
      </c>
      <c r="J110" s="53" t="str">
        <f>IF($A110="","",SUMIFS('Equipment Index'!$F$2:$F$1513,'Equipment Index'!$G$2:$G$1513,$A110,'Equipment Index'!$A$2:$A$1513,"Dallas"))</f>
        <v/>
      </c>
      <c r="K110" s="55" t="str">
        <f t="shared" si="3"/>
        <v/>
      </c>
      <c r="L110" s="56" t="str">
        <f>IF($A110="","",SUMIFS('Equipment Index'!$F$2:$F$1513,'Equipment Index'!$G$2:$G$1513,$A110,'Equipment Index'!$C$2:$C$1513,"DISP"))</f>
        <v/>
      </c>
      <c r="M110" s="57" t="str">
        <f>IF($A110="","",SUMIFS('Equipment Index'!$F$2:$F$1513,'Equipment Index'!$G$2:$G$1513,$A110,'Equipment Index'!$C$2:$C$1513,"MOD"))</f>
        <v/>
      </c>
      <c r="N110" s="58" t="str">
        <f>IF($A110="","",IF(COUNTIFS('Equipment Index'!$G$2:$G$1513,$A110,'Equipment Index'!$H$2:$H$1513,"?*")=0,"","Customer-owned — "&amp;COUNTIFS('Equipment Index'!$G$2:$G$1513,$A110,'Equipment Index'!$H$2:$H$1513,"?*")&amp;" unit(s): "&amp;IFERROR(INDEX('Equipment Index'!$H$2:$H$1513,SUMPRODUCT(MATCH(1,('Equipment Index'!$G$2:$G$1513=$A110)*('Equipment Index'!$H$2:$H$1513&lt;&gt;""),0))),"")&amp;IF(COUNTIFS('Equipment Index'!$G$2:$G$1513,$A110,'Equipment Index'!$H$2:$H$1513,"?*")&gt;1," + see table below","")))</f>
        <v/>
      </c>
    </row>
    <row r="111" spans="1:14" ht="15" customHeight="1" x14ac:dyDescent="0.25">
      <c r="A111" s="52" t="str">
        <f>IFERROR(INDEX('Equipment Index'!$G$2:$G$1513,MATCH(ROW()-7,'Equipment Index'!$J$2:$J$1513,0)),"")</f>
        <v/>
      </c>
      <c r="B111" s="53" t="str">
        <f>IF($A111="","",SUMIFS('Equipment Index'!$F$2:$F$1513,'Equipment Index'!$G$2:$G$1513,$A111,'Equipment Index'!$A$2:$A$1513,"Barn - Back Rack"))</f>
        <v/>
      </c>
      <c r="C111" s="53" t="str">
        <f>IF($A111="","",SUMIFS('Equipment Index'!$F$2:$F$1513,'Equipment Index'!$G$2:$G$1513,$A111,'Equipment Index'!$A$2:$A$1513,"Barn - Front Rack"))</f>
        <v/>
      </c>
      <c r="D111" s="53" t="str">
        <f>IF($A111="","",SUMIFS('Equipment Index'!$F$2:$F$1513,'Equipment Index'!$G$2:$G$1513,$A111,'Equipment Index'!$A$2:$A$1513,"Front Lobby"))</f>
        <v/>
      </c>
      <c r="E111" s="53" t="str">
        <f>IF($A111="","",SUMIFS('Equipment Index'!$F$2:$F$1513,'Equipment Index'!$G$2:$G$1513,$A111,'Equipment Index'!$A$2:$A$1513,"Service Room"))</f>
        <v/>
      </c>
      <c r="F111" s="53" t="str">
        <f>IF($A111="","",SUMIFS('Equipment Index'!$F$2:$F$1513,'Equipment Index'!$G$2:$G$1513,$A111,'Equipment Index'!$A$2:$A$1513,"Production"))</f>
        <v/>
      </c>
      <c r="G111" s="53" t="str">
        <f>IF($A111="","",SUMIFS('Equipment Index'!$F$2:$F$1513,'Equipment Index'!$G$2:$G$1513,$A111,'Equipment Index'!$A$2:$A$1513,"Training Room"))</f>
        <v/>
      </c>
      <c r="H111" s="54" t="str">
        <f>IF($A111="","",SUMIFS('Equipment Index'!$F$2:$F$1513,'Equipment Index'!$G$2:$G$1513,$A111,'Equipment Index'!$A$2:$A$1513,"Out of State"))</f>
        <v/>
      </c>
      <c r="I111" s="53" t="str">
        <f>IF($A111="","",SUMIFS('Equipment Index'!$F$2:$F$1513,'Equipment Index'!$G$2:$G$1513,$A111,'Equipment Index'!$A$2:$A$1513,"San Antonio"))</f>
        <v/>
      </c>
      <c r="J111" s="53" t="str">
        <f>IF($A111="","",SUMIFS('Equipment Index'!$F$2:$F$1513,'Equipment Index'!$G$2:$G$1513,$A111,'Equipment Index'!$A$2:$A$1513,"Dallas"))</f>
        <v/>
      </c>
      <c r="K111" s="55" t="str">
        <f t="shared" si="3"/>
        <v/>
      </c>
      <c r="L111" s="56" t="str">
        <f>IF($A111="","",SUMIFS('Equipment Index'!$F$2:$F$1513,'Equipment Index'!$G$2:$G$1513,$A111,'Equipment Index'!$C$2:$C$1513,"DISP"))</f>
        <v/>
      </c>
      <c r="M111" s="57" t="str">
        <f>IF($A111="","",SUMIFS('Equipment Index'!$F$2:$F$1513,'Equipment Index'!$G$2:$G$1513,$A111,'Equipment Index'!$C$2:$C$1513,"MOD"))</f>
        <v/>
      </c>
      <c r="N111" s="58" t="str">
        <f>IF($A111="","",IF(COUNTIFS('Equipment Index'!$G$2:$G$1513,$A111,'Equipment Index'!$H$2:$H$1513,"?*")=0,"","Customer-owned — "&amp;COUNTIFS('Equipment Index'!$G$2:$G$1513,$A111,'Equipment Index'!$H$2:$H$1513,"?*")&amp;" unit(s): "&amp;IFERROR(INDEX('Equipment Index'!$H$2:$H$1513,SUMPRODUCT(MATCH(1,('Equipment Index'!$G$2:$G$1513=$A111)*('Equipment Index'!$H$2:$H$1513&lt;&gt;""),0))),"")&amp;IF(COUNTIFS('Equipment Index'!$G$2:$G$1513,$A111,'Equipment Index'!$H$2:$H$1513,"?*")&gt;1," + see table below","")))</f>
        <v/>
      </c>
    </row>
    <row r="112" spans="1:14" ht="15" customHeight="1" x14ac:dyDescent="0.25">
      <c r="A112" s="52" t="str">
        <f>IFERROR(INDEX('Equipment Index'!$G$2:$G$1513,MATCH(ROW()-7,'Equipment Index'!$J$2:$J$1513,0)),"")</f>
        <v/>
      </c>
      <c r="B112" s="53" t="str">
        <f>IF($A112="","",SUMIFS('Equipment Index'!$F$2:$F$1513,'Equipment Index'!$G$2:$G$1513,$A112,'Equipment Index'!$A$2:$A$1513,"Barn - Back Rack"))</f>
        <v/>
      </c>
      <c r="C112" s="53" t="str">
        <f>IF($A112="","",SUMIFS('Equipment Index'!$F$2:$F$1513,'Equipment Index'!$G$2:$G$1513,$A112,'Equipment Index'!$A$2:$A$1513,"Barn - Front Rack"))</f>
        <v/>
      </c>
      <c r="D112" s="53" t="str">
        <f>IF($A112="","",SUMIFS('Equipment Index'!$F$2:$F$1513,'Equipment Index'!$G$2:$G$1513,$A112,'Equipment Index'!$A$2:$A$1513,"Front Lobby"))</f>
        <v/>
      </c>
      <c r="E112" s="53" t="str">
        <f>IF($A112="","",SUMIFS('Equipment Index'!$F$2:$F$1513,'Equipment Index'!$G$2:$G$1513,$A112,'Equipment Index'!$A$2:$A$1513,"Service Room"))</f>
        <v/>
      </c>
      <c r="F112" s="53" t="str">
        <f>IF($A112="","",SUMIFS('Equipment Index'!$F$2:$F$1513,'Equipment Index'!$G$2:$G$1513,$A112,'Equipment Index'!$A$2:$A$1513,"Production"))</f>
        <v/>
      </c>
      <c r="G112" s="53" t="str">
        <f>IF($A112="","",SUMIFS('Equipment Index'!$F$2:$F$1513,'Equipment Index'!$G$2:$G$1513,$A112,'Equipment Index'!$A$2:$A$1513,"Training Room"))</f>
        <v/>
      </c>
      <c r="H112" s="54" t="str">
        <f>IF($A112="","",SUMIFS('Equipment Index'!$F$2:$F$1513,'Equipment Index'!$G$2:$G$1513,$A112,'Equipment Index'!$A$2:$A$1513,"Out of State"))</f>
        <v/>
      </c>
      <c r="I112" s="53" t="str">
        <f>IF($A112="","",SUMIFS('Equipment Index'!$F$2:$F$1513,'Equipment Index'!$G$2:$G$1513,$A112,'Equipment Index'!$A$2:$A$1513,"San Antonio"))</f>
        <v/>
      </c>
      <c r="J112" s="53" t="str">
        <f>IF($A112="","",SUMIFS('Equipment Index'!$F$2:$F$1513,'Equipment Index'!$G$2:$G$1513,$A112,'Equipment Index'!$A$2:$A$1513,"Dallas"))</f>
        <v/>
      </c>
      <c r="K112" s="55" t="str">
        <f t="shared" si="3"/>
        <v/>
      </c>
      <c r="L112" s="56" t="str">
        <f>IF($A112="","",SUMIFS('Equipment Index'!$F$2:$F$1513,'Equipment Index'!$G$2:$G$1513,$A112,'Equipment Index'!$C$2:$C$1513,"DISP"))</f>
        <v/>
      </c>
      <c r="M112" s="57" t="str">
        <f>IF($A112="","",SUMIFS('Equipment Index'!$F$2:$F$1513,'Equipment Index'!$G$2:$G$1513,$A112,'Equipment Index'!$C$2:$C$1513,"MOD"))</f>
        <v/>
      </c>
      <c r="N112" s="58" t="str">
        <f>IF($A112="","",IF(COUNTIFS('Equipment Index'!$G$2:$G$1513,$A112,'Equipment Index'!$H$2:$H$1513,"?*")=0,"","Customer-owned — "&amp;COUNTIFS('Equipment Index'!$G$2:$G$1513,$A112,'Equipment Index'!$H$2:$H$1513,"?*")&amp;" unit(s): "&amp;IFERROR(INDEX('Equipment Index'!$H$2:$H$1513,SUMPRODUCT(MATCH(1,('Equipment Index'!$G$2:$G$1513=$A112)*('Equipment Index'!$H$2:$H$1513&lt;&gt;""),0))),"")&amp;IF(COUNTIFS('Equipment Index'!$G$2:$G$1513,$A112,'Equipment Index'!$H$2:$H$1513,"?*")&gt;1," + see table below","")))</f>
        <v/>
      </c>
    </row>
    <row r="113" spans="1:14" ht="15" customHeight="1" x14ac:dyDescent="0.25">
      <c r="A113" s="52" t="str">
        <f>IFERROR(INDEX('Equipment Index'!$G$2:$G$1513,MATCH(ROW()-7,'Equipment Index'!$J$2:$J$1513,0)),"")</f>
        <v/>
      </c>
      <c r="B113" s="53" t="str">
        <f>IF($A113="","",SUMIFS('Equipment Index'!$F$2:$F$1513,'Equipment Index'!$G$2:$G$1513,$A113,'Equipment Index'!$A$2:$A$1513,"Barn - Back Rack"))</f>
        <v/>
      </c>
      <c r="C113" s="53" t="str">
        <f>IF($A113="","",SUMIFS('Equipment Index'!$F$2:$F$1513,'Equipment Index'!$G$2:$G$1513,$A113,'Equipment Index'!$A$2:$A$1513,"Barn - Front Rack"))</f>
        <v/>
      </c>
      <c r="D113" s="53" t="str">
        <f>IF($A113="","",SUMIFS('Equipment Index'!$F$2:$F$1513,'Equipment Index'!$G$2:$G$1513,$A113,'Equipment Index'!$A$2:$A$1513,"Front Lobby"))</f>
        <v/>
      </c>
      <c r="E113" s="53" t="str">
        <f>IF($A113="","",SUMIFS('Equipment Index'!$F$2:$F$1513,'Equipment Index'!$G$2:$G$1513,$A113,'Equipment Index'!$A$2:$A$1513,"Service Room"))</f>
        <v/>
      </c>
      <c r="F113" s="53" t="str">
        <f>IF($A113="","",SUMIFS('Equipment Index'!$F$2:$F$1513,'Equipment Index'!$G$2:$G$1513,$A113,'Equipment Index'!$A$2:$A$1513,"Production"))</f>
        <v/>
      </c>
      <c r="G113" s="53" t="str">
        <f>IF($A113="","",SUMIFS('Equipment Index'!$F$2:$F$1513,'Equipment Index'!$G$2:$G$1513,$A113,'Equipment Index'!$A$2:$A$1513,"Training Room"))</f>
        <v/>
      </c>
      <c r="H113" s="54" t="str">
        <f>IF($A113="","",SUMIFS('Equipment Index'!$F$2:$F$1513,'Equipment Index'!$G$2:$G$1513,$A113,'Equipment Index'!$A$2:$A$1513,"Out of State"))</f>
        <v/>
      </c>
      <c r="I113" s="53" t="str">
        <f>IF($A113="","",SUMIFS('Equipment Index'!$F$2:$F$1513,'Equipment Index'!$G$2:$G$1513,$A113,'Equipment Index'!$A$2:$A$1513,"San Antonio"))</f>
        <v/>
      </c>
      <c r="J113" s="53" t="str">
        <f>IF($A113="","",SUMIFS('Equipment Index'!$F$2:$F$1513,'Equipment Index'!$G$2:$G$1513,$A113,'Equipment Index'!$A$2:$A$1513,"Dallas"))</f>
        <v/>
      </c>
      <c r="K113" s="55" t="str">
        <f t="shared" si="3"/>
        <v/>
      </c>
      <c r="L113" s="56" t="str">
        <f>IF($A113="","",SUMIFS('Equipment Index'!$F$2:$F$1513,'Equipment Index'!$G$2:$G$1513,$A113,'Equipment Index'!$C$2:$C$1513,"DISP"))</f>
        <v/>
      </c>
      <c r="M113" s="57" t="str">
        <f>IF($A113="","",SUMIFS('Equipment Index'!$F$2:$F$1513,'Equipment Index'!$G$2:$G$1513,$A113,'Equipment Index'!$C$2:$C$1513,"MOD"))</f>
        <v/>
      </c>
      <c r="N113" s="58" t="str">
        <f>IF($A113="","",IF(COUNTIFS('Equipment Index'!$G$2:$G$1513,$A113,'Equipment Index'!$H$2:$H$1513,"?*")=0,"","Customer-owned — "&amp;COUNTIFS('Equipment Index'!$G$2:$G$1513,$A113,'Equipment Index'!$H$2:$H$1513,"?*")&amp;" unit(s): "&amp;IFERROR(INDEX('Equipment Index'!$H$2:$H$1513,SUMPRODUCT(MATCH(1,('Equipment Index'!$G$2:$G$1513=$A113)*('Equipment Index'!$H$2:$H$1513&lt;&gt;""),0))),"")&amp;IF(COUNTIFS('Equipment Index'!$G$2:$G$1513,$A113,'Equipment Index'!$H$2:$H$1513,"?*")&gt;1," + see table below","")))</f>
        <v/>
      </c>
    </row>
    <row r="114" spans="1:14" ht="15" customHeight="1" x14ac:dyDescent="0.25">
      <c r="A114" s="52" t="str">
        <f>IFERROR(INDEX('Equipment Index'!$G$2:$G$1513,MATCH(ROW()-7,'Equipment Index'!$J$2:$J$1513,0)),"")</f>
        <v/>
      </c>
      <c r="B114" s="53" t="str">
        <f>IF($A114="","",SUMIFS('Equipment Index'!$F$2:$F$1513,'Equipment Index'!$G$2:$G$1513,$A114,'Equipment Index'!$A$2:$A$1513,"Barn - Back Rack"))</f>
        <v/>
      </c>
      <c r="C114" s="53" t="str">
        <f>IF($A114="","",SUMIFS('Equipment Index'!$F$2:$F$1513,'Equipment Index'!$G$2:$G$1513,$A114,'Equipment Index'!$A$2:$A$1513,"Barn - Front Rack"))</f>
        <v/>
      </c>
      <c r="D114" s="53" t="str">
        <f>IF($A114="","",SUMIFS('Equipment Index'!$F$2:$F$1513,'Equipment Index'!$G$2:$G$1513,$A114,'Equipment Index'!$A$2:$A$1513,"Front Lobby"))</f>
        <v/>
      </c>
      <c r="E114" s="53" t="str">
        <f>IF($A114="","",SUMIFS('Equipment Index'!$F$2:$F$1513,'Equipment Index'!$G$2:$G$1513,$A114,'Equipment Index'!$A$2:$A$1513,"Service Room"))</f>
        <v/>
      </c>
      <c r="F114" s="53" t="str">
        <f>IF($A114="","",SUMIFS('Equipment Index'!$F$2:$F$1513,'Equipment Index'!$G$2:$G$1513,$A114,'Equipment Index'!$A$2:$A$1513,"Production"))</f>
        <v/>
      </c>
      <c r="G114" s="53" t="str">
        <f>IF($A114="","",SUMIFS('Equipment Index'!$F$2:$F$1513,'Equipment Index'!$G$2:$G$1513,$A114,'Equipment Index'!$A$2:$A$1513,"Training Room"))</f>
        <v/>
      </c>
      <c r="H114" s="54" t="str">
        <f>IF($A114="","",SUMIFS('Equipment Index'!$F$2:$F$1513,'Equipment Index'!$G$2:$G$1513,$A114,'Equipment Index'!$A$2:$A$1513,"Out of State"))</f>
        <v/>
      </c>
      <c r="I114" s="53" t="str">
        <f>IF($A114="","",SUMIFS('Equipment Index'!$F$2:$F$1513,'Equipment Index'!$G$2:$G$1513,$A114,'Equipment Index'!$A$2:$A$1513,"San Antonio"))</f>
        <v/>
      </c>
      <c r="J114" s="53" t="str">
        <f>IF($A114="","",SUMIFS('Equipment Index'!$F$2:$F$1513,'Equipment Index'!$G$2:$G$1513,$A114,'Equipment Index'!$A$2:$A$1513,"Dallas"))</f>
        <v/>
      </c>
      <c r="K114" s="55" t="str">
        <f t="shared" si="3"/>
        <v/>
      </c>
      <c r="L114" s="56" t="str">
        <f>IF($A114="","",SUMIFS('Equipment Index'!$F$2:$F$1513,'Equipment Index'!$G$2:$G$1513,$A114,'Equipment Index'!$C$2:$C$1513,"DISP"))</f>
        <v/>
      </c>
      <c r="M114" s="57" t="str">
        <f>IF($A114="","",SUMIFS('Equipment Index'!$F$2:$F$1513,'Equipment Index'!$G$2:$G$1513,$A114,'Equipment Index'!$C$2:$C$1513,"MOD"))</f>
        <v/>
      </c>
      <c r="N114" s="58" t="str">
        <f>IF($A114="","",IF(COUNTIFS('Equipment Index'!$G$2:$G$1513,$A114,'Equipment Index'!$H$2:$H$1513,"?*")=0,"","Customer-owned — "&amp;COUNTIFS('Equipment Index'!$G$2:$G$1513,$A114,'Equipment Index'!$H$2:$H$1513,"?*")&amp;" unit(s): "&amp;IFERROR(INDEX('Equipment Index'!$H$2:$H$1513,SUMPRODUCT(MATCH(1,('Equipment Index'!$G$2:$G$1513=$A114)*('Equipment Index'!$H$2:$H$1513&lt;&gt;""),0))),"")&amp;IF(COUNTIFS('Equipment Index'!$G$2:$G$1513,$A114,'Equipment Index'!$H$2:$H$1513,"?*")&gt;1," + see table below","")))</f>
        <v/>
      </c>
    </row>
    <row r="115" spans="1:14" ht="15" customHeight="1" x14ac:dyDescent="0.25">
      <c r="A115" s="52" t="str">
        <f>IFERROR(INDEX('Equipment Index'!$G$2:$G$1513,MATCH(ROW()-7,'Equipment Index'!$J$2:$J$1513,0)),"")</f>
        <v/>
      </c>
      <c r="B115" s="53" t="str">
        <f>IF($A115="","",SUMIFS('Equipment Index'!$F$2:$F$1513,'Equipment Index'!$G$2:$G$1513,$A115,'Equipment Index'!$A$2:$A$1513,"Barn - Back Rack"))</f>
        <v/>
      </c>
      <c r="C115" s="53" t="str">
        <f>IF($A115="","",SUMIFS('Equipment Index'!$F$2:$F$1513,'Equipment Index'!$G$2:$G$1513,$A115,'Equipment Index'!$A$2:$A$1513,"Barn - Front Rack"))</f>
        <v/>
      </c>
      <c r="D115" s="53" t="str">
        <f>IF($A115="","",SUMIFS('Equipment Index'!$F$2:$F$1513,'Equipment Index'!$G$2:$G$1513,$A115,'Equipment Index'!$A$2:$A$1513,"Front Lobby"))</f>
        <v/>
      </c>
      <c r="E115" s="53" t="str">
        <f>IF($A115="","",SUMIFS('Equipment Index'!$F$2:$F$1513,'Equipment Index'!$G$2:$G$1513,$A115,'Equipment Index'!$A$2:$A$1513,"Service Room"))</f>
        <v/>
      </c>
      <c r="F115" s="53" t="str">
        <f>IF($A115="","",SUMIFS('Equipment Index'!$F$2:$F$1513,'Equipment Index'!$G$2:$G$1513,$A115,'Equipment Index'!$A$2:$A$1513,"Production"))</f>
        <v/>
      </c>
      <c r="G115" s="53" t="str">
        <f>IF($A115="","",SUMIFS('Equipment Index'!$F$2:$F$1513,'Equipment Index'!$G$2:$G$1513,$A115,'Equipment Index'!$A$2:$A$1513,"Training Room"))</f>
        <v/>
      </c>
      <c r="H115" s="54" t="str">
        <f>IF($A115="","",SUMIFS('Equipment Index'!$F$2:$F$1513,'Equipment Index'!$G$2:$G$1513,$A115,'Equipment Index'!$A$2:$A$1513,"Out of State"))</f>
        <v/>
      </c>
      <c r="I115" s="53" t="str">
        <f>IF($A115="","",SUMIFS('Equipment Index'!$F$2:$F$1513,'Equipment Index'!$G$2:$G$1513,$A115,'Equipment Index'!$A$2:$A$1513,"San Antonio"))</f>
        <v/>
      </c>
      <c r="J115" s="53" t="str">
        <f>IF($A115="","",SUMIFS('Equipment Index'!$F$2:$F$1513,'Equipment Index'!$G$2:$G$1513,$A115,'Equipment Index'!$A$2:$A$1513,"Dallas"))</f>
        <v/>
      </c>
      <c r="K115" s="55" t="str">
        <f t="shared" si="3"/>
        <v/>
      </c>
      <c r="L115" s="56" t="str">
        <f>IF($A115="","",SUMIFS('Equipment Index'!$F$2:$F$1513,'Equipment Index'!$G$2:$G$1513,$A115,'Equipment Index'!$C$2:$C$1513,"DISP"))</f>
        <v/>
      </c>
      <c r="M115" s="57" t="str">
        <f>IF($A115="","",SUMIFS('Equipment Index'!$F$2:$F$1513,'Equipment Index'!$G$2:$G$1513,$A115,'Equipment Index'!$C$2:$C$1513,"MOD"))</f>
        <v/>
      </c>
      <c r="N115" s="58" t="str">
        <f>IF($A115="","",IF(COUNTIFS('Equipment Index'!$G$2:$G$1513,$A115,'Equipment Index'!$H$2:$H$1513,"?*")=0,"","Customer-owned — "&amp;COUNTIFS('Equipment Index'!$G$2:$G$1513,$A115,'Equipment Index'!$H$2:$H$1513,"?*")&amp;" unit(s): "&amp;IFERROR(INDEX('Equipment Index'!$H$2:$H$1513,SUMPRODUCT(MATCH(1,('Equipment Index'!$G$2:$G$1513=$A115)*('Equipment Index'!$H$2:$H$1513&lt;&gt;""),0))),"")&amp;IF(COUNTIFS('Equipment Index'!$G$2:$G$1513,$A115,'Equipment Index'!$H$2:$H$1513,"?*")&gt;1," + see table below","")))</f>
        <v/>
      </c>
    </row>
    <row r="116" spans="1:14" ht="15" customHeight="1" x14ac:dyDescent="0.25">
      <c r="A116" s="52" t="str">
        <f>IFERROR(INDEX('Equipment Index'!$G$2:$G$1513,MATCH(ROW()-7,'Equipment Index'!$J$2:$J$1513,0)),"")</f>
        <v/>
      </c>
      <c r="B116" s="53" t="str">
        <f>IF($A116="","",SUMIFS('Equipment Index'!$F$2:$F$1513,'Equipment Index'!$G$2:$G$1513,$A116,'Equipment Index'!$A$2:$A$1513,"Barn - Back Rack"))</f>
        <v/>
      </c>
      <c r="C116" s="53" t="str">
        <f>IF($A116="","",SUMIFS('Equipment Index'!$F$2:$F$1513,'Equipment Index'!$G$2:$G$1513,$A116,'Equipment Index'!$A$2:$A$1513,"Barn - Front Rack"))</f>
        <v/>
      </c>
      <c r="D116" s="53" t="str">
        <f>IF($A116="","",SUMIFS('Equipment Index'!$F$2:$F$1513,'Equipment Index'!$G$2:$G$1513,$A116,'Equipment Index'!$A$2:$A$1513,"Front Lobby"))</f>
        <v/>
      </c>
      <c r="E116" s="53" t="str">
        <f>IF($A116="","",SUMIFS('Equipment Index'!$F$2:$F$1513,'Equipment Index'!$G$2:$G$1513,$A116,'Equipment Index'!$A$2:$A$1513,"Service Room"))</f>
        <v/>
      </c>
      <c r="F116" s="53" t="str">
        <f>IF($A116="","",SUMIFS('Equipment Index'!$F$2:$F$1513,'Equipment Index'!$G$2:$G$1513,$A116,'Equipment Index'!$A$2:$A$1513,"Production"))</f>
        <v/>
      </c>
      <c r="G116" s="53" t="str">
        <f>IF($A116="","",SUMIFS('Equipment Index'!$F$2:$F$1513,'Equipment Index'!$G$2:$G$1513,$A116,'Equipment Index'!$A$2:$A$1513,"Training Room"))</f>
        <v/>
      </c>
      <c r="H116" s="54" t="str">
        <f>IF($A116="","",SUMIFS('Equipment Index'!$F$2:$F$1513,'Equipment Index'!$G$2:$G$1513,$A116,'Equipment Index'!$A$2:$A$1513,"Out of State"))</f>
        <v/>
      </c>
      <c r="I116" s="53" t="str">
        <f>IF($A116="","",SUMIFS('Equipment Index'!$F$2:$F$1513,'Equipment Index'!$G$2:$G$1513,$A116,'Equipment Index'!$A$2:$A$1513,"San Antonio"))</f>
        <v/>
      </c>
      <c r="J116" s="53" t="str">
        <f>IF($A116="","",SUMIFS('Equipment Index'!$F$2:$F$1513,'Equipment Index'!$G$2:$G$1513,$A116,'Equipment Index'!$A$2:$A$1513,"Dallas"))</f>
        <v/>
      </c>
      <c r="K116" s="55" t="str">
        <f t="shared" si="3"/>
        <v/>
      </c>
      <c r="L116" s="56" t="str">
        <f>IF($A116="","",SUMIFS('Equipment Index'!$F$2:$F$1513,'Equipment Index'!$G$2:$G$1513,$A116,'Equipment Index'!$C$2:$C$1513,"DISP"))</f>
        <v/>
      </c>
      <c r="M116" s="57" t="str">
        <f>IF($A116="","",SUMIFS('Equipment Index'!$F$2:$F$1513,'Equipment Index'!$G$2:$G$1513,$A116,'Equipment Index'!$C$2:$C$1513,"MOD"))</f>
        <v/>
      </c>
      <c r="N116" s="58" t="str">
        <f>IF($A116="","",IF(COUNTIFS('Equipment Index'!$G$2:$G$1513,$A116,'Equipment Index'!$H$2:$H$1513,"?*")=0,"","Customer-owned — "&amp;COUNTIFS('Equipment Index'!$G$2:$G$1513,$A116,'Equipment Index'!$H$2:$H$1513,"?*")&amp;" unit(s): "&amp;IFERROR(INDEX('Equipment Index'!$H$2:$H$1513,SUMPRODUCT(MATCH(1,('Equipment Index'!$G$2:$G$1513=$A116)*('Equipment Index'!$H$2:$H$1513&lt;&gt;""),0))),"")&amp;IF(COUNTIFS('Equipment Index'!$G$2:$G$1513,$A116,'Equipment Index'!$H$2:$H$1513,"?*")&gt;1," + see table below","")))</f>
        <v/>
      </c>
    </row>
    <row r="117" spans="1:14" ht="15" customHeight="1" x14ac:dyDescent="0.25">
      <c r="A117" s="52" t="str">
        <f>IFERROR(INDEX('Equipment Index'!$G$2:$G$1513,MATCH(ROW()-7,'Equipment Index'!$J$2:$J$1513,0)),"")</f>
        <v/>
      </c>
      <c r="B117" s="53" t="str">
        <f>IF($A117="","",SUMIFS('Equipment Index'!$F$2:$F$1513,'Equipment Index'!$G$2:$G$1513,$A117,'Equipment Index'!$A$2:$A$1513,"Barn - Back Rack"))</f>
        <v/>
      </c>
      <c r="C117" s="53" t="str">
        <f>IF($A117="","",SUMIFS('Equipment Index'!$F$2:$F$1513,'Equipment Index'!$G$2:$G$1513,$A117,'Equipment Index'!$A$2:$A$1513,"Barn - Front Rack"))</f>
        <v/>
      </c>
      <c r="D117" s="53" t="str">
        <f>IF($A117="","",SUMIFS('Equipment Index'!$F$2:$F$1513,'Equipment Index'!$G$2:$G$1513,$A117,'Equipment Index'!$A$2:$A$1513,"Front Lobby"))</f>
        <v/>
      </c>
      <c r="E117" s="53" t="str">
        <f>IF($A117="","",SUMIFS('Equipment Index'!$F$2:$F$1513,'Equipment Index'!$G$2:$G$1513,$A117,'Equipment Index'!$A$2:$A$1513,"Service Room"))</f>
        <v/>
      </c>
      <c r="F117" s="53" t="str">
        <f>IF($A117="","",SUMIFS('Equipment Index'!$F$2:$F$1513,'Equipment Index'!$G$2:$G$1513,$A117,'Equipment Index'!$A$2:$A$1513,"Production"))</f>
        <v/>
      </c>
      <c r="G117" s="53" t="str">
        <f>IF($A117="","",SUMIFS('Equipment Index'!$F$2:$F$1513,'Equipment Index'!$G$2:$G$1513,$A117,'Equipment Index'!$A$2:$A$1513,"Training Room"))</f>
        <v/>
      </c>
      <c r="H117" s="54" t="str">
        <f>IF($A117="","",SUMIFS('Equipment Index'!$F$2:$F$1513,'Equipment Index'!$G$2:$G$1513,$A117,'Equipment Index'!$A$2:$A$1513,"Out of State"))</f>
        <v/>
      </c>
      <c r="I117" s="53" t="str">
        <f>IF($A117="","",SUMIFS('Equipment Index'!$F$2:$F$1513,'Equipment Index'!$G$2:$G$1513,$A117,'Equipment Index'!$A$2:$A$1513,"San Antonio"))</f>
        <v/>
      </c>
      <c r="J117" s="53" t="str">
        <f>IF($A117="","",SUMIFS('Equipment Index'!$F$2:$F$1513,'Equipment Index'!$G$2:$G$1513,$A117,'Equipment Index'!$A$2:$A$1513,"Dallas"))</f>
        <v/>
      </c>
      <c r="K117" s="55" t="str">
        <f t="shared" si="3"/>
        <v/>
      </c>
      <c r="L117" s="56" t="str">
        <f>IF($A117="","",SUMIFS('Equipment Index'!$F$2:$F$1513,'Equipment Index'!$G$2:$G$1513,$A117,'Equipment Index'!$C$2:$C$1513,"DISP"))</f>
        <v/>
      </c>
      <c r="M117" s="57" t="str">
        <f>IF($A117="","",SUMIFS('Equipment Index'!$F$2:$F$1513,'Equipment Index'!$G$2:$G$1513,$A117,'Equipment Index'!$C$2:$C$1513,"MOD"))</f>
        <v/>
      </c>
      <c r="N117" s="58" t="str">
        <f>IF($A117="","",IF(COUNTIFS('Equipment Index'!$G$2:$G$1513,$A117,'Equipment Index'!$H$2:$H$1513,"?*")=0,"","Customer-owned — "&amp;COUNTIFS('Equipment Index'!$G$2:$G$1513,$A117,'Equipment Index'!$H$2:$H$1513,"?*")&amp;" unit(s): "&amp;IFERROR(INDEX('Equipment Index'!$H$2:$H$1513,SUMPRODUCT(MATCH(1,('Equipment Index'!$G$2:$G$1513=$A117)*('Equipment Index'!$H$2:$H$1513&lt;&gt;""),0))),"")&amp;IF(COUNTIFS('Equipment Index'!$G$2:$G$1513,$A117,'Equipment Index'!$H$2:$H$1513,"?*")&gt;1," + see table below","")))</f>
        <v/>
      </c>
    </row>
    <row r="118" spans="1:14" ht="15" customHeight="1" x14ac:dyDescent="0.25">
      <c r="A118" s="52" t="str">
        <f>IFERROR(INDEX('Equipment Index'!$G$2:$G$1513,MATCH(ROW()-7,'Equipment Index'!$J$2:$J$1513,0)),"")</f>
        <v/>
      </c>
      <c r="B118" s="53" t="str">
        <f>IF($A118="","",SUMIFS('Equipment Index'!$F$2:$F$1513,'Equipment Index'!$G$2:$G$1513,$A118,'Equipment Index'!$A$2:$A$1513,"Barn - Back Rack"))</f>
        <v/>
      </c>
      <c r="C118" s="53" t="str">
        <f>IF($A118="","",SUMIFS('Equipment Index'!$F$2:$F$1513,'Equipment Index'!$G$2:$G$1513,$A118,'Equipment Index'!$A$2:$A$1513,"Barn - Front Rack"))</f>
        <v/>
      </c>
      <c r="D118" s="53" t="str">
        <f>IF($A118="","",SUMIFS('Equipment Index'!$F$2:$F$1513,'Equipment Index'!$G$2:$G$1513,$A118,'Equipment Index'!$A$2:$A$1513,"Front Lobby"))</f>
        <v/>
      </c>
      <c r="E118" s="53" t="str">
        <f>IF($A118="","",SUMIFS('Equipment Index'!$F$2:$F$1513,'Equipment Index'!$G$2:$G$1513,$A118,'Equipment Index'!$A$2:$A$1513,"Service Room"))</f>
        <v/>
      </c>
      <c r="F118" s="53" t="str">
        <f>IF($A118="","",SUMIFS('Equipment Index'!$F$2:$F$1513,'Equipment Index'!$G$2:$G$1513,$A118,'Equipment Index'!$A$2:$A$1513,"Production"))</f>
        <v/>
      </c>
      <c r="G118" s="53" t="str">
        <f>IF($A118="","",SUMIFS('Equipment Index'!$F$2:$F$1513,'Equipment Index'!$G$2:$G$1513,$A118,'Equipment Index'!$A$2:$A$1513,"Training Room"))</f>
        <v/>
      </c>
      <c r="H118" s="54" t="str">
        <f>IF($A118="","",SUMIFS('Equipment Index'!$F$2:$F$1513,'Equipment Index'!$G$2:$G$1513,$A118,'Equipment Index'!$A$2:$A$1513,"Out of State"))</f>
        <v/>
      </c>
      <c r="I118" s="53" t="str">
        <f>IF($A118="","",SUMIFS('Equipment Index'!$F$2:$F$1513,'Equipment Index'!$G$2:$G$1513,$A118,'Equipment Index'!$A$2:$A$1513,"San Antonio"))</f>
        <v/>
      </c>
      <c r="J118" s="53" t="str">
        <f>IF($A118="","",SUMIFS('Equipment Index'!$F$2:$F$1513,'Equipment Index'!$G$2:$G$1513,$A118,'Equipment Index'!$A$2:$A$1513,"Dallas"))</f>
        <v/>
      </c>
      <c r="K118" s="55" t="str">
        <f t="shared" si="3"/>
        <v/>
      </c>
      <c r="L118" s="56" t="str">
        <f>IF($A118="","",SUMIFS('Equipment Index'!$F$2:$F$1513,'Equipment Index'!$G$2:$G$1513,$A118,'Equipment Index'!$C$2:$C$1513,"DISP"))</f>
        <v/>
      </c>
      <c r="M118" s="57" t="str">
        <f>IF($A118="","",SUMIFS('Equipment Index'!$F$2:$F$1513,'Equipment Index'!$G$2:$G$1513,$A118,'Equipment Index'!$C$2:$C$1513,"MOD"))</f>
        <v/>
      </c>
      <c r="N118" s="58" t="str">
        <f>IF($A118="","",IF(COUNTIFS('Equipment Index'!$G$2:$G$1513,$A118,'Equipment Index'!$H$2:$H$1513,"?*")=0,"","Customer-owned — "&amp;COUNTIFS('Equipment Index'!$G$2:$G$1513,$A118,'Equipment Index'!$H$2:$H$1513,"?*")&amp;" unit(s): "&amp;IFERROR(INDEX('Equipment Index'!$H$2:$H$1513,SUMPRODUCT(MATCH(1,('Equipment Index'!$G$2:$G$1513=$A118)*('Equipment Index'!$H$2:$H$1513&lt;&gt;""),0))),"")&amp;IF(COUNTIFS('Equipment Index'!$G$2:$G$1513,$A118,'Equipment Index'!$H$2:$H$1513,"?*")&gt;1," + see table below","")))</f>
        <v/>
      </c>
    </row>
    <row r="119" spans="1:14" ht="15" customHeight="1" x14ac:dyDescent="0.25">
      <c r="A119" s="52" t="str">
        <f>IFERROR(INDEX('Equipment Index'!$G$2:$G$1513,MATCH(ROW()-7,'Equipment Index'!$J$2:$J$1513,0)),"")</f>
        <v/>
      </c>
      <c r="B119" s="53" t="str">
        <f>IF($A119="","",SUMIFS('Equipment Index'!$F$2:$F$1513,'Equipment Index'!$G$2:$G$1513,$A119,'Equipment Index'!$A$2:$A$1513,"Barn - Back Rack"))</f>
        <v/>
      </c>
      <c r="C119" s="53" t="str">
        <f>IF($A119="","",SUMIFS('Equipment Index'!$F$2:$F$1513,'Equipment Index'!$G$2:$G$1513,$A119,'Equipment Index'!$A$2:$A$1513,"Barn - Front Rack"))</f>
        <v/>
      </c>
      <c r="D119" s="53" t="str">
        <f>IF($A119="","",SUMIFS('Equipment Index'!$F$2:$F$1513,'Equipment Index'!$G$2:$G$1513,$A119,'Equipment Index'!$A$2:$A$1513,"Front Lobby"))</f>
        <v/>
      </c>
      <c r="E119" s="53" t="str">
        <f>IF($A119="","",SUMIFS('Equipment Index'!$F$2:$F$1513,'Equipment Index'!$G$2:$G$1513,$A119,'Equipment Index'!$A$2:$A$1513,"Service Room"))</f>
        <v/>
      </c>
      <c r="F119" s="53" t="str">
        <f>IF($A119="","",SUMIFS('Equipment Index'!$F$2:$F$1513,'Equipment Index'!$G$2:$G$1513,$A119,'Equipment Index'!$A$2:$A$1513,"Production"))</f>
        <v/>
      </c>
      <c r="G119" s="53" t="str">
        <f>IF($A119="","",SUMIFS('Equipment Index'!$F$2:$F$1513,'Equipment Index'!$G$2:$G$1513,$A119,'Equipment Index'!$A$2:$A$1513,"Training Room"))</f>
        <v/>
      </c>
      <c r="H119" s="54" t="str">
        <f>IF($A119="","",SUMIFS('Equipment Index'!$F$2:$F$1513,'Equipment Index'!$G$2:$G$1513,$A119,'Equipment Index'!$A$2:$A$1513,"Out of State"))</f>
        <v/>
      </c>
      <c r="I119" s="53" t="str">
        <f>IF($A119="","",SUMIFS('Equipment Index'!$F$2:$F$1513,'Equipment Index'!$G$2:$G$1513,$A119,'Equipment Index'!$A$2:$A$1513,"San Antonio"))</f>
        <v/>
      </c>
      <c r="J119" s="53" t="str">
        <f>IF($A119="","",SUMIFS('Equipment Index'!$F$2:$F$1513,'Equipment Index'!$G$2:$G$1513,$A119,'Equipment Index'!$A$2:$A$1513,"Dallas"))</f>
        <v/>
      </c>
      <c r="K119" s="55" t="str">
        <f t="shared" si="3"/>
        <v/>
      </c>
      <c r="L119" s="56" t="str">
        <f>IF($A119="","",SUMIFS('Equipment Index'!$F$2:$F$1513,'Equipment Index'!$G$2:$G$1513,$A119,'Equipment Index'!$C$2:$C$1513,"DISP"))</f>
        <v/>
      </c>
      <c r="M119" s="57" t="str">
        <f>IF($A119="","",SUMIFS('Equipment Index'!$F$2:$F$1513,'Equipment Index'!$G$2:$G$1513,$A119,'Equipment Index'!$C$2:$C$1513,"MOD"))</f>
        <v/>
      </c>
      <c r="N119" s="58" t="str">
        <f>IF($A119="","",IF(COUNTIFS('Equipment Index'!$G$2:$G$1513,$A119,'Equipment Index'!$H$2:$H$1513,"?*")=0,"","Customer-owned — "&amp;COUNTIFS('Equipment Index'!$G$2:$G$1513,$A119,'Equipment Index'!$H$2:$H$1513,"?*")&amp;" unit(s): "&amp;IFERROR(INDEX('Equipment Index'!$H$2:$H$1513,SUMPRODUCT(MATCH(1,('Equipment Index'!$G$2:$G$1513=$A119)*('Equipment Index'!$H$2:$H$1513&lt;&gt;""),0))),"")&amp;IF(COUNTIFS('Equipment Index'!$G$2:$G$1513,$A119,'Equipment Index'!$H$2:$H$1513,"?*")&gt;1," + see table below","")))</f>
        <v/>
      </c>
    </row>
    <row r="120" spans="1:14" ht="15" customHeight="1" x14ac:dyDescent="0.25">
      <c r="A120" s="52" t="str">
        <f>IFERROR(INDEX('Equipment Index'!$G$2:$G$1513,MATCH(ROW()-7,'Equipment Index'!$J$2:$J$1513,0)),"")</f>
        <v/>
      </c>
      <c r="B120" s="53" t="str">
        <f>IF($A120="","",SUMIFS('Equipment Index'!$F$2:$F$1513,'Equipment Index'!$G$2:$G$1513,$A120,'Equipment Index'!$A$2:$A$1513,"Barn - Back Rack"))</f>
        <v/>
      </c>
      <c r="C120" s="53" t="str">
        <f>IF($A120="","",SUMIFS('Equipment Index'!$F$2:$F$1513,'Equipment Index'!$G$2:$G$1513,$A120,'Equipment Index'!$A$2:$A$1513,"Barn - Front Rack"))</f>
        <v/>
      </c>
      <c r="D120" s="53" t="str">
        <f>IF($A120="","",SUMIFS('Equipment Index'!$F$2:$F$1513,'Equipment Index'!$G$2:$G$1513,$A120,'Equipment Index'!$A$2:$A$1513,"Front Lobby"))</f>
        <v/>
      </c>
      <c r="E120" s="53" t="str">
        <f>IF($A120="","",SUMIFS('Equipment Index'!$F$2:$F$1513,'Equipment Index'!$G$2:$G$1513,$A120,'Equipment Index'!$A$2:$A$1513,"Service Room"))</f>
        <v/>
      </c>
      <c r="F120" s="53" t="str">
        <f>IF($A120="","",SUMIFS('Equipment Index'!$F$2:$F$1513,'Equipment Index'!$G$2:$G$1513,$A120,'Equipment Index'!$A$2:$A$1513,"Production"))</f>
        <v/>
      </c>
      <c r="G120" s="53" t="str">
        <f>IF($A120="","",SUMIFS('Equipment Index'!$F$2:$F$1513,'Equipment Index'!$G$2:$G$1513,$A120,'Equipment Index'!$A$2:$A$1513,"Training Room"))</f>
        <v/>
      </c>
      <c r="H120" s="54" t="str">
        <f>IF($A120="","",SUMIFS('Equipment Index'!$F$2:$F$1513,'Equipment Index'!$G$2:$G$1513,$A120,'Equipment Index'!$A$2:$A$1513,"Out of State"))</f>
        <v/>
      </c>
      <c r="I120" s="53" t="str">
        <f>IF($A120="","",SUMIFS('Equipment Index'!$F$2:$F$1513,'Equipment Index'!$G$2:$G$1513,$A120,'Equipment Index'!$A$2:$A$1513,"San Antonio"))</f>
        <v/>
      </c>
      <c r="J120" s="53" t="str">
        <f>IF($A120="","",SUMIFS('Equipment Index'!$F$2:$F$1513,'Equipment Index'!$G$2:$G$1513,$A120,'Equipment Index'!$A$2:$A$1513,"Dallas"))</f>
        <v/>
      </c>
      <c r="K120" s="55" t="str">
        <f t="shared" si="3"/>
        <v/>
      </c>
      <c r="L120" s="56" t="str">
        <f>IF($A120="","",SUMIFS('Equipment Index'!$F$2:$F$1513,'Equipment Index'!$G$2:$G$1513,$A120,'Equipment Index'!$C$2:$C$1513,"DISP"))</f>
        <v/>
      </c>
      <c r="M120" s="57" t="str">
        <f>IF($A120="","",SUMIFS('Equipment Index'!$F$2:$F$1513,'Equipment Index'!$G$2:$G$1513,$A120,'Equipment Index'!$C$2:$C$1513,"MOD"))</f>
        <v/>
      </c>
      <c r="N120" s="58" t="str">
        <f>IF($A120="","",IF(COUNTIFS('Equipment Index'!$G$2:$G$1513,$A120,'Equipment Index'!$H$2:$H$1513,"?*")=0,"","Customer-owned — "&amp;COUNTIFS('Equipment Index'!$G$2:$G$1513,$A120,'Equipment Index'!$H$2:$H$1513,"?*")&amp;" unit(s): "&amp;IFERROR(INDEX('Equipment Index'!$H$2:$H$1513,SUMPRODUCT(MATCH(1,('Equipment Index'!$G$2:$G$1513=$A120)*('Equipment Index'!$H$2:$H$1513&lt;&gt;""),0))),"")&amp;IF(COUNTIFS('Equipment Index'!$G$2:$G$1513,$A120,'Equipment Index'!$H$2:$H$1513,"?*")&gt;1," + see table below","")))</f>
        <v/>
      </c>
    </row>
    <row r="121" spans="1:14" ht="15" customHeight="1" x14ac:dyDescent="0.25">
      <c r="A121" s="52" t="str">
        <f>IFERROR(INDEX('Equipment Index'!$G$2:$G$1513,MATCH(ROW()-7,'Equipment Index'!$J$2:$J$1513,0)),"")</f>
        <v/>
      </c>
      <c r="B121" s="53" t="str">
        <f>IF($A121="","",SUMIFS('Equipment Index'!$F$2:$F$1513,'Equipment Index'!$G$2:$G$1513,$A121,'Equipment Index'!$A$2:$A$1513,"Barn - Back Rack"))</f>
        <v/>
      </c>
      <c r="C121" s="53" t="str">
        <f>IF($A121="","",SUMIFS('Equipment Index'!$F$2:$F$1513,'Equipment Index'!$G$2:$G$1513,$A121,'Equipment Index'!$A$2:$A$1513,"Barn - Front Rack"))</f>
        <v/>
      </c>
      <c r="D121" s="53" t="str">
        <f>IF($A121="","",SUMIFS('Equipment Index'!$F$2:$F$1513,'Equipment Index'!$G$2:$G$1513,$A121,'Equipment Index'!$A$2:$A$1513,"Front Lobby"))</f>
        <v/>
      </c>
      <c r="E121" s="53" t="str">
        <f>IF($A121="","",SUMIFS('Equipment Index'!$F$2:$F$1513,'Equipment Index'!$G$2:$G$1513,$A121,'Equipment Index'!$A$2:$A$1513,"Service Room"))</f>
        <v/>
      </c>
      <c r="F121" s="53" t="str">
        <f>IF($A121="","",SUMIFS('Equipment Index'!$F$2:$F$1513,'Equipment Index'!$G$2:$G$1513,$A121,'Equipment Index'!$A$2:$A$1513,"Production"))</f>
        <v/>
      </c>
      <c r="G121" s="53" t="str">
        <f>IF($A121="","",SUMIFS('Equipment Index'!$F$2:$F$1513,'Equipment Index'!$G$2:$G$1513,$A121,'Equipment Index'!$A$2:$A$1513,"Training Room"))</f>
        <v/>
      </c>
      <c r="H121" s="54" t="str">
        <f>IF($A121="","",SUMIFS('Equipment Index'!$F$2:$F$1513,'Equipment Index'!$G$2:$G$1513,$A121,'Equipment Index'!$A$2:$A$1513,"Out of State"))</f>
        <v/>
      </c>
      <c r="I121" s="53" t="str">
        <f>IF($A121="","",SUMIFS('Equipment Index'!$F$2:$F$1513,'Equipment Index'!$G$2:$G$1513,$A121,'Equipment Index'!$A$2:$A$1513,"San Antonio"))</f>
        <v/>
      </c>
      <c r="J121" s="53" t="str">
        <f>IF($A121="","",SUMIFS('Equipment Index'!$F$2:$F$1513,'Equipment Index'!$G$2:$G$1513,$A121,'Equipment Index'!$A$2:$A$1513,"Dallas"))</f>
        <v/>
      </c>
      <c r="K121" s="55" t="str">
        <f t="shared" si="3"/>
        <v/>
      </c>
      <c r="L121" s="56" t="str">
        <f>IF($A121="","",SUMIFS('Equipment Index'!$F$2:$F$1513,'Equipment Index'!$G$2:$G$1513,$A121,'Equipment Index'!$C$2:$C$1513,"DISP"))</f>
        <v/>
      </c>
      <c r="M121" s="57" t="str">
        <f>IF($A121="","",SUMIFS('Equipment Index'!$F$2:$F$1513,'Equipment Index'!$G$2:$G$1513,$A121,'Equipment Index'!$C$2:$C$1513,"MOD"))</f>
        <v/>
      </c>
      <c r="N121" s="58" t="str">
        <f>IF($A121="","",IF(COUNTIFS('Equipment Index'!$G$2:$G$1513,$A121,'Equipment Index'!$H$2:$H$1513,"?*")=0,"","Customer-owned — "&amp;COUNTIFS('Equipment Index'!$G$2:$G$1513,$A121,'Equipment Index'!$H$2:$H$1513,"?*")&amp;" unit(s): "&amp;IFERROR(INDEX('Equipment Index'!$H$2:$H$1513,SUMPRODUCT(MATCH(1,('Equipment Index'!$G$2:$G$1513=$A121)*('Equipment Index'!$H$2:$H$1513&lt;&gt;""),0))),"")&amp;IF(COUNTIFS('Equipment Index'!$G$2:$G$1513,$A121,'Equipment Index'!$H$2:$H$1513,"?*")&gt;1," + see table below","")))</f>
        <v/>
      </c>
    </row>
    <row r="122" spans="1:14" ht="15" customHeight="1" x14ac:dyDescent="0.25">
      <c r="A122" s="52" t="str">
        <f>IFERROR(INDEX('Equipment Index'!$G$2:$G$1513,MATCH(ROW()-7,'Equipment Index'!$J$2:$J$1513,0)),"")</f>
        <v/>
      </c>
      <c r="B122" s="53" t="str">
        <f>IF($A122="","",SUMIFS('Equipment Index'!$F$2:$F$1513,'Equipment Index'!$G$2:$G$1513,$A122,'Equipment Index'!$A$2:$A$1513,"Barn - Back Rack"))</f>
        <v/>
      </c>
      <c r="C122" s="53" t="str">
        <f>IF($A122="","",SUMIFS('Equipment Index'!$F$2:$F$1513,'Equipment Index'!$G$2:$G$1513,$A122,'Equipment Index'!$A$2:$A$1513,"Barn - Front Rack"))</f>
        <v/>
      </c>
      <c r="D122" s="53" t="str">
        <f>IF($A122="","",SUMIFS('Equipment Index'!$F$2:$F$1513,'Equipment Index'!$G$2:$G$1513,$A122,'Equipment Index'!$A$2:$A$1513,"Front Lobby"))</f>
        <v/>
      </c>
      <c r="E122" s="53" t="str">
        <f>IF($A122="","",SUMIFS('Equipment Index'!$F$2:$F$1513,'Equipment Index'!$G$2:$G$1513,$A122,'Equipment Index'!$A$2:$A$1513,"Service Room"))</f>
        <v/>
      </c>
      <c r="F122" s="53" t="str">
        <f>IF($A122="","",SUMIFS('Equipment Index'!$F$2:$F$1513,'Equipment Index'!$G$2:$G$1513,$A122,'Equipment Index'!$A$2:$A$1513,"Production"))</f>
        <v/>
      </c>
      <c r="G122" s="53" t="str">
        <f>IF($A122="","",SUMIFS('Equipment Index'!$F$2:$F$1513,'Equipment Index'!$G$2:$G$1513,$A122,'Equipment Index'!$A$2:$A$1513,"Training Room"))</f>
        <v/>
      </c>
      <c r="H122" s="54" t="str">
        <f>IF($A122="","",SUMIFS('Equipment Index'!$F$2:$F$1513,'Equipment Index'!$G$2:$G$1513,$A122,'Equipment Index'!$A$2:$A$1513,"Out of State"))</f>
        <v/>
      </c>
      <c r="I122" s="53" t="str">
        <f>IF($A122="","",SUMIFS('Equipment Index'!$F$2:$F$1513,'Equipment Index'!$G$2:$G$1513,$A122,'Equipment Index'!$A$2:$A$1513,"San Antonio"))</f>
        <v/>
      </c>
      <c r="J122" s="53" t="str">
        <f>IF($A122="","",SUMIFS('Equipment Index'!$F$2:$F$1513,'Equipment Index'!$G$2:$G$1513,$A122,'Equipment Index'!$A$2:$A$1513,"Dallas"))</f>
        <v/>
      </c>
      <c r="K122" s="55" t="str">
        <f t="shared" si="3"/>
        <v/>
      </c>
      <c r="L122" s="56" t="str">
        <f>IF($A122="","",SUMIFS('Equipment Index'!$F$2:$F$1513,'Equipment Index'!$G$2:$G$1513,$A122,'Equipment Index'!$C$2:$C$1513,"DISP"))</f>
        <v/>
      </c>
      <c r="M122" s="57" t="str">
        <f>IF($A122="","",SUMIFS('Equipment Index'!$F$2:$F$1513,'Equipment Index'!$G$2:$G$1513,$A122,'Equipment Index'!$C$2:$C$1513,"MOD"))</f>
        <v/>
      </c>
      <c r="N122" s="58" t="str">
        <f>IF($A122="","",IF(COUNTIFS('Equipment Index'!$G$2:$G$1513,$A122,'Equipment Index'!$H$2:$H$1513,"?*")=0,"","Customer-owned — "&amp;COUNTIFS('Equipment Index'!$G$2:$G$1513,$A122,'Equipment Index'!$H$2:$H$1513,"?*")&amp;" unit(s): "&amp;IFERROR(INDEX('Equipment Index'!$H$2:$H$1513,SUMPRODUCT(MATCH(1,('Equipment Index'!$G$2:$G$1513=$A122)*('Equipment Index'!$H$2:$H$1513&lt;&gt;""),0))),"")&amp;IF(COUNTIFS('Equipment Index'!$G$2:$G$1513,$A122,'Equipment Index'!$H$2:$H$1513,"?*")&gt;1," + see table below","")))</f>
        <v/>
      </c>
    </row>
    <row r="123" spans="1:14" ht="15" customHeight="1" x14ac:dyDescent="0.25">
      <c r="A123" s="52" t="str">
        <f>IFERROR(INDEX('Equipment Index'!$G$2:$G$1513,MATCH(ROW()-7,'Equipment Index'!$J$2:$J$1513,0)),"")</f>
        <v/>
      </c>
      <c r="B123" s="53" t="str">
        <f>IF($A123="","",SUMIFS('Equipment Index'!$F$2:$F$1513,'Equipment Index'!$G$2:$G$1513,$A123,'Equipment Index'!$A$2:$A$1513,"Barn - Back Rack"))</f>
        <v/>
      </c>
      <c r="C123" s="53" t="str">
        <f>IF($A123="","",SUMIFS('Equipment Index'!$F$2:$F$1513,'Equipment Index'!$G$2:$G$1513,$A123,'Equipment Index'!$A$2:$A$1513,"Barn - Front Rack"))</f>
        <v/>
      </c>
      <c r="D123" s="53" t="str">
        <f>IF($A123="","",SUMIFS('Equipment Index'!$F$2:$F$1513,'Equipment Index'!$G$2:$G$1513,$A123,'Equipment Index'!$A$2:$A$1513,"Front Lobby"))</f>
        <v/>
      </c>
      <c r="E123" s="53" t="str">
        <f>IF($A123="","",SUMIFS('Equipment Index'!$F$2:$F$1513,'Equipment Index'!$G$2:$G$1513,$A123,'Equipment Index'!$A$2:$A$1513,"Service Room"))</f>
        <v/>
      </c>
      <c r="F123" s="53" t="str">
        <f>IF($A123="","",SUMIFS('Equipment Index'!$F$2:$F$1513,'Equipment Index'!$G$2:$G$1513,$A123,'Equipment Index'!$A$2:$A$1513,"Production"))</f>
        <v/>
      </c>
      <c r="G123" s="53" t="str">
        <f>IF($A123="","",SUMIFS('Equipment Index'!$F$2:$F$1513,'Equipment Index'!$G$2:$G$1513,$A123,'Equipment Index'!$A$2:$A$1513,"Training Room"))</f>
        <v/>
      </c>
      <c r="H123" s="54" t="str">
        <f>IF($A123="","",SUMIFS('Equipment Index'!$F$2:$F$1513,'Equipment Index'!$G$2:$G$1513,$A123,'Equipment Index'!$A$2:$A$1513,"Out of State"))</f>
        <v/>
      </c>
      <c r="I123" s="53" t="str">
        <f>IF($A123="","",SUMIFS('Equipment Index'!$F$2:$F$1513,'Equipment Index'!$G$2:$G$1513,$A123,'Equipment Index'!$A$2:$A$1513,"San Antonio"))</f>
        <v/>
      </c>
      <c r="J123" s="53" t="str">
        <f>IF($A123="","",SUMIFS('Equipment Index'!$F$2:$F$1513,'Equipment Index'!$G$2:$G$1513,$A123,'Equipment Index'!$A$2:$A$1513,"Dallas"))</f>
        <v/>
      </c>
      <c r="K123" s="55" t="str">
        <f t="shared" si="3"/>
        <v/>
      </c>
      <c r="L123" s="56" t="str">
        <f>IF($A123="","",SUMIFS('Equipment Index'!$F$2:$F$1513,'Equipment Index'!$G$2:$G$1513,$A123,'Equipment Index'!$C$2:$C$1513,"DISP"))</f>
        <v/>
      </c>
      <c r="M123" s="57" t="str">
        <f>IF($A123="","",SUMIFS('Equipment Index'!$F$2:$F$1513,'Equipment Index'!$G$2:$G$1513,$A123,'Equipment Index'!$C$2:$C$1513,"MOD"))</f>
        <v/>
      </c>
      <c r="N123" s="58" t="str">
        <f>IF($A123="","",IF(COUNTIFS('Equipment Index'!$G$2:$G$1513,$A123,'Equipment Index'!$H$2:$H$1513,"?*")=0,"","Customer-owned — "&amp;COUNTIFS('Equipment Index'!$G$2:$G$1513,$A123,'Equipment Index'!$H$2:$H$1513,"?*")&amp;" unit(s): "&amp;IFERROR(INDEX('Equipment Index'!$H$2:$H$1513,SUMPRODUCT(MATCH(1,('Equipment Index'!$G$2:$G$1513=$A123)*('Equipment Index'!$H$2:$H$1513&lt;&gt;""),0))),"")&amp;IF(COUNTIFS('Equipment Index'!$G$2:$G$1513,$A123,'Equipment Index'!$H$2:$H$1513,"?*")&gt;1," + see table below","")))</f>
        <v/>
      </c>
    </row>
    <row r="124" spans="1:14" ht="15" customHeight="1" x14ac:dyDescent="0.25">
      <c r="A124" s="52" t="str">
        <f>IFERROR(INDEX('Equipment Index'!$G$2:$G$1513,MATCH(ROW()-7,'Equipment Index'!$J$2:$J$1513,0)),"")</f>
        <v/>
      </c>
      <c r="B124" s="53" t="str">
        <f>IF($A124="","",SUMIFS('Equipment Index'!$F$2:$F$1513,'Equipment Index'!$G$2:$G$1513,$A124,'Equipment Index'!$A$2:$A$1513,"Barn - Back Rack"))</f>
        <v/>
      </c>
      <c r="C124" s="53" t="str">
        <f>IF($A124="","",SUMIFS('Equipment Index'!$F$2:$F$1513,'Equipment Index'!$G$2:$G$1513,$A124,'Equipment Index'!$A$2:$A$1513,"Barn - Front Rack"))</f>
        <v/>
      </c>
      <c r="D124" s="53" t="str">
        <f>IF($A124="","",SUMIFS('Equipment Index'!$F$2:$F$1513,'Equipment Index'!$G$2:$G$1513,$A124,'Equipment Index'!$A$2:$A$1513,"Front Lobby"))</f>
        <v/>
      </c>
      <c r="E124" s="53" t="str">
        <f>IF($A124="","",SUMIFS('Equipment Index'!$F$2:$F$1513,'Equipment Index'!$G$2:$G$1513,$A124,'Equipment Index'!$A$2:$A$1513,"Service Room"))</f>
        <v/>
      </c>
      <c r="F124" s="53" t="str">
        <f>IF($A124="","",SUMIFS('Equipment Index'!$F$2:$F$1513,'Equipment Index'!$G$2:$G$1513,$A124,'Equipment Index'!$A$2:$A$1513,"Production"))</f>
        <v/>
      </c>
      <c r="G124" s="53" t="str">
        <f>IF($A124="","",SUMIFS('Equipment Index'!$F$2:$F$1513,'Equipment Index'!$G$2:$G$1513,$A124,'Equipment Index'!$A$2:$A$1513,"Training Room"))</f>
        <v/>
      </c>
      <c r="H124" s="54" t="str">
        <f>IF($A124="","",SUMIFS('Equipment Index'!$F$2:$F$1513,'Equipment Index'!$G$2:$G$1513,$A124,'Equipment Index'!$A$2:$A$1513,"Out of State"))</f>
        <v/>
      </c>
      <c r="I124" s="53" t="str">
        <f>IF($A124="","",SUMIFS('Equipment Index'!$F$2:$F$1513,'Equipment Index'!$G$2:$G$1513,$A124,'Equipment Index'!$A$2:$A$1513,"San Antonio"))</f>
        <v/>
      </c>
      <c r="J124" s="53" t="str">
        <f>IF($A124="","",SUMIFS('Equipment Index'!$F$2:$F$1513,'Equipment Index'!$G$2:$G$1513,$A124,'Equipment Index'!$A$2:$A$1513,"Dallas"))</f>
        <v/>
      </c>
      <c r="K124" s="55" t="str">
        <f t="shared" si="3"/>
        <v/>
      </c>
      <c r="L124" s="56" t="str">
        <f>IF($A124="","",SUMIFS('Equipment Index'!$F$2:$F$1513,'Equipment Index'!$G$2:$G$1513,$A124,'Equipment Index'!$C$2:$C$1513,"DISP"))</f>
        <v/>
      </c>
      <c r="M124" s="57" t="str">
        <f>IF($A124="","",SUMIFS('Equipment Index'!$F$2:$F$1513,'Equipment Index'!$G$2:$G$1513,$A124,'Equipment Index'!$C$2:$C$1513,"MOD"))</f>
        <v/>
      </c>
      <c r="N124" s="58" t="str">
        <f>IF($A124="","",IF(COUNTIFS('Equipment Index'!$G$2:$G$1513,$A124,'Equipment Index'!$H$2:$H$1513,"?*")=0,"","Customer-owned — "&amp;COUNTIFS('Equipment Index'!$G$2:$G$1513,$A124,'Equipment Index'!$H$2:$H$1513,"?*")&amp;" unit(s): "&amp;IFERROR(INDEX('Equipment Index'!$H$2:$H$1513,SUMPRODUCT(MATCH(1,('Equipment Index'!$G$2:$G$1513=$A124)*('Equipment Index'!$H$2:$H$1513&lt;&gt;""),0))),"")&amp;IF(COUNTIFS('Equipment Index'!$G$2:$G$1513,$A124,'Equipment Index'!$H$2:$H$1513,"?*")&gt;1," + see table below","")))</f>
        <v/>
      </c>
    </row>
    <row r="125" spans="1:14" ht="15" customHeight="1" x14ac:dyDescent="0.25">
      <c r="A125" s="52" t="str">
        <f>IFERROR(INDEX('Equipment Index'!$G$2:$G$1513,MATCH(ROW()-7,'Equipment Index'!$J$2:$J$1513,0)),"")</f>
        <v/>
      </c>
      <c r="B125" s="53" t="str">
        <f>IF($A125="","",SUMIFS('Equipment Index'!$F$2:$F$1513,'Equipment Index'!$G$2:$G$1513,$A125,'Equipment Index'!$A$2:$A$1513,"Barn - Back Rack"))</f>
        <v/>
      </c>
      <c r="C125" s="53" t="str">
        <f>IF($A125="","",SUMIFS('Equipment Index'!$F$2:$F$1513,'Equipment Index'!$G$2:$G$1513,$A125,'Equipment Index'!$A$2:$A$1513,"Barn - Front Rack"))</f>
        <v/>
      </c>
      <c r="D125" s="53" t="str">
        <f>IF($A125="","",SUMIFS('Equipment Index'!$F$2:$F$1513,'Equipment Index'!$G$2:$G$1513,$A125,'Equipment Index'!$A$2:$A$1513,"Front Lobby"))</f>
        <v/>
      </c>
      <c r="E125" s="53" t="str">
        <f>IF($A125="","",SUMIFS('Equipment Index'!$F$2:$F$1513,'Equipment Index'!$G$2:$G$1513,$A125,'Equipment Index'!$A$2:$A$1513,"Service Room"))</f>
        <v/>
      </c>
      <c r="F125" s="53" t="str">
        <f>IF($A125="","",SUMIFS('Equipment Index'!$F$2:$F$1513,'Equipment Index'!$G$2:$G$1513,$A125,'Equipment Index'!$A$2:$A$1513,"Production"))</f>
        <v/>
      </c>
      <c r="G125" s="53" t="str">
        <f>IF($A125="","",SUMIFS('Equipment Index'!$F$2:$F$1513,'Equipment Index'!$G$2:$G$1513,$A125,'Equipment Index'!$A$2:$A$1513,"Training Room"))</f>
        <v/>
      </c>
      <c r="H125" s="54" t="str">
        <f>IF($A125="","",SUMIFS('Equipment Index'!$F$2:$F$1513,'Equipment Index'!$G$2:$G$1513,$A125,'Equipment Index'!$A$2:$A$1513,"Out of State"))</f>
        <v/>
      </c>
      <c r="I125" s="53" t="str">
        <f>IF($A125="","",SUMIFS('Equipment Index'!$F$2:$F$1513,'Equipment Index'!$G$2:$G$1513,$A125,'Equipment Index'!$A$2:$A$1513,"San Antonio"))</f>
        <v/>
      </c>
      <c r="J125" s="53" t="str">
        <f>IF($A125="","",SUMIFS('Equipment Index'!$F$2:$F$1513,'Equipment Index'!$G$2:$G$1513,$A125,'Equipment Index'!$A$2:$A$1513,"Dallas"))</f>
        <v/>
      </c>
      <c r="K125" s="55" t="str">
        <f t="shared" si="3"/>
        <v/>
      </c>
      <c r="L125" s="56" t="str">
        <f>IF($A125="","",SUMIFS('Equipment Index'!$F$2:$F$1513,'Equipment Index'!$G$2:$G$1513,$A125,'Equipment Index'!$C$2:$C$1513,"DISP"))</f>
        <v/>
      </c>
      <c r="M125" s="57" t="str">
        <f>IF($A125="","",SUMIFS('Equipment Index'!$F$2:$F$1513,'Equipment Index'!$G$2:$G$1513,$A125,'Equipment Index'!$C$2:$C$1513,"MOD"))</f>
        <v/>
      </c>
      <c r="N125" s="58" t="str">
        <f>IF($A125="","",IF(COUNTIFS('Equipment Index'!$G$2:$G$1513,$A125,'Equipment Index'!$H$2:$H$1513,"?*")=0,"","Customer-owned — "&amp;COUNTIFS('Equipment Index'!$G$2:$G$1513,$A125,'Equipment Index'!$H$2:$H$1513,"?*")&amp;" unit(s): "&amp;IFERROR(INDEX('Equipment Index'!$H$2:$H$1513,SUMPRODUCT(MATCH(1,('Equipment Index'!$G$2:$G$1513=$A125)*('Equipment Index'!$H$2:$H$1513&lt;&gt;""),0))),"")&amp;IF(COUNTIFS('Equipment Index'!$G$2:$G$1513,$A125,'Equipment Index'!$H$2:$H$1513,"?*")&gt;1," + see table below","")))</f>
        <v/>
      </c>
    </row>
    <row r="126" spans="1:14" ht="15" customHeight="1" x14ac:dyDescent="0.25">
      <c r="A126" s="52" t="str">
        <f>IFERROR(INDEX('Equipment Index'!$G$2:$G$1513,MATCH(ROW()-7,'Equipment Index'!$J$2:$J$1513,0)),"")</f>
        <v/>
      </c>
      <c r="B126" s="53" t="str">
        <f>IF($A126="","",SUMIFS('Equipment Index'!$F$2:$F$1513,'Equipment Index'!$G$2:$G$1513,$A126,'Equipment Index'!$A$2:$A$1513,"Barn - Back Rack"))</f>
        <v/>
      </c>
      <c r="C126" s="53" t="str">
        <f>IF($A126="","",SUMIFS('Equipment Index'!$F$2:$F$1513,'Equipment Index'!$G$2:$G$1513,$A126,'Equipment Index'!$A$2:$A$1513,"Barn - Front Rack"))</f>
        <v/>
      </c>
      <c r="D126" s="53" t="str">
        <f>IF($A126="","",SUMIFS('Equipment Index'!$F$2:$F$1513,'Equipment Index'!$G$2:$G$1513,$A126,'Equipment Index'!$A$2:$A$1513,"Front Lobby"))</f>
        <v/>
      </c>
      <c r="E126" s="53" t="str">
        <f>IF($A126="","",SUMIFS('Equipment Index'!$F$2:$F$1513,'Equipment Index'!$G$2:$G$1513,$A126,'Equipment Index'!$A$2:$A$1513,"Service Room"))</f>
        <v/>
      </c>
      <c r="F126" s="53" t="str">
        <f>IF($A126="","",SUMIFS('Equipment Index'!$F$2:$F$1513,'Equipment Index'!$G$2:$G$1513,$A126,'Equipment Index'!$A$2:$A$1513,"Production"))</f>
        <v/>
      </c>
      <c r="G126" s="53" t="str">
        <f>IF($A126="","",SUMIFS('Equipment Index'!$F$2:$F$1513,'Equipment Index'!$G$2:$G$1513,$A126,'Equipment Index'!$A$2:$A$1513,"Training Room"))</f>
        <v/>
      </c>
      <c r="H126" s="54" t="str">
        <f>IF($A126="","",SUMIFS('Equipment Index'!$F$2:$F$1513,'Equipment Index'!$G$2:$G$1513,$A126,'Equipment Index'!$A$2:$A$1513,"Out of State"))</f>
        <v/>
      </c>
      <c r="I126" s="53" t="str">
        <f>IF($A126="","",SUMIFS('Equipment Index'!$F$2:$F$1513,'Equipment Index'!$G$2:$G$1513,$A126,'Equipment Index'!$A$2:$A$1513,"San Antonio"))</f>
        <v/>
      </c>
      <c r="J126" s="53" t="str">
        <f>IF($A126="","",SUMIFS('Equipment Index'!$F$2:$F$1513,'Equipment Index'!$G$2:$G$1513,$A126,'Equipment Index'!$A$2:$A$1513,"Dallas"))</f>
        <v/>
      </c>
      <c r="K126" s="55" t="str">
        <f t="shared" si="3"/>
        <v/>
      </c>
      <c r="L126" s="56" t="str">
        <f>IF($A126="","",SUMIFS('Equipment Index'!$F$2:$F$1513,'Equipment Index'!$G$2:$G$1513,$A126,'Equipment Index'!$C$2:$C$1513,"DISP"))</f>
        <v/>
      </c>
      <c r="M126" s="57" t="str">
        <f>IF($A126="","",SUMIFS('Equipment Index'!$F$2:$F$1513,'Equipment Index'!$G$2:$G$1513,$A126,'Equipment Index'!$C$2:$C$1513,"MOD"))</f>
        <v/>
      </c>
      <c r="N126" s="58" t="str">
        <f>IF($A126="","",IF(COUNTIFS('Equipment Index'!$G$2:$G$1513,$A126,'Equipment Index'!$H$2:$H$1513,"?*")=0,"","Customer-owned — "&amp;COUNTIFS('Equipment Index'!$G$2:$G$1513,$A126,'Equipment Index'!$H$2:$H$1513,"?*")&amp;" unit(s): "&amp;IFERROR(INDEX('Equipment Index'!$H$2:$H$1513,SUMPRODUCT(MATCH(1,('Equipment Index'!$G$2:$G$1513=$A126)*('Equipment Index'!$H$2:$H$1513&lt;&gt;""),0))),"")&amp;IF(COUNTIFS('Equipment Index'!$G$2:$G$1513,$A126,'Equipment Index'!$H$2:$H$1513,"?*")&gt;1," + see table below","")))</f>
        <v/>
      </c>
    </row>
    <row r="127" spans="1:14" ht="15" customHeight="1" x14ac:dyDescent="0.25">
      <c r="A127" s="52" t="str">
        <f>IFERROR(INDEX('Equipment Index'!$G$2:$G$1513,MATCH(ROW()-7,'Equipment Index'!$J$2:$J$1513,0)),"")</f>
        <v/>
      </c>
      <c r="B127" s="53" t="str">
        <f>IF($A127="","",SUMIFS('Equipment Index'!$F$2:$F$1513,'Equipment Index'!$G$2:$G$1513,$A127,'Equipment Index'!$A$2:$A$1513,"Barn - Back Rack"))</f>
        <v/>
      </c>
      <c r="C127" s="53" t="str">
        <f>IF($A127="","",SUMIFS('Equipment Index'!$F$2:$F$1513,'Equipment Index'!$G$2:$G$1513,$A127,'Equipment Index'!$A$2:$A$1513,"Barn - Front Rack"))</f>
        <v/>
      </c>
      <c r="D127" s="53" t="str">
        <f>IF($A127="","",SUMIFS('Equipment Index'!$F$2:$F$1513,'Equipment Index'!$G$2:$G$1513,$A127,'Equipment Index'!$A$2:$A$1513,"Front Lobby"))</f>
        <v/>
      </c>
      <c r="E127" s="53" t="str">
        <f>IF($A127="","",SUMIFS('Equipment Index'!$F$2:$F$1513,'Equipment Index'!$G$2:$G$1513,$A127,'Equipment Index'!$A$2:$A$1513,"Service Room"))</f>
        <v/>
      </c>
      <c r="F127" s="53" t="str">
        <f>IF($A127="","",SUMIFS('Equipment Index'!$F$2:$F$1513,'Equipment Index'!$G$2:$G$1513,$A127,'Equipment Index'!$A$2:$A$1513,"Production"))</f>
        <v/>
      </c>
      <c r="G127" s="53" t="str">
        <f>IF($A127="","",SUMIFS('Equipment Index'!$F$2:$F$1513,'Equipment Index'!$G$2:$G$1513,$A127,'Equipment Index'!$A$2:$A$1513,"Training Room"))</f>
        <v/>
      </c>
      <c r="H127" s="54" t="str">
        <f>IF($A127="","",SUMIFS('Equipment Index'!$F$2:$F$1513,'Equipment Index'!$G$2:$G$1513,$A127,'Equipment Index'!$A$2:$A$1513,"Out of State"))</f>
        <v/>
      </c>
      <c r="I127" s="53" t="str">
        <f>IF($A127="","",SUMIFS('Equipment Index'!$F$2:$F$1513,'Equipment Index'!$G$2:$G$1513,$A127,'Equipment Index'!$A$2:$A$1513,"San Antonio"))</f>
        <v/>
      </c>
      <c r="J127" s="53" t="str">
        <f>IF($A127="","",SUMIFS('Equipment Index'!$F$2:$F$1513,'Equipment Index'!$G$2:$G$1513,$A127,'Equipment Index'!$A$2:$A$1513,"Dallas"))</f>
        <v/>
      </c>
      <c r="K127" s="55" t="str">
        <f t="shared" si="3"/>
        <v/>
      </c>
      <c r="L127" s="56" t="str">
        <f>IF($A127="","",SUMIFS('Equipment Index'!$F$2:$F$1513,'Equipment Index'!$G$2:$G$1513,$A127,'Equipment Index'!$C$2:$C$1513,"DISP"))</f>
        <v/>
      </c>
      <c r="M127" s="57" t="str">
        <f>IF($A127="","",SUMIFS('Equipment Index'!$F$2:$F$1513,'Equipment Index'!$G$2:$G$1513,$A127,'Equipment Index'!$C$2:$C$1513,"MOD"))</f>
        <v/>
      </c>
      <c r="N127" s="58" t="str">
        <f>IF($A127="","",IF(COUNTIFS('Equipment Index'!$G$2:$G$1513,$A127,'Equipment Index'!$H$2:$H$1513,"?*")=0,"","Customer-owned — "&amp;COUNTIFS('Equipment Index'!$G$2:$G$1513,$A127,'Equipment Index'!$H$2:$H$1513,"?*")&amp;" unit(s): "&amp;IFERROR(INDEX('Equipment Index'!$H$2:$H$1513,SUMPRODUCT(MATCH(1,('Equipment Index'!$G$2:$G$1513=$A127)*('Equipment Index'!$H$2:$H$1513&lt;&gt;""),0))),"")&amp;IF(COUNTIFS('Equipment Index'!$G$2:$G$1513,$A127,'Equipment Index'!$H$2:$H$1513,"?*")&gt;1," + see table below","")))</f>
        <v/>
      </c>
    </row>
    <row r="128" spans="1:14" ht="15" customHeight="1" x14ac:dyDescent="0.25">
      <c r="A128" s="52" t="str">
        <f>IFERROR(INDEX('Equipment Index'!$G$2:$G$1513,MATCH(ROW()-7,'Equipment Index'!$J$2:$J$1513,0)),"")</f>
        <v/>
      </c>
      <c r="B128" s="53" t="str">
        <f>IF($A128="","",SUMIFS('Equipment Index'!$F$2:$F$1513,'Equipment Index'!$G$2:$G$1513,$A128,'Equipment Index'!$A$2:$A$1513,"Barn - Back Rack"))</f>
        <v/>
      </c>
      <c r="C128" s="53" t="str">
        <f>IF($A128="","",SUMIFS('Equipment Index'!$F$2:$F$1513,'Equipment Index'!$G$2:$G$1513,$A128,'Equipment Index'!$A$2:$A$1513,"Barn - Front Rack"))</f>
        <v/>
      </c>
      <c r="D128" s="53" t="str">
        <f>IF($A128="","",SUMIFS('Equipment Index'!$F$2:$F$1513,'Equipment Index'!$G$2:$G$1513,$A128,'Equipment Index'!$A$2:$A$1513,"Front Lobby"))</f>
        <v/>
      </c>
      <c r="E128" s="53" t="str">
        <f>IF($A128="","",SUMIFS('Equipment Index'!$F$2:$F$1513,'Equipment Index'!$G$2:$G$1513,$A128,'Equipment Index'!$A$2:$A$1513,"Service Room"))</f>
        <v/>
      </c>
      <c r="F128" s="53" t="str">
        <f>IF($A128="","",SUMIFS('Equipment Index'!$F$2:$F$1513,'Equipment Index'!$G$2:$G$1513,$A128,'Equipment Index'!$A$2:$A$1513,"Production"))</f>
        <v/>
      </c>
      <c r="G128" s="53" t="str">
        <f>IF($A128="","",SUMIFS('Equipment Index'!$F$2:$F$1513,'Equipment Index'!$G$2:$G$1513,$A128,'Equipment Index'!$A$2:$A$1513,"Training Room"))</f>
        <v/>
      </c>
      <c r="H128" s="54" t="str">
        <f>IF($A128="","",SUMIFS('Equipment Index'!$F$2:$F$1513,'Equipment Index'!$G$2:$G$1513,$A128,'Equipment Index'!$A$2:$A$1513,"Out of State"))</f>
        <v/>
      </c>
      <c r="I128" s="53" t="str">
        <f>IF($A128="","",SUMIFS('Equipment Index'!$F$2:$F$1513,'Equipment Index'!$G$2:$G$1513,$A128,'Equipment Index'!$A$2:$A$1513,"San Antonio"))</f>
        <v/>
      </c>
      <c r="J128" s="53" t="str">
        <f>IF($A128="","",SUMIFS('Equipment Index'!$F$2:$F$1513,'Equipment Index'!$G$2:$G$1513,$A128,'Equipment Index'!$A$2:$A$1513,"Dallas"))</f>
        <v/>
      </c>
      <c r="K128" s="55" t="str">
        <f t="shared" si="3"/>
        <v/>
      </c>
      <c r="L128" s="56" t="str">
        <f>IF($A128="","",SUMIFS('Equipment Index'!$F$2:$F$1513,'Equipment Index'!$G$2:$G$1513,$A128,'Equipment Index'!$C$2:$C$1513,"DISP"))</f>
        <v/>
      </c>
      <c r="M128" s="57" t="str">
        <f>IF($A128="","",SUMIFS('Equipment Index'!$F$2:$F$1513,'Equipment Index'!$G$2:$G$1513,$A128,'Equipment Index'!$C$2:$C$1513,"MOD"))</f>
        <v/>
      </c>
      <c r="N128" s="58" t="str">
        <f>IF($A128="","",IF(COUNTIFS('Equipment Index'!$G$2:$G$1513,$A128,'Equipment Index'!$H$2:$H$1513,"?*")=0,"","Customer-owned — "&amp;COUNTIFS('Equipment Index'!$G$2:$G$1513,$A128,'Equipment Index'!$H$2:$H$1513,"?*")&amp;" unit(s): "&amp;IFERROR(INDEX('Equipment Index'!$H$2:$H$1513,SUMPRODUCT(MATCH(1,('Equipment Index'!$G$2:$G$1513=$A128)*('Equipment Index'!$H$2:$H$1513&lt;&gt;""),0))),"")&amp;IF(COUNTIFS('Equipment Index'!$G$2:$G$1513,$A128,'Equipment Index'!$H$2:$H$1513,"?*")&gt;1," + see table below","")))</f>
        <v/>
      </c>
    </row>
    <row r="129" spans="1:14" ht="15" customHeight="1" x14ac:dyDescent="0.25">
      <c r="A129" s="52" t="str">
        <f>IFERROR(INDEX('Equipment Index'!$G$2:$G$1513,MATCH(ROW()-7,'Equipment Index'!$J$2:$J$1513,0)),"")</f>
        <v/>
      </c>
      <c r="B129" s="53" t="str">
        <f>IF($A129="","",SUMIFS('Equipment Index'!$F$2:$F$1513,'Equipment Index'!$G$2:$G$1513,$A129,'Equipment Index'!$A$2:$A$1513,"Barn - Back Rack"))</f>
        <v/>
      </c>
      <c r="C129" s="53" t="str">
        <f>IF($A129="","",SUMIFS('Equipment Index'!$F$2:$F$1513,'Equipment Index'!$G$2:$G$1513,$A129,'Equipment Index'!$A$2:$A$1513,"Barn - Front Rack"))</f>
        <v/>
      </c>
      <c r="D129" s="53" t="str">
        <f>IF($A129="","",SUMIFS('Equipment Index'!$F$2:$F$1513,'Equipment Index'!$G$2:$G$1513,$A129,'Equipment Index'!$A$2:$A$1513,"Front Lobby"))</f>
        <v/>
      </c>
      <c r="E129" s="53" t="str">
        <f>IF($A129="","",SUMIFS('Equipment Index'!$F$2:$F$1513,'Equipment Index'!$G$2:$G$1513,$A129,'Equipment Index'!$A$2:$A$1513,"Service Room"))</f>
        <v/>
      </c>
      <c r="F129" s="53" t="str">
        <f>IF($A129="","",SUMIFS('Equipment Index'!$F$2:$F$1513,'Equipment Index'!$G$2:$G$1513,$A129,'Equipment Index'!$A$2:$A$1513,"Production"))</f>
        <v/>
      </c>
      <c r="G129" s="53" t="str">
        <f>IF($A129="","",SUMIFS('Equipment Index'!$F$2:$F$1513,'Equipment Index'!$G$2:$G$1513,$A129,'Equipment Index'!$A$2:$A$1513,"Training Room"))</f>
        <v/>
      </c>
      <c r="H129" s="54" t="str">
        <f>IF($A129="","",SUMIFS('Equipment Index'!$F$2:$F$1513,'Equipment Index'!$G$2:$G$1513,$A129,'Equipment Index'!$A$2:$A$1513,"Out of State"))</f>
        <v/>
      </c>
      <c r="I129" s="53" t="str">
        <f>IF($A129="","",SUMIFS('Equipment Index'!$F$2:$F$1513,'Equipment Index'!$G$2:$G$1513,$A129,'Equipment Index'!$A$2:$A$1513,"San Antonio"))</f>
        <v/>
      </c>
      <c r="J129" s="53" t="str">
        <f>IF($A129="","",SUMIFS('Equipment Index'!$F$2:$F$1513,'Equipment Index'!$G$2:$G$1513,$A129,'Equipment Index'!$A$2:$A$1513,"Dallas"))</f>
        <v/>
      </c>
      <c r="K129" s="55" t="str">
        <f t="shared" si="3"/>
        <v/>
      </c>
      <c r="L129" s="56" t="str">
        <f>IF($A129="","",SUMIFS('Equipment Index'!$F$2:$F$1513,'Equipment Index'!$G$2:$G$1513,$A129,'Equipment Index'!$C$2:$C$1513,"DISP"))</f>
        <v/>
      </c>
      <c r="M129" s="57" t="str">
        <f>IF($A129="","",SUMIFS('Equipment Index'!$F$2:$F$1513,'Equipment Index'!$G$2:$G$1513,$A129,'Equipment Index'!$C$2:$C$1513,"MOD"))</f>
        <v/>
      </c>
      <c r="N129" s="58" t="str">
        <f>IF($A129="","",IF(COUNTIFS('Equipment Index'!$G$2:$G$1513,$A129,'Equipment Index'!$H$2:$H$1513,"?*")=0,"","Customer-owned — "&amp;COUNTIFS('Equipment Index'!$G$2:$G$1513,$A129,'Equipment Index'!$H$2:$H$1513,"?*")&amp;" unit(s): "&amp;IFERROR(INDEX('Equipment Index'!$H$2:$H$1513,SUMPRODUCT(MATCH(1,('Equipment Index'!$G$2:$G$1513=$A129)*('Equipment Index'!$H$2:$H$1513&lt;&gt;""),0))),"")&amp;IF(COUNTIFS('Equipment Index'!$G$2:$G$1513,$A129,'Equipment Index'!$H$2:$H$1513,"?*")&gt;1," + see table below","")))</f>
        <v/>
      </c>
    </row>
    <row r="130" spans="1:14" ht="15" customHeight="1" x14ac:dyDescent="0.25">
      <c r="A130" s="52" t="str">
        <f>IFERROR(INDEX('Equipment Index'!$G$2:$G$1513,MATCH(ROW()-7,'Equipment Index'!$J$2:$J$1513,0)),"")</f>
        <v/>
      </c>
      <c r="B130" s="53" t="str">
        <f>IF($A130="","",SUMIFS('Equipment Index'!$F$2:$F$1513,'Equipment Index'!$G$2:$G$1513,$A130,'Equipment Index'!$A$2:$A$1513,"Barn - Back Rack"))</f>
        <v/>
      </c>
      <c r="C130" s="53" t="str">
        <f>IF($A130="","",SUMIFS('Equipment Index'!$F$2:$F$1513,'Equipment Index'!$G$2:$G$1513,$A130,'Equipment Index'!$A$2:$A$1513,"Barn - Front Rack"))</f>
        <v/>
      </c>
      <c r="D130" s="53" t="str">
        <f>IF($A130="","",SUMIFS('Equipment Index'!$F$2:$F$1513,'Equipment Index'!$G$2:$G$1513,$A130,'Equipment Index'!$A$2:$A$1513,"Front Lobby"))</f>
        <v/>
      </c>
      <c r="E130" s="53" t="str">
        <f>IF($A130="","",SUMIFS('Equipment Index'!$F$2:$F$1513,'Equipment Index'!$G$2:$G$1513,$A130,'Equipment Index'!$A$2:$A$1513,"Service Room"))</f>
        <v/>
      </c>
      <c r="F130" s="53" t="str">
        <f>IF($A130="","",SUMIFS('Equipment Index'!$F$2:$F$1513,'Equipment Index'!$G$2:$G$1513,$A130,'Equipment Index'!$A$2:$A$1513,"Production"))</f>
        <v/>
      </c>
      <c r="G130" s="53" t="str">
        <f>IF($A130="","",SUMIFS('Equipment Index'!$F$2:$F$1513,'Equipment Index'!$G$2:$G$1513,$A130,'Equipment Index'!$A$2:$A$1513,"Training Room"))</f>
        <v/>
      </c>
      <c r="H130" s="54" t="str">
        <f>IF($A130="","",SUMIFS('Equipment Index'!$F$2:$F$1513,'Equipment Index'!$G$2:$G$1513,$A130,'Equipment Index'!$A$2:$A$1513,"Out of State"))</f>
        <v/>
      </c>
      <c r="I130" s="53" t="str">
        <f>IF($A130="","",SUMIFS('Equipment Index'!$F$2:$F$1513,'Equipment Index'!$G$2:$G$1513,$A130,'Equipment Index'!$A$2:$A$1513,"San Antonio"))</f>
        <v/>
      </c>
      <c r="J130" s="53" t="str">
        <f>IF($A130="","",SUMIFS('Equipment Index'!$F$2:$F$1513,'Equipment Index'!$G$2:$G$1513,$A130,'Equipment Index'!$A$2:$A$1513,"Dallas"))</f>
        <v/>
      </c>
      <c r="K130" s="55" t="str">
        <f t="shared" si="3"/>
        <v/>
      </c>
      <c r="L130" s="56" t="str">
        <f>IF($A130="","",SUMIFS('Equipment Index'!$F$2:$F$1513,'Equipment Index'!$G$2:$G$1513,$A130,'Equipment Index'!$C$2:$C$1513,"DISP"))</f>
        <v/>
      </c>
      <c r="M130" s="57" t="str">
        <f>IF($A130="","",SUMIFS('Equipment Index'!$F$2:$F$1513,'Equipment Index'!$G$2:$G$1513,$A130,'Equipment Index'!$C$2:$C$1513,"MOD"))</f>
        <v/>
      </c>
      <c r="N130" s="58" t="str">
        <f>IF($A130="","",IF(COUNTIFS('Equipment Index'!$G$2:$G$1513,$A130,'Equipment Index'!$H$2:$H$1513,"?*")=0,"","Customer-owned — "&amp;COUNTIFS('Equipment Index'!$G$2:$G$1513,$A130,'Equipment Index'!$H$2:$H$1513,"?*")&amp;" unit(s): "&amp;IFERROR(INDEX('Equipment Index'!$H$2:$H$1513,SUMPRODUCT(MATCH(1,('Equipment Index'!$G$2:$G$1513=$A130)*('Equipment Index'!$H$2:$H$1513&lt;&gt;""),0))),"")&amp;IF(COUNTIFS('Equipment Index'!$G$2:$G$1513,$A130,'Equipment Index'!$H$2:$H$1513,"?*")&gt;1," + see table below","")))</f>
        <v/>
      </c>
    </row>
    <row r="131" spans="1:14" ht="15" customHeight="1" x14ac:dyDescent="0.25">
      <c r="A131" s="52" t="str">
        <f>IFERROR(INDEX('Equipment Index'!$G$2:$G$1513,MATCH(ROW()-7,'Equipment Index'!$J$2:$J$1513,0)),"")</f>
        <v/>
      </c>
      <c r="B131" s="53" t="str">
        <f>IF($A131="","",SUMIFS('Equipment Index'!$F$2:$F$1513,'Equipment Index'!$G$2:$G$1513,$A131,'Equipment Index'!$A$2:$A$1513,"Barn - Back Rack"))</f>
        <v/>
      </c>
      <c r="C131" s="53" t="str">
        <f>IF($A131="","",SUMIFS('Equipment Index'!$F$2:$F$1513,'Equipment Index'!$G$2:$G$1513,$A131,'Equipment Index'!$A$2:$A$1513,"Barn - Front Rack"))</f>
        <v/>
      </c>
      <c r="D131" s="53" t="str">
        <f>IF($A131="","",SUMIFS('Equipment Index'!$F$2:$F$1513,'Equipment Index'!$G$2:$G$1513,$A131,'Equipment Index'!$A$2:$A$1513,"Front Lobby"))</f>
        <v/>
      </c>
      <c r="E131" s="53" t="str">
        <f>IF($A131="","",SUMIFS('Equipment Index'!$F$2:$F$1513,'Equipment Index'!$G$2:$G$1513,$A131,'Equipment Index'!$A$2:$A$1513,"Service Room"))</f>
        <v/>
      </c>
      <c r="F131" s="53" t="str">
        <f>IF($A131="","",SUMIFS('Equipment Index'!$F$2:$F$1513,'Equipment Index'!$G$2:$G$1513,$A131,'Equipment Index'!$A$2:$A$1513,"Production"))</f>
        <v/>
      </c>
      <c r="G131" s="53" t="str">
        <f>IF($A131="","",SUMIFS('Equipment Index'!$F$2:$F$1513,'Equipment Index'!$G$2:$G$1513,$A131,'Equipment Index'!$A$2:$A$1513,"Training Room"))</f>
        <v/>
      </c>
      <c r="H131" s="54" t="str">
        <f>IF($A131="","",SUMIFS('Equipment Index'!$F$2:$F$1513,'Equipment Index'!$G$2:$G$1513,$A131,'Equipment Index'!$A$2:$A$1513,"Out of State"))</f>
        <v/>
      </c>
      <c r="I131" s="53" t="str">
        <f>IF($A131="","",SUMIFS('Equipment Index'!$F$2:$F$1513,'Equipment Index'!$G$2:$G$1513,$A131,'Equipment Index'!$A$2:$A$1513,"San Antonio"))</f>
        <v/>
      </c>
      <c r="J131" s="53" t="str">
        <f>IF($A131="","",SUMIFS('Equipment Index'!$F$2:$F$1513,'Equipment Index'!$G$2:$G$1513,$A131,'Equipment Index'!$A$2:$A$1513,"Dallas"))</f>
        <v/>
      </c>
      <c r="K131" s="55" t="str">
        <f t="shared" si="3"/>
        <v/>
      </c>
      <c r="L131" s="56" t="str">
        <f>IF($A131="","",SUMIFS('Equipment Index'!$F$2:$F$1513,'Equipment Index'!$G$2:$G$1513,$A131,'Equipment Index'!$C$2:$C$1513,"DISP"))</f>
        <v/>
      </c>
      <c r="M131" s="57" t="str">
        <f>IF($A131="","",SUMIFS('Equipment Index'!$F$2:$F$1513,'Equipment Index'!$G$2:$G$1513,$A131,'Equipment Index'!$C$2:$C$1513,"MOD"))</f>
        <v/>
      </c>
      <c r="N131" s="58" t="str">
        <f>IF($A131="","",IF(COUNTIFS('Equipment Index'!$G$2:$G$1513,$A131,'Equipment Index'!$H$2:$H$1513,"?*")=0,"","Customer-owned — "&amp;COUNTIFS('Equipment Index'!$G$2:$G$1513,$A131,'Equipment Index'!$H$2:$H$1513,"?*")&amp;" unit(s): "&amp;IFERROR(INDEX('Equipment Index'!$H$2:$H$1513,SUMPRODUCT(MATCH(1,('Equipment Index'!$G$2:$G$1513=$A131)*('Equipment Index'!$H$2:$H$1513&lt;&gt;""),0))),"")&amp;IF(COUNTIFS('Equipment Index'!$G$2:$G$1513,$A131,'Equipment Index'!$H$2:$H$1513,"?*")&gt;1," + see table below","")))</f>
        <v/>
      </c>
    </row>
    <row r="132" spans="1:14" ht="15" customHeight="1" x14ac:dyDescent="0.25">
      <c r="A132" s="52" t="str">
        <f>IFERROR(INDEX('Equipment Index'!$G$2:$G$1513,MATCH(ROW()-7,'Equipment Index'!$J$2:$J$1513,0)),"")</f>
        <v/>
      </c>
      <c r="B132" s="53" t="str">
        <f>IF($A132="","",SUMIFS('Equipment Index'!$F$2:$F$1513,'Equipment Index'!$G$2:$G$1513,$A132,'Equipment Index'!$A$2:$A$1513,"Barn - Back Rack"))</f>
        <v/>
      </c>
      <c r="C132" s="53" t="str">
        <f>IF($A132="","",SUMIFS('Equipment Index'!$F$2:$F$1513,'Equipment Index'!$G$2:$G$1513,$A132,'Equipment Index'!$A$2:$A$1513,"Barn - Front Rack"))</f>
        <v/>
      </c>
      <c r="D132" s="53" t="str">
        <f>IF($A132="","",SUMIFS('Equipment Index'!$F$2:$F$1513,'Equipment Index'!$G$2:$G$1513,$A132,'Equipment Index'!$A$2:$A$1513,"Front Lobby"))</f>
        <v/>
      </c>
      <c r="E132" s="53" t="str">
        <f>IF($A132="","",SUMIFS('Equipment Index'!$F$2:$F$1513,'Equipment Index'!$G$2:$G$1513,$A132,'Equipment Index'!$A$2:$A$1513,"Service Room"))</f>
        <v/>
      </c>
      <c r="F132" s="53" t="str">
        <f>IF($A132="","",SUMIFS('Equipment Index'!$F$2:$F$1513,'Equipment Index'!$G$2:$G$1513,$A132,'Equipment Index'!$A$2:$A$1513,"Production"))</f>
        <v/>
      </c>
      <c r="G132" s="53" t="str">
        <f>IF($A132="","",SUMIFS('Equipment Index'!$F$2:$F$1513,'Equipment Index'!$G$2:$G$1513,$A132,'Equipment Index'!$A$2:$A$1513,"Training Room"))</f>
        <v/>
      </c>
      <c r="H132" s="54" t="str">
        <f>IF($A132="","",SUMIFS('Equipment Index'!$F$2:$F$1513,'Equipment Index'!$G$2:$G$1513,$A132,'Equipment Index'!$A$2:$A$1513,"Out of State"))</f>
        <v/>
      </c>
      <c r="I132" s="53" t="str">
        <f>IF($A132="","",SUMIFS('Equipment Index'!$F$2:$F$1513,'Equipment Index'!$G$2:$G$1513,$A132,'Equipment Index'!$A$2:$A$1513,"San Antonio"))</f>
        <v/>
      </c>
      <c r="J132" s="53" t="str">
        <f>IF($A132="","",SUMIFS('Equipment Index'!$F$2:$F$1513,'Equipment Index'!$G$2:$G$1513,$A132,'Equipment Index'!$A$2:$A$1513,"Dallas"))</f>
        <v/>
      </c>
      <c r="K132" s="55" t="str">
        <f t="shared" si="3"/>
        <v/>
      </c>
      <c r="L132" s="56" t="str">
        <f>IF($A132="","",SUMIFS('Equipment Index'!$F$2:$F$1513,'Equipment Index'!$G$2:$G$1513,$A132,'Equipment Index'!$C$2:$C$1513,"DISP"))</f>
        <v/>
      </c>
      <c r="M132" s="57" t="str">
        <f>IF($A132="","",SUMIFS('Equipment Index'!$F$2:$F$1513,'Equipment Index'!$G$2:$G$1513,$A132,'Equipment Index'!$C$2:$C$1513,"MOD"))</f>
        <v/>
      </c>
      <c r="N132" s="58" t="str">
        <f>IF($A132="","",IF(COUNTIFS('Equipment Index'!$G$2:$G$1513,$A132,'Equipment Index'!$H$2:$H$1513,"?*")=0,"","Customer-owned — "&amp;COUNTIFS('Equipment Index'!$G$2:$G$1513,$A132,'Equipment Index'!$H$2:$H$1513,"?*")&amp;" unit(s): "&amp;IFERROR(INDEX('Equipment Index'!$H$2:$H$1513,SUMPRODUCT(MATCH(1,('Equipment Index'!$G$2:$G$1513=$A132)*('Equipment Index'!$H$2:$H$1513&lt;&gt;""),0))),"")&amp;IF(COUNTIFS('Equipment Index'!$G$2:$G$1513,$A132,'Equipment Index'!$H$2:$H$1513,"?*")&gt;1," + see table below","")))</f>
        <v/>
      </c>
    </row>
    <row r="133" spans="1:14" ht="15" customHeight="1" x14ac:dyDescent="0.25">
      <c r="A133" s="52" t="str">
        <f>IFERROR(INDEX('Equipment Index'!$G$2:$G$1513,MATCH(ROW()-7,'Equipment Index'!$J$2:$J$1513,0)),"")</f>
        <v/>
      </c>
      <c r="B133" s="53" t="str">
        <f>IF($A133="","",SUMIFS('Equipment Index'!$F$2:$F$1513,'Equipment Index'!$G$2:$G$1513,$A133,'Equipment Index'!$A$2:$A$1513,"Barn - Back Rack"))</f>
        <v/>
      </c>
      <c r="C133" s="53" t="str">
        <f>IF($A133="","",SUMIFS('Equipment Index'!$F$2:$F$1513,'Equipment Index'!$G$2:$G$1513,$A133,'Equipment Index'!$A$2:$A$1513,"Barn - Front Rack"))</f>
        <v/>
      </c>
      <c r="D133" s="53" t="str">
        <f>IF($A133="","",SUMIFS('Equipment Index'!$F$2:$F$1513,'Equipment Index'!$G$2:$G$1513,$A133,'Equipment Index'!$A$2:$A$1513,"Front Lobby"))</f>
        <v/>
      </c>
      <c r="E133" s="53" t="str">
        <f>IF($A133="","",SUMIFS('Equipment Index'!$F$2:$F$1513,'Equipment Index'!$G$2:$G$1513,$A133,'Equipment Index'!$A$2:$A$1513,"Service Room"))</f>
        <v/>
      </c>
      <c r="F133" s="53" t="str">
        <f>IF($A133="","",SUMIFS('Equipment Index'!$F$2:$F$1513,'Equipment Index'!$G$2:$G$1513,$A133,'Equipment Index'!$A$2:$A$1513,"Production"))</f>
        <v/>
      </c>
      <c r="G133" s="53" t="str">
        <f>IF($A133="","",SUMIFS('Equipment Index'!$F$2:$F$1513,'Equipment Index'!$G$2:$G$1513,$A133,'Equipment Index'!$A$2:$A$1513,"Training Room"))</f>
        <v/>
      </c>
      <c r="H133" s="54" t="str">
        <f>IF($A133="","",SUMIFS('Equipment Index'!$F$2:$F$1513,'Equipment Index'!$G$2:$G$1513,$A133,'Equipment Index'!$A$2:$A$1513,"Out of State"))</f>
        <v/>
      </c>
      <c r="I133" s="53" t="str">
        <f>IF($A133="","",SUMIFS('Equipment Index'!$F$2:$F$1513,'Equipment Index'!$G$2:$G$1513,$A133,'Equipment Index'!$A$2:$A$1513,"San Antonio"))</f>
        <v/>
      </c>
      <c r="J133" s="53" t="str">
        <f>IF($A133="","",SUMIFS('Equipment Index'!$F$2:$F$1513,'Equipment Index'!$G$2:$G$1513,$A133,'Equipment Index'!$A$2:$A$1513,"Dallas"))</f>
        <v/>
      </c>
      <c r="K133" s="55" t="str">
        <f t="shared" si="3"/>
        <v/>
      </c>
      <c r="L133" s="56" t="str">
        <f>IF($A133="","",SUMIFS('Equipment Index'!$F$2:$F$1513,'Equipment Index'!$G$2:$G$1513,$A133,'Equipment Index'!$C$2:$C$1513,"DISP"))</f>
        <v/>
      </c>
      <c r="M133" s="57" t="str">
        <f>IF($A133="","",SUMIFS('Equipment Index'!$F$2:$F$1513,'Equipment Index'!$G$2:$G$1513,$A133,'Equipment Index'!$C$2:$C$1513,"MOD"))</f>
        <v/>
      </c>
      <c r="N133" s="58" t="str">
        <f>IF($A133="","",IF(COUNTIFS('Equipment Index'!$G$2:$G$1513,$A133,'Equipment Index'!$H$2:$H$1513,"?*")=0,"","Customer-owned — "&amp;COUNTIFS('Equipment Index'!$G$2:$G$1513,$A133,'Equipment Index'!$H$2:$H$1513,"?*")&amp;" unit(s): "&amp;IFERROR(INDEX('Equipment Index'!$H$2:$H$1513,SUMPRODUCT(MATCH(1,('Equipment Index'!$G$2:$G$1513=$A133)*('Equipment Index'!$H$2:$H$1513&lt;&gt;""),0))),"")&amp;IF(COUNTIFS('Equipment Index'!$G$2:$G$1513,$A133,'Equipment Index'!$H$2:$H$1513,"?*")&gt;1," + see table below","")))</f>
        <v/>
      </c>
    </row>
    <row r="134" spans="1:14" ht="15" customHeight="1" x14ac:dyDescent="0.25">
      <c r="A134" s="52" t="str">
        <f>IFERROR(INDEX('Equipment Index'!$G$2:$G$1513,MATCH(ROW()-7,'Equipment Index'!$J$2:$J$1513,0)),"")</f>
        <v/>
      </c>
      <c r="B134" s="53" t="str">
        <f>IF($A134="","",SUMIFS('Equipment Index'!$F$2:$F$1513,'Equipment Index'!$G$2:$G$1513,$A134,'Equipment Index'!$A$2:$A$1513,"Barn - Back Rack"))</f>
        <v/>
      </c>
      <c r="C134" s="53" t="str">
        <f>IF($A134="","",SUMIFS('Equipment Index'!$F$2:$F$1513,'Equipment Index'!$G$2:$G$1513,$A134,'Equipment Index'!$A$2:$A$1513,"Barn - Front Rack"))</f>
        <v/>
      </c>
      <c r="D134" s="53" t="str">
        <f>IF($A134="","",SUMIFS('Equipment Index'!$F$2:$F$1513,'Equipment Index'!$G$2:$G$1513,$A134,'Equipment Index'!$A$2:$A$1513,"Front Lobby"))</f>
        <v/>
      </c>
      <c r="E134" s="53" t="str">
        <f>IF($A134="","",SUMIFS('Equipment Index'!$F$2:$F$1513,'Equipment Index'!$G$2:$G$1513,$A134,'Equipment Index'!$A$2:$A$1513,"Service Room"))</f>
        <v/>
      </c>
      <c r="F134" s="53" t="str">
        <f>IF($A134="","",SUMIFS('Equipment Index'!$F$2:$F$1513,'Equipment Index'!$G$2:$G$1513,$A134,'Equipment Index'!$A$2:$A$1513,"Production"))</f>
        <v/>
      </c>
      <c r="G134" s="53" t="str">
        <f>IF($A134="","",SUMIFS('Equipment Index'!$F$2:$F$1513,'Equipment Index'!$G$2:$G$1513,$A134,'Equipment Index'!$A$2:$A$1513,"Training Room"))</f>
        <v/>
      </c>
      <c r="H134" s="54" t="str">
        <f>IF($A134="","",SUMIFS('Equipment Index'!$F$2:$F$1513,'Equipment Index'!$G$2:$G$1513,$A134,'Equipment Index'!$A$2:$A$1513,"Out of State"))</f>
        <v/>
      </c>
      <c r="I134" s="53" t="str">
        <f>IF($A134="","",SUMIFS('Equipment Index'!$F$2:$F$1513,'Equipment Index'!$G$2:$G$1513,$A134,'Equipment Index'!$A$2:$A$1513,"San Antonio"))</f>
        <v/>
      </c>
      <c r="J134" s="53" t="str">
        <f>IF($A134="","",SUMIFS('Equipment Index'!$F$2:$F$1513,'Equipment Index'!$G$2:$G$1513,$A134,'Equipment Index'!$A$2:$A$1513,"Dallas"))</f>
        <v/>
      </c>
      <c r="K134" s="55" t="str">
        <f t="shared" si="3"/>
        <v/>
      </c>
      <c r="L134" s="56" t="str">
        <f>IF($A134="","",SUMIFS('Equipment Index'!$F$2:$F$1513,'Equipment Index'!$G$2:$G$1513,$A134,'Equipment Index'!$C$2:$C$1513,"DISP"))</f>
        <v/>
      </c>
      <c r="M134" s="57" t="str">
        <f>IF($A134="","",SUMIFS('Equipment Index'!$F$2:$F$1513,'Equipment Index'!$G$2:$G$1513,$A134,'Equipment Index'!$C$2:$C$1513,"MOD"))</f>
        <v/>
      </c>
      <c r="N134" s="58" t="str">
        <f>IF($A134="","",IF(COUNTIFS('Equipment Index'!$G$2:$G$1513,$A134,'Equipment Index'!$H$2:$H$1513,"?*")=0,"","Customer-owned — "&amp;COUNTIFS('Equipment Index'!$G$2:$G$1513,$A134,'Equipment Index'!$H$2:$H$1513,"?*")&amp;" unit(s): "&amp;IFERROR(INDEX('Equipment Index'!$H$2:$H$1513,SUMPRODUCT(MATCH(1,('Equipment Index'!$G$2:$G$1513=$A134)*('Equipment Index'!$H$2:$H$1513&lt;&gt;""),0))),"")&amp;IF(COUNTIFS('Equipment Index'!$G$2:$G$1513,$A134,'Equipment Index'!$H$2:$H$1513,"?*")&gt;1," + see table below","")))</f>
        <v/>
      </c>
    </row>
    <row r="135" spans="1:14" ht="15" customHeight="1" x14ac:dyDescent="0.25">
      <c r="A135" s="52" t="str">
        <f>IFERROR(INDEX('Equipment Index'!$G$2:$G$1513,MATCH(ROW()-7,'Equipment Index'!$J$2:$J$1513,0)),"")</f>
        <v/>
      </c>
      <c r="B135" s="53" t="str">
        <f>IF($A135="","",SUMIFS('Equipment Index'!$F$2:$F$1513,'Equipment Index'!$G$2:$G$1513,$A135,'Equipment Index'!$A$2:$A$1513,"Barn - Back Rack"))</f>
        <v/>
      </c>
      <c r="C135" s="53" t="str">
        <f>IF($A135="","",SUMIFS('Equipment Index'!$F$2:$F$1513,'Equipment Index'!$G$2:$G$1513,$A135,'Equipment Index'!$A$2:$A$1513,"Barn - Front Rack"))</f>
        <v/>
      </c>
      <c r="D135" s="53" t="str">
        <f>IF($A135="","",SUMIFS('Equipment Index'!$F$2:$F$1513,'Equipment Index'!$G$2:$G$1513,$A135,'Equipment Index'!$A$2:$A$1513,"Front Lobby"))</f>
        <v/>
      </c>
      <c r="E135" s="53" t="str">
        <f>IF($A135="","",SUMIFS('Equipment Index'!$F$2:$F$1513,'Equipment Index'!$G$2:$G$1513,$A135,'Equipment Index'!$A$2:$A$1513,"Service Room"))</f>
        <v/>
      </c>
      <c r="F135" s="53" t="str">
        <f>IF($A135="","",SUMIFS('Equipment Index'!$F$2:$F$1513,'Equipment Index'!$G$2:$G$1513,$A135,'Equipment Index'!$A$2:$A$1513,"Production"))</f>
        <v/>
      </c>
      <c r="G135" s="53" t="str">
        <f>IF($A135="","",SUMIFS('Equipment Index'!$F$2:$F$1513,'Equipment Index'!$G$2:$G$1513,$A135,'Equipment Index'!$A$2:$A$1513,"Training Room"))</f>
        <v/>
      </c>
      <c r="H135" s="54" t="str">
        <f>IF($A135="","",SUMIFS('Equipment Index'!$F$2:$F$1513,'Equipment Index'!$G$2:$G$1513,$A135,'Equipment Index'!$A$2:$A$1513,"Out of State"))</f>
        <v/>
      </c>
      <c r="I135" s="53" t="str">
        <f>IF($A135="","",SUMIFS('Equipment Index'!$F$2:$F$1513,'Equipment Index'!$G$2:$G$1513,$A135,'Equipment Index'!$A$2:$A$1513,"San Antonio"))</f>
        <v/>
      </c>
      <c r="J135" s="53" t="str">
        <f>IF($A135="","",SUMIFS('Equipment Index'!$F$2:$F$1513,'Equipment Index'!$G$2:$G$1513,$A135,'Equipment Index'!$A$2:$A$1513,"Dallas"))</f>
        <v/>
      </c>
      <c r="K135" s="55" t="str">
        <f t="shared" si="3"/>
        <v/>
      </c>
      <c r="L135" s="56" t="str">
        <f>IF($A135="","",SUMIFS('Equipment Index'!$F$2:$F$1513,'Equipment Index'!$G$2:$G$1513,$A135,'Equipment Index'!$C$2:$C$1513,"DISP"))</f>
        <v/>
      </c>
      <c r="M135" s="57" t="str">
        <f>IF($A135="","",SUMIFS('Equipment Index'!$F$2:$F$1513,'Equipment Index'!$G$2:$G$1513,$A135,'Equipment Index'!$C$2:$C$1513,"MOD"))</f>
        <v/>
      </c>
      <c r="N135" s="58" t="str">
        <f>IF($A135="","",IF(COUNTIFS('Equipment Index'!$G$2:$G$1513,$A135,'Equipment Index'!$H$2:$H$1513,"?*")=0,"","Customer-owned — "&amp;COUNTIFS('Equipment Index'!$G$2:$G$1513,$A135,'Equipment Index'!$H$2:$H$1513,"?*")&amp;" unit(s): "&amp;IFERROR(INDEX('Equipment Index'!$H$2:$H$1513,SUMPRODUCT(MATCH(1,('Equipment Index'!$G$2:$G$1513=$A135)*('Equipment Index'!$H$2:$H$1513&lt;&gt;""),0))),"")&amp;IF(COUNTIFS('Equipment Index'!$G$2:$G$1513,$A135,'Equipment Index'!$H$2:$H$1513,"?*")&gt;1," + see table below","")))</f>
        <v/>
      </c>
    </row>
    <row r="136" spans="1:14" ht="15" customHeight="1" x14ac:dyDescent="0.25">
      <c r="A136" s="52" t="str">
        <f>IFERROR(INDEX('Equipment Index'!$G$2:$G$1513,MATCH(ROW()-7,'Equipment Index'!$J$2:$J$1513,0)),"")</f>
        <v/>
      </c>
      <c r="B136" s="53" t="str">
        <f>IF($A136="","",SUMIFS('Equipment Index'!$F$2:$F$1513,'Equipment Index'!$G$2:$G$1513,$A136,'Equipment Index'!$A$2:$A$1513,"Barn - Back Rack"))</f>
        <v/>
      </c>
      <c r="C136" s="53" t="str">
        <f>IF($A136="","",SUMIFS('Equipment Index'!$F$2:$F$1513,'Equipment Index'!$G$2:$G$1513,$A136,'Equipment Index'!$A$2:$A$1513,"Barn - Front Rack"))</f>
        <v/>
      </c>
      <c r="D136" s="53" t="str">
        <f>IF($A136="","",SUMIFS('Equipment Index'!$F$2:$F$1513,'Equipment Index'!$G$2:$G$1513,$A136,'Equipment Index'!$A$2:$A$1513,"Front Lobby"))</f>
        <v/>
      </c>
      <c r="E136" s="53" t="str">
        <f>IF($A136="","",SUMIFS('Equipment Index'!$F$2:$F$1513,'Equipment Index'!$G$2:$G$1513,$A136,'Equipment Index'!$A$2:$A$1513,"Service Room"))</f>
        <v/>
      </c>
      <c r="F136" s="53" t="str">
        <f>IF($A136="","",SUMIFS('Equipment Index'!$F$2:$F$1513,'Equipment Index'!$G$2:$G$1513,$A136,'Equipment Index'!$A$2:$A$1513,"Production"))</f>
        <v/>
      </c>
      <c r="G136" s="53" t="str">
        <f>IF($A136="","",SUMIFS('Equipment Index'!$F$2:$F$1513,'Equipment Index'!$G$2:$G$1513,$A136,'Equipment Index'!$A$2:$A$1513,"Training Room"))</f>
        <v/>
      </c>
      <c r="H136" s="54" t="str">
        <f>IF($A136="","",SUMIFS('Equipment Index'!$F$2:$F$1513,'Equipment Index'!$G$2:$G$1513,$A136,'Equipment Index'!$A$2:$A$1513,"Out of State"))</f>
        <v/>
      </c>
      <c r="I136" s="53" t="str">
        <f>IF($A136="","",SUMIFS('Equipment Index'!$F$2:$F$1513,'Equipment Index'!$G$2:$G$1513,$A136,'Equipment Index'!$A$2:$A$1513,"San Antonio"))</f>
        <v/>
      </c>
      <c r="J136" s="53" t="str">
        <f>IF($A136="","",SUMIFS('Equipment Index'!$F$2:$F$1513,'Equipment Index'!$G$2:$G$1513,$A136,'Equipment Index'!$A$2:$A$1513,"Dallas"))</f>
        <v/>
      </c>
      <c r="K136" s="55" t="str">
        <f t="shared" ref="K136:K157" si="4">IF($A136="","",SUM($B136:$J136))</f>
        <v/>
      </c>
      <c r="L136" s="56" t="str">
        <f>IF($A136="","",SUMIFS('Equipment Index'!$F$2:$F$1513,'Equipment Index'!$G$2:$G$1513,$A136,'Equipment Index'!$C$2:$C$1513,"DISP"))</f>
        <v/>
      </c>
      <c r="M136" s="57" t="str">
        <f>IF($A136="","",SUMIFS('Equipment Index'!$F$2:$F$1513,'Equipment Index'!$G$2:$G$1513,$A136,'Equipment Index'!$C$2:$C$1513,"MOD"))</f>
        <v/>
      </c>
      <c r="N136" s="58" t="str">
        <f>IF($A136="","",IF(COUNTIFS('Equipment Index'!$G$2:$G$1513,$A136,'Equipment Index'!$H$2:$H$1513,"?*")=0,"","Customer-owned — "&amp;COUNTIFS('Equipment Index'!$G$2:$G$1513,$A136,'Equipment Index'!$H$2:$H$1513,"?*")&amp;" unit(s): "&amp;IFERROR(INDEX('Equipment Index'!$H$2:$H$1513,SUMPRODUCT(MATCH(1,('Equipment Index'!$G$2:$G$1513=$A136)*('Equipment Index'!$H$2:$H$1513&lt;&gt;""),0))),"")&amp;IF(COUNTIFS('Equipment Index'!$G$2:$G$1513,$A136,'Equipment Index'!$H$2:$H$1513,"?*")&gt;1," + see table below","")))</f>
        <v/>
      </c>
    </row>
    <row r="137" spans="1:14" ht="15" customHeight="1" x14ac:dyDescent="0.25">
      <c r="A137" s="52" t="str">
        <f>IFERROR(INDEX('Equipment Index'!$G$2:$G$1513,MATCH(ROW()-7,'Equipment Index'!$J$2:$J$1513,0)),"")</f>
        <v/>
      </c>
      <c r="B137" s="53" t="str">
        <f>IF($A137="","",SUMIFS('Equipment Index'!$F$2:$F$1513,'Equipment Index'!$G$2:$G$1513,$A137,'Equipment Index'!$A$2:$A$1513,"Barn - Back Rack"))</f>
        <v/>
      </c>
      <c r="C137" s="53" t="str">
        <f>IF($A137="","",SUMIFS('Equipment Index'!$F$2:$F$1513,'Equipment Index'!$G$2:$G$1513,$A137,'Equipment Index'!$A$2:$A$1513,"Barn - Front Rack"))</f>
        <v/>
      </c>
      <c r="D137" s="53" t="str">
        <f>IF($A137="","",SUMIFS('Equipment Index'!$F$2:$F$1513,'Equipment Index'!$G$2:$G$1513,$A137,'Equipment Index'!$A$2:$A$1513,"Front Lobby"))</f>
        <v/>
      </c>
      <c r="E137" s="53" t="str">
        <f>IF($A137="","",SUMIFS('Equipment Index'!$F$2:$F$1513,'Equipment Index'!$G$2:$G$1513,$A137,'Equipment Index'!$A$2:$A$1513,"Service Room"))</f>
        <v/>
      </c>
      <c r="F137" s="53" t="str">
        <f>IF($A137="","",SUMIFS('Equipment Index'!$F$2:$F$1513,'Equipment Index'!$G$2:$G$1513,$A137,'Equipment Index'!$A$2:$A$1513,"Production"))</f>
        <v/>
      </c>
      <c r="G137" s="53" t="str">
        <f>IF($A137="","",SUMIFS('Equipment Index'!$F$2:$F$1513,'Equipment Index'!$G$2:$G$1513,$A137,'Equipment Index'!$A$2:$A$1513,"Training Room"))</f>
        <v/>
      </c>
      <c r="H137" s="54" t="str">
        <f>IF($A137="","",SUMIFS('Equipment Index'!$F$2:$F$1513,'Equipment Index'!$G$2:$G$1513,$A137,'Equipment Index'!$A$2:$A$1513,"Out of State"))</f>
        <v/>
      </c>
      <c r="I137" s="53" t="str">
        <f>IF($A137="","",SUMIFS('Equipment Index'!$F$2:$F$1513,'Equipment Index'!$G$2:$G$1513,$A137,'Equipment Index'!$A$2:$A$1513,"San Antonio"))</f>
        <v/>
      </c>
      <c r="J137" s="53" t="str">
        <f>IF($A137="","",SUMIFS('Equipment Index'!$F$2:$F$1513,'Equipment Index'!$G$2:$G$1513,$A137,'Equipment Index'!$A$2:$A$1513,"Dallas"))</f>
        <v/>
      </c>
      <c r="K137" s="55" t="str">
        <f t="shared" si="4"/>
        <v/>
      </c>
      <c r="L137" s="56" t="str">
        <f>IF($A137="","",SUMIFS('Equipment Index'!$F$2:$F$1513,'Equipment Index'!$G$2:$G$1513,$A137,'Equipment Index'!$C$2:$C$1513,"DISP"))</f>
        <v/>
      </c>
      <c r="M137" s="57" t="str">
        <f>IF($A137="","",SUMIFS('Equipment Index'!$F$2:$F$1513,'Equipment Index'!$G$2:$G$1513,$A137,'Equipment Index'!$C$2:$C$1513,"MOD"))</f>
        <v/>
      </c>
      <c r="N137" s="58" t="str">
        <f>IF($A137="","",IF(COUNTIFS('Equipment Index'!$G$2:$G$1513,$A137,'Equipment Index'!$H$2:$H$1513,"?*")=0,"","Customer-owned — "&amp;COUNTIFS('Equipment Index'!$G$2:$G$1513,$A137,'Equipment Index'!$H$2:$H$1513,"?*")&amp;" unit(s): "&amp;IFERROR(INDEX('Equipment Index'!$H$2:$H$1513,SUMPRODUCT(MATCH(1,('Equipment Index'!$G$2:$G$1513=$A137)*('Equipment Index'!$H$2:$H$1513&lt;&gt;""),0))),"")&amp;IF(COUNTIFS('Equipment Index'!$G$2:$G$1513,$A137,'Equipment Index'!$H$2:$H$1513,"?*")&gt;1," + see table below","")))</f>
        <v/>
      </c>
    </row>
    <row r="138" spans="1:14" ht="15" customHeight="1" x14ac:dyDescent="0.25">
      <c r="A138" s="52" t="str">
        <f>IFERROR(INDEX('Equipment Index'!$G$2:$G$1513,MATCH(ROW()-7,'Equipment Index'!$J$2:$J$1513,0)),"")</f>
        <v/>
      </c>
      <c r="B138" s="53" t="str">
        <f>IF($A138="","",SUMIFS('Equipment Index'!$F$2:$F$1513,'Equipment Index'!$G$2:$G$1513,$A138,'Equipment Index'!$A$2:$A$1513,"Barn - Back Rack"))</f>
        <v/>
      </c>
      <c r="C138" s="53" t="str">
        <f>IF($A138="","",SUMIFS('Equipment Index'!$F$2:$F$1513,'Equipment Index'!$G$2:$G$1513,$A138,'Equipment Index'!$A$2:$A$1513,"Barn - Front Rack"))</f>
        <v/>
      </c>
      <c r="D138" s="53" t="str">
        <f>IF($A138="","",SUMIFS('Equipment Index'!$F$2:$F$1513,'Equipment Index'!$G$2:$G$1513,$A138,'Equipment Index'!$A$2:$A$1513,"Front Lobby"))</f>
        <v/>
      </c>
      <c r="E138" s="53" t="str">
        <f>IF($A138="","",SUMIFS('Equipment Index'!$F$2:$F$1513,'Equipment Index'!$G$2:$G$1513,$A138,'Equipment Index'!$A$2:$A$1513,"Service Room"))</f>
        <v/>
      </c>
      <c r="F138" s="53" t="str">
        <f>IF($A138="","",SUMIFS('Equipment Index'!$F$2:$F$1513,'Equipment Index'!$G$2:$G$1513,$A138,'Equipment Index'!$A$2:$A$1513,"Production"))</f>
        <v/>
      </c>
      <c r="G138" s="53" t="str">
        <f>IF($A138="","",SUMIFS('Equipment Index'!$F$2:$F$1513,'Equipment Index'!$G$2:$G$1513,$A138,'Equipment Index'!$A$2:$A$1513,"Training Room"))</f>
        <v/>
      </c>
      <c r="H138" s="54" t="str">
        <f>IF($A138="","",SUMIFS('Equipment Index'!$F$2:$F$1513,'Equipment Index'!$G$2:$G$1513,$A138,'Equipment Index'!$A$2:$A$1513,"Out of State"))</f>
        <v/>
      </c>
      <c r="I138" s="53" t="str">
        <f>IF($A138="","",SUMIFS('Equipment Index'!$F$2:$F$1513,'Equipment Index'!$G$2:$G$1513,$A138,'Equipment Index'!$A$2:$A$1513,"San Antonio"))</f>
        <v/>
      </c>
      <c r="J138" s="53" t="str">
        <f>IF($A138="","",SUMIFS('Equipment Index'!$F$2:$F$1513,'Equipment Index'!$G$2:$G$1513,$A138,'Equipment Index'!$A$2:$A$1513,"Dallas"))</f>
        <v/>
      </c>
      <c r="K138" s="55" t="str">
        <f t="shared" si="4"/>
        <v/>
      </c>
      <c r="L138" s="56" t="str">
        <f>IF($A138="","",SUMIFS('Equipment Index'!$F$2:$F$1513,'Equipment Index'!$G$2:$G$1513,$A138,'Equipment Index'!$C$2:$C$1513,"DISP"))</f>
        <v/>
      </c>
      <c r="M138" s="57" t="str">
        <f>IF($A138="","",SUMIFS('Equipment Index'!$F$2:$F$1513,'Equipment Index'!$G$2:$G$1513,$A138,'Equipment Index'!$C$2:$C$1513,"MOD"))</f>
        <v/>
      </c>
      <c r="N138" s="58" t="str">
        <f>IF($A138="","",IF(COUNTIFS('Equipment Index'!$G$2:$G$1513,$A138,'Equipment Index'!$H$2:$H$1513,"?*")=0,"","Customer-owned — "&amp;COUNTIFS('Equipment Index'!$G$2:$G$1513,$A138,'Equipment Index'!$H$2:$H$1513,"?*")&amp;" unit(s): "&amp;IFERROR(INDEX('Equipment Index'!$H$2:$H$1513,SUMPRODUCT(MATCH(1,('Equipment Index'!$G$2:$G$1513=$A138)*('Equipment Index'!$H$2:$H$1513&lt;&gt;""),0))),"")&amp;IF(COUNTIFS('Equipment Index'!$G$2:$G$1513,$A138,'Equipment Index'!$H$2:$H$1513,"?*")&gt;1," + see table below","")))</f>
        <v/>
      </c>
    </row>
    <row r="139" spans="1:14" ht="15" customHeight="1" x14ac:dyDescent="0.25">
      <c r="A139" s="52" t="str">
        <f>IFERROR(INDEX('Equipment Index'!$G$2:$G$1513,MATCH(ROW()-7,'Equipment Index'!$J$2:$J$1513,0)),"")</f>
        <v/>
      </c>
      <c r="B139" s="53" t="str">
        <f>IF($A139="","",SUMIFS('Equipment Index'!$F$2:$F$1513,'Equipment Index'!$G$2:$G$1513,$A139,'Equipment Index'!$A$2:$A$1513,"Barn - Back Rack"))</f>
        <v/>
      </c>
      <c r="C139" s="53" t="str">
        <f>IF($A139="","",SUMIFS('Equipment Index'!$F$2:$F$1513,'Equipment Index'!$G$2:$G$1513,$A139,'Equipment Index'!$A$2:$A$1513,"Barn - Front Rack"))</f>
        <v/>
      </c>
      <c r="D139" s="53" t="str">
        <f>IF($A139="","",SUMIFS('Equipment Index'!$F$2:$F$1513,'Equipment Index'!$G$2:$G$1513,$A139,'Equipment Index'!$A$2:$A$1513,"Front Lobby"))</f>
        <v/>
      </c>
      <c r="E139" s="53" t="str">
        <f>IF($A139="","",SUMIFS('Equipment Index'!$F$2:$F$1513,'Equipment Index'!$G$2:$G$1513,$A139,'Equipment Index'!$A$2:$A$1513,"Service Room"))</f>
        <v/>
      </c>
      <c r="F139" s="53" t="str">
        <f>IF($A139="","",SUMIFS('Equipment Index'!$F$2:$F$1513,'Equipment Index'!$G$2:$G$1513,$A139,'Equipment Index'!$A$2:$A$1513,"Production"))</f>
        <v/>
      </c>
      <c r="G139" s="53" t="str">
        <f>IF($A139="","",SUMIFS('Equipment Index'!$F$2:$F$1513,'Equipment Index'!$G$2:$G$1513,$A139,'Equipment Index'!$A$2:$A$1513,"Training Room"))</f>
        <v/>
      </c>
      <c r="H139" s="54" t="str">
        <f>IF($A139="","",SUMIFS('Equipment Index'!$F$2:$F$1513,'Equipment Index'!$G$2:$G$1513,$A139,'Equipment Index'!$A$2:$A$1513,"Out of State"))</f>
        <v/>
      </c>
      <c r="I139" s="53" t="str">
        <f>IF($A139="","",SUMIFS('Equipment Index'!$F$2:$F$1513,'Equipment Index'!$G$2:$G$1513,$A139,'Equipment Index'!$A$2:$A$1513,"San Antonio"))</f>
        <v/>
      </c>
      <c r="J139" s="53" t="str">
        <f>IF($A139="","",SUMIFS('Equipment Index'!$F$2:$F$1513,'Equipment Index'!$G$2:$G$1513,$A139,'Equipment Index'!$A$2:$A$1513,"Dallas"))</f>
        <v/>
      </c>
      <c r="K139" s="55" t="str">
        <f t="shared" si="4"/>
        <v/>
      </c>
      <c r="L139" s="56" t="str">
        <f>IF($A139="","",SUMIFS('Equipment Index'!$F$2:$F$1513,'Equipment Index'!$G$2:$G$1513,$A139,'Equipment Index'!$C$2:$C$1513,"DISP"))</f>
        <v/>
      </c>
      <c r="M139" s="57" t="str">
        <f>IF($A139="","",SUMIFS('Equipment Index'!$F$2:$F$1513,'Equipment Index'!$G$2:$G$1513,$A139,'Equipment Index'!$C$2:$C$1513,"MOD"))</f>
        <v/>
      </c>
      <c r="N139" s="58" t="str">
        <f>IF($A139="","",IF(COUNTIFS('Equipment Index'!$G$2:$G$1513,$A139,'Equipment Index'!$H$2:$H$1513,"?*")=0,"","Customer-owned — "&amp;COUNTIFS('Equipment Index'!$G$2:$G$1513,$A139,'Equipment Index'!$H$2:$H$1513,"?*")&amp;" unit(s): "&amp;IFERROR(INDEX('Equipment Index'!$H$2:$H$1513,SUMPRODUCT(MATCH(1,('Equipment Index'!$G$2:$G$1513=$A139)*('Equipment Index'!$H$2:$H$1513&lt;&gt;""),0))),"")&amp;IF(COUNTIFS('Equipment Index'!$G$2:$G$1513,$A139,'Equipment Index'!$H$2:$H$1513,"?*")&gt;1," + see table below","")))</f>
        <v/>
      </c>
    </row>
    <row r="140" spans="1:14" ht="15" customHeight="1" x14ac:dyDescent="0.25">
      <c r="A140" s="52" t="str">
        <f>IFERROR(INDEX('Equipment Index'!$G$2:$G$1513,MATCH(ROW()-7,'Equipment Index'!$J$2:$J$1513,0)),"")</f>
        <v/>
      </c>
      <c r="B140" s="53" t="str">
        <f>IF($A140="","",SUMIFS('Equipment Index'!$F$2:$F$1513,'Equipment Index'!$G$2:$G$1513,$A140,'Equipment Index'!$A$2:$A$1513,"Barn - Back Rack"))</f>
        <v/>
      </c>
      <c r="C140" s="53" t="str">
        <f>IF($A140="","",SUMIFS('Equipment Index'!$F$2:$F$1513,'Equipment Index'!$G$2:$G$1513,$A140,'Equipment Index'!$A$2:$A$1513,"Barn - Front Rack"))</f>
        <v/>
      </c>
      <c r="D140" s="53" t="str">
        <f>IF($A140="","",SUMIFS('Equipment Index'!$F$2:$F$1513,'Equipment Index'!$G$2:$G$1513,$A140,'Equipment Index'!$A$2:$A$1513,"Front Lobby"))</f>
        <v/>
      </c>
      <c r="E140" s="53" t="str">
        <f>IF($A140="","",SUMIFS('Equipment Index'!$F$2:$F$1513,'Equipment Index'!$G$2:$G$1513,$A140,'Equipment Index'!$A$2:$A$1513,"Service Room"))</f>
        <v/>
      </c>
      <c r="F140" s="53" t="str">
        <f>IF($A140="","",SUMIFS('Equipment Index'!$F$2:$F$1513,'Equipment Index'!$G$2:$G$1513,$A140,'Equipment Index'!$A$2:$A$1513,"Production"))</f>
        <v/>
      </c>
      <c r="G140" s="53" t="str">
        <f>IF($A140="","",SUMIFS('Equipment Index'!$F$2:$F$1513,'Equipment Index'!$G$2:$G$1513,$A140,'Equipment Index'!$A$2:$A$1513,"Training Room"))</f>
        <v/>
      </c>
      <c r="H140" s="54" t="str">
        <f>IF($A140="","",SUMIFS('Equipment Index'!$F$2:$F$1513,'Equipment Index'!$G$2:$G$1513,$A140,'Equipment Index'!$A$2:$A$1513,"Out of State"))</f>
        <v/>
      </c>
      <c r="I140" s="53" t="str">
        <f>IF($A140="","",SUMIFS('Equipment Index'!$F$2:$F$1513,'Equipment Index'!$G$2:$G$1513,$A140,'Equipment Index'!$A$2:$A$1513,"San Antonio"))</f>
        <v/>
      </c>
      <c r="J140" s="53" t="str">
        <f>IF($A140="","",SUMIFS('Equipment Index'!$F$2:$F$1513,'Equipment Index'!$G$2:$G$1513,$A140,'Equipment Index'!$A$2:$A$1513,"Dallas"))</f>
        <v/>
      </c>
      <c r="K140" s="55" t="str">
        <f t="shared" si="4"/>
        <v/>
      </c>
      <c r="L140" s="56" t="str">
        <f>IF($A140="","",SUMIFS('Equipment Index'!$F$2:$F$1513,'Equipment Index'!$G$2:$G$1513,$A140,'Equipment Index'!$C$2:$C$1513,"DISP"))</f>
        <v/>
      </c>
      <c r="M140" s="57" t="str">
        <f>IF($A140="","",SUMIFS('Equipment Index'!$F$2:$F$1513,'Equipment Index'!$G$2:$G$1513,$A140,'Equipment Index'!$C$2:$C$1513,"MOD"))</f>
        <v/>
      </c>
      <c r="N140" s="58" t="str">
        <f>IF($A140="","",IF(COUNTIFS('Equipment Index'!$G$2:$G$1513,$A140,'Equipment Index'!$H$2:$H$1513,"?*")=0,"","Customer-owned — "&amp;COUNTIFS('Equipment Index'!$G$2:$G$1513,$A140,'Equipment Index'!$H$2:$H$1513,"?*")&amp;" unit(s): "&amp;IFERROR(INDEX('Equipment Index'!$H$2:$H$1513,SUMPRODUCT(MATCH(1,('Equipment Index'!$G$2:$G$1513=$A140)*('Equipment Index'!$H$2:$H$1513&lt;&gt;""),0))),"")&amp;IF(COUNTIFS('Equipment Index'!$G$2:$G$1513,$A140,'Equipment Index'!$H$2:$H$1513,"?*")&gt;1," + see table below","")))</f>
        <v/>
      </c>
    </row>
    <row r="141" spans="1:14" ht="15" customHeight="1" x14ac:dyDescent="0.25">
      <c r="A141" s="52" t="str">
        <f>IFERROR(INDEX('Equipment Index'!$G$2:$G$1513,MATCH(ROW()-7,'Equipment Index'!$J$2:$J$1513,0)),"")</f>
        <v/>
      </c>
      <c r="B141" s="53" t="str">
        <f>IF($A141="","",SUMIFS('Equipment Index'!$F$2:$F$1513,'Equipment Index'!$G$2:$G$1513,$A141,'Equipment Index'!$A$2:$A$1513,"Barn - Back Rack"))</f>
        <v/>
      </c>
      <c r="C141" s="53" t="str">
        <f>IF($A141="","",SUMIFS('Equipment Index'!$F$2:$F$1513,'Equipment Index'!$G$2:$G$1513,$A141,'Equipment Index'!$A$2:$A$1513,"Barn - Front Rack"))</f>
        <v/>
      </c>
      <c r="D141" s="53" t="str">
        <f>IF($A141="","",SUMIFS('Equipment Index'!$F$2:$F$1513,'Equipment Index'!$G$2:$G$1513,$A141,'Equipment Index'!$A$2:$A$1513,"Front Lobby"))</f>
        <v/>
      </c>
      <c r="E141" s="53" t="str">
        <f>IF($A141="","",SUMIFS('Equipment Index'!$F$2:$F$1513,'Equipment Index'!$G$2:$G$1513,$A141,'Equipment Index'!$A$2:$A$1513,"Service Room"))</f>
        <v/>
      </c>
      <c r="F141" s="53" t="str">
        <f>IF($A141="","",SUMIFS('Equipment Index'!$F$2:$F$1513,'Equipment Index'!$G$2:$G$1513,$A141,'Equipment Index'!$A$2:$A$1513,"Production"))</f>
        <v/>
      </c>
      <c r="G141" s="53" t="str">
        <f>IF($A141="","",SUMIFS('Equipment Index'!$F$2:$F$1513,'Equipment Index'!$G$2:$G$1513,$A141,'Equipment Index'!$A$2:$A$1513,"Training Room"))</f>
        <v/>
      </c>
      <c r="H141" s="54" t="str">
        <f>IF($A141="","",SUMIFS('Equipment Index'!$F$2:$F$1513,'Equipment Index'!$G$2:$G$1513,$A141,'Equipment Index'!$A$2:$A$1513,"Out of State"))</f>
        <v/>
      </c>
      <c r="I141" s="53" t="str">
        <f>IF($A141="","",SUMIFS('Equipment Index'!$F$2:$F$1513,'Equipment Index'!$G$2:$G$1513,$A141,'Equipment Index'!$A$2:$A$1513,"San Antonio"))</f>
        <v/>
      </c>
      <c r="J141" s="53" t="str">
        <f>IF($A141="","",SUMIFS('Equipment Index'!$F$2:$F$1513,'Equipment Index'!$G$2:$G$1513,$A141,'Equipment Index'!$A$2:$A$1513,"Dallas"))</f>
        <v/>
      </c>
      <c r="K141" s="55" t="str">
        <f t="shared" si="4"/>
        <v/>
      </c>
      <c r="L141" s="56" t="str">
        <f>IF($A141="","",SUMIFS('Equipment Index'!$F$2:$F$1513,'Equipment Index'!$G$2:$G$1513,$A141,'Equipment Index'!$C$2:$C$1513,"DISP"))</f>
        <v/>
      </c>
      <c r="M141" s="57" t="str">
        <f>IF($A141="","",SUMIFS('Equipment Index'!$F$2:$F$1513,'Equipment Index'!$G$2:$G$1513,$A141,'Equipment Index'!$C$2:$C$1513,"MOD"))</f>
        <v/>
      </c>
      <c r="N141" s="58" t="str">
        <f>IF($A141="","",IF(COUNTIFS('Equipment Index'!$G$2:$G$1513,$A141,'Equipment Index'!$H$2:$H$1513,"?*")=0,"","Customer-owned — "&amp;COUNTIFS('Equipment Index'!$G$2:$G$1513,$A141,'Equipment Index'!$H$2:$H$1513,"?*")&amp;" unit(s): "&amp;IFERROR(INDEX('Equipment Index'!$H$2:$H$1513,SUMPRODUCT(MATCH(1,('Equipment Index'!$G$2:$G$1513=$A141)*('Equipment Index'!$H$2:$H$1513&lt;&gt;""),0))),"")&amp;IF(COUNTIFS('Equipment Index'!$G$2:$G$1513,$A141,'Equipment Index'!$H$2:$H$1513,"?*")&gt;1," + see table below","")))</f>
        <v/>
      </c>
    </row>
    <row r="142" spans="1:14" ht="15" customHeight="1" x14ac:dyDescent="0.25">
      <c r="A142" s="52" t="str">
        <f>IFERROR(INDEX('Equipment Index'!$G$2:$G$1513,MATCH(ROW()-7,'Equipment Index'!$J$2:$J$1513,0)),"")</f>
        <v/>
      </c>
      <c r="B142" s="53" t="str">
        <f>IF($A142="","",SUMIFS('Equipment Index'!$F$2:$F$1513,'Equipment Index'!$G$2:$G$1513,$A142,'Equipment Index'!$A$2:$A$1513,"Barn - Back Rack"))</f>
        <v/>
      </c>
      <c r="C142" s="53" t="str">
        <f>IF($A142="","",SUMIFS('Equipment Index'!$F$2:$F$1513,'Equipment Index'!$G$2:$G$1513,$A142,'Equipment Index'!$A$2:$A$1513,"Barn - Front Rack"))</f>
        <v/>
      </c>
      <c r="D142" s="53" t="str">
        <f>IF($A142="","",SUMIFS('Equipment Index'!$F$2:$F$1513,'Equipment Index'!$G$2:$G$1513,$A142,'Equipment Index'!$A$2:$A$1513,"Front Lobby"))</f>
        <v/>
      </c>
      <c r="E142" s="53" t="str">
        <f>IF($A142="","",SUMIFS('Equipment Index'!$F$2:$F$1513,'Equipment Index'!$G$2:$G$1513,$A142,'Equipment Index'!$A$2:$A$1513,"Service Room"))</f>
        <v/>
      </c>
      <c r="F142" s="53" t="str">
        <f>IF($A142="","",SUMIFS('Equipment Index'!$F$2:$F$1513,'Equipment Index'!$G$2:$G$1513,$A142,'Equipment Index'!$A$2:$A$1513,"Production"))</f>
        <v/>
      </c>
      <c r="G142" s="53" t="str">
        <f>IF($A142="","",SUMIFS('Equipment Index'!$F$2:$F$1513,'Equipment Index'!$G$2:$G$1513,$A142,'Equipment Index'!$A$2:$A$1513,"Training Room"))</f>
        <v/>
      </c>
      <c r="H142" s="54" t="str">
        <f>IF($A142="","",SUMIFS('Equipment Index'!$F$2:$F$1513,'Equipment Index'!$G$2:$G$1513,$A142,'Equipment Index'!$A$2:$A$1513,"Out of State"))</f>
        <v/>
      </c>
      <c r="I142" s="53" t="str">
        <f>IF($A142="","",SUMIFS('Equipment Index'!$F$2:$F$1513,'Equipment Index'!$G$2:$G$1513,$A142,'Equipment Index'!$A$2:$A$1513,"San Antonio"))</f>
        <v/>
      </c>
      <c r="J142" s="53" t="str">
        <f>IF($A142="","",SUMIFS('Equipment Index'!$F$2:$F$1513,'Equipment Index'!$G$2:$G$1513,$A142,'Equipment Index'!$A$2:$A$1513,"Dallas"))</f>
        <v/>
      </c>
      <c r="K142" s="55" t="str">
        <f t="shared" si="4"/>
        <v/>
      </c>
      <c r="L142" s="56" t="str">
        <f>IF($A142="","",SUMIFS('Equipment Index'!$F$2:$F$1513,'Equipment Index'!$G$2:$G$1513,$A142,'Equipment Index'!$C$2:$C$1513,"DISP"))</f>
        <v/>
      </c>
      <c r="M142" s="57" t="str">
        <f>IF($A142="","",SUMIFS('Equipment Index'!$F$2:$F$1513,'Equipment Index'!$G$2:$G$1513,$A142,'Equipment Index'!$C$2:$C$1513,"MOD"))</f>
        <v/>
      </c>
      <c r="N142" s="58" t="str">
        <f>IF($A142="","",IF(COUNTIFS('Equipment Index'!$G$2:$G$1513,$A142,'Equipment Index'!$H$2:$H$1513,"?*")=0,"","Customer-owned — "&amp;COUNTIFS('Equipment Index'!$G$2:$G$1513,$A142,'Equipment Index'!$H$2:$H$1513,"?*")&amp;" unit(s): "&amp;IFERROR(INDEX('Equipment Index'!$H$2:$H$1513,SUMPRODUCT(MATCH(1,('Equipment Index'!$G$2:$G$1513=$A142)*('Equipment Index'!$H$2:$H$1513&lt;&gt;""),0))),"")&amp;IF(COUNTIFS('Equipment Index'!$G$2:$G$1513,$A142,'Equipment Index'!$H$2:$H$1513,"?*")&gt;1," + see table below","")))</f>
        <v/>
      </c>
    </row>
    <row r="143" spans="1:14" ht="15" customHeight="1" x14ac:dyDescent="0.25">
      <c r="A143" s="52" t="str">
        <f>IFERROR(INDEX('Equipment Index'!$G$2:$G$1513,MATCH(ROW()-7,'Equipment Index'!$J$2:$J$1513,0)),"")</f>
        <v/>
      </c>
      <c r="B143" s="53" t="str">
        <f>IF($A143="","",SUMIFS('Equipment Index'!$F$2:$F$1513,'Equipment Index'!$G$2:$G$1513,$A143,'Equipment Index'!$A$2:$A$1513,"Barn - Back Rack"))</f>
        <v/>
      </c>
      <c r="C143" s="53" t="str">
        <f>IF($A143="","",SUMIFS('Equipment Index'!$F$2:$F$1513,'Equipment Index'!$G$2:$G$1513,$A143,'Equipment Index'!$A$2:$A$1513,"Barn - Front Rack"))</f>
        <v/>
      </c>
      <c r="D143" s="53" t="str">
        <f>IF($A143="","",SUMIFS('Equipment Index'!$F$2:$F$1513,'Equipment Index'!$G$2:$G$1513,$A143,'Equipment Index'!$A$2:$A$1513,"Front Lobby"))</f>
        <v/>
      </c>
      <c r="E143" s="53" t="str">
        <f>IF($A143="","",SUMIFS('Equipment Index'!$F$2:$F$1513,'Equipment Index'!$G$2:$G$1513,$A143,'Equipment Index'!$A$2:$A$1513,"Service Room"))</f>
        <v/>
      </c>
      <c r="F143" s="53" t="str">
        <f>IF($A143="","",SUMIFS('Equipment Index'!$F$2:$F$1513,'Equipment Index'!$G$2:$G$1513,$A143,'Equipment Index'!$A$2:$A$1513,"Production"))</f>
        <v/>
      </c>
      <c r="G143" s="53" t="str">
        <f>IF($A143="","",SUMIFS('Equipment Index'!$F$2:$F$1513,'Equipment Index'!$G$2:$G$1513,$A143,'Equipment Index'!$A$2:$A$1513,"Training Room"))</f>
        <v/>
      </c>
      <c r="H143" s="54" t="str">
        <f>IF($A143="","",SUMIFS('Equipment Index'!$F$2:$F$1513,'Equipment Index'!$G$2:$G$1513,$A143,'Equipment Index'!$A$2:$A$1513,"Out of State"))</f>
        <v/>
      </c>
      <c r="I143" s="53" t="str">
        <f>IF($A143="","",SUMIFS('Equipment Index'!$F$2:$F$1513,'Equipment Index'!$G$2:$G$1513,$A143,'Equipment Index'!$A$2:$A$1513,"San Antonio"))</f>
        <v/>
      </c>
      <c r="J143" s="53" t="str">
        <f>IF($A143="","",SUMIFS('Equipment Index'!$F$2:$F$1513,'Equipment Index'!$G$2:$G$1513,$A143,'Equipment Index'!$A$2:$A$1513,"Dallas"))</f>
        <v/>
      </c>
      <c r="K143" s="55" t="str">
        <f t="shared" si="4"/>
        <v/>
      </c>
      <c r="L143" s="56" t="str">
        <f>IF($A143="","",SUMIFS('Equipment Index'!$F$2:$F$1513,'Equipment Index'!$G$2:$G$1513,$A143,'Equipment Index'!$C$2:$C$1513,"DISP"))</f>
        <v/>
      </c>
      <c r="M143" s="57" t="str">
        <f>IF($A143="","",SUMIFS('Equipment Index'!$F$2:$F$1513,'Equipment Index'!$G$2:$G$1513,$A143,'Equipment Index'!$C$2:$C$1513,"MOD"))</f>
        <v/>
      </c>
      <c r="N143" s="58" t="str">
        <f>IF($A143="","",IF(COUNTIFS('Equipment Index'!$G$2:$G$1513,$A143,'Equipment Index'!$H$2:$H$1513,"?*")=0,"","Customer-owned — "&amp;COUNTIFS('Equipment Index'!$G$2:$G$1513,$A143,'Equipment Index'!$H$2:$H$1513,"?*")&amp;" unit(s): "&amp;IFERROR(INDEX('Equipment Index'!$H$2:$H$1513,SUMPRODUCT(MATCH(1,('Equipment Index'!$G$2:$G$1513=$A143)*('Equipment Index'!$H$2:$H$1513&lt;&gt;""),0))),"")&amp;IF(COUNTIFS('Equipment Index'!$G$2:$G$1513,$A143,'Equipment Index'!$H$2:$H$1513,"?*")&gt;1," + see table below","")))</f>
        <v/>
      </c>
    </row>
    <row r="144" spans="1:14" ht="15" customHeight="1" x14ac:dyDescent="0.25">
      <c r="A144" s="52" t="str">
        <f>IFERROR(INDEX('Equipment Index'!$G$2:$G$1513,MATCH(ROW()-7,'Equipment Index'!$J$2:$J$1513,0)),"")</f>
        <v/>
      </c>
      <c r="B144" s="53" t="str">
        <f>IF($A144="","",SUMIFS('Equipment Index'!$F$2:$F$1513,'Equipment Index'!$G$2:$G$1513,$A144,'Equipment Index'!$A$2:$A$1513,"Barn - Back Rack"))</f>
        <v/>
      </c>
      <c r="C144" s="53" t="str">
        <f>IF($A144="","",SUMIFS('Equipment Index'!$F$2:$F$1513,'Equipment Index'!$G$2:$G$1513,$A144,'Equipment Index'!$A$2:$A$1513,"Barn - Front Rack"))</f>
        <v/>
      </c>
      <c r="D144" s="53" t="str">
        <f>IF($A144="","",SUMIFS('Equipment Index'!$F$2:$F$1513,'Equipment Index'!$G$2:$G$1513,$A144,'Equipment Index'!$A$2:$A$1513,"Front Lobby"))</f>
        <v/>
      </c>
      <c r="E144" s="53" t="str">
        <f>IF($A144="","",SUMIFS('Equipment Index'!$F$2:$F$1513,'Equipment Index'!$G$2:$G$1513,$A144,'Equipment Index'!$A$2:$A$1513,"Service Room"))</f>
        <v/>
      </c>
      <c r="F144" s="53" t="str">
        <f>IF($A144="","",SUMIFS('Equipment Index'!$F$2:$F$1513,'Equipment Index'!$G$2:$G$1513,$A144,'Equipment Index'!$A$2:$A$1513,"Production"))</f>
        <v/>
      </c>
      <c r="G144" s="53" t="str">
        <f>IF($A144="","",SUMIFS('Equipment Index'!$F$2:$F$1513,'Equipment Index'!$G$2:$G$1513,$A144,'Equipment Index'!$A$2:$A$1513,"Training Room"))</f>
        <v/>
      </c>
      <c r="H144" s="54" t="str">
        <f>IF($A144="","",SUMIFS('Equipment Index'!$F$2:$F$1513,'Equipment Index'!$G$2:$G$1513,$A144,'Equipment Index'!$A$2:$A$1513,"Out of State"))</f>
        <v/>
      </c>
      <c r="I144" s="53" t="str">
        <f>IF($A144="","",SUMIFS('Equipment Index'!$F$2:$F$1513,'Equipment Index'!$G$2:$G$1513,$A144,'Equipment Index'!$A$2:$A$1513,"San Antonio"))</f>
        <v/>
      </c>
      <c r="J144" s="53" t="str">
        <f>IF($A144="","",SUMIFS('Equipment Index'!$F$2:$F$1513,'Equipment Index'!$G$2:$G$1513,$A144,'Equipment Index'!$A$2:$A$1513,"Dallas"))</f>
        <v/>
      </c>
      <c r="K144" s="55" t="str">
        <f t="shared" si="4"/>
        <v/>
      </c>
      <c r="L144" s="56" t="str">
        <f>IF($A144="","",SUMIFS('Equipment Index'!$F$2:$F$1513,'Equipment Index'!$G$2:$G$1513,$A144,'Equipment Index'!$C$2:$C$1513,"DISP"))</f>
        <v/>
      </c>
      <c r="M144" s="57" t="str">
        <f>IF($A144="","",SUMIFS('Equipment Index'!$F$2:$F$1513,'Equipment Index'!$G$2:$G$1513,$A144,'Equipment Index'!$C$2:$C$1513,"MOD"))</f>
        <v/>
      </c>
      <c r="N144" s="58" t="str">
        <f>IF($A144="","",IF(COUNTIFS('Equipment Index'!$G$2:$G$1513,$A144,'Equipment Index'!$H$2:$H$1513,"?*")=0,"","Customer-owned — "&amp;COUNTIFS('Equipment Index'!$G$2:$G$1513,$A144,'Equipment Index'!$H$2:$H$1513,"?*")&amp;" unit(s): "&amp;IFERROR(INDEX('Equipment Index'!$H$2:$H$1513,SUMPRODUCT(MATCH(1,('Equipment Index'!$G$2:$G$1513=$A144)*('Equipment Index'!$H$2:$H$1513&lt;&gt;""),0))),"")&amp;IF(COUNTIFS('Equipment Index'!$G$2:$G$1513,$A144,'Equipment Index'!$H$2:$H$1513,"?*")&gt;1," + see table below","")))</f>
        <v/>
      </c>
    </row>
    <row r="145" spans="1:14" ht="15" customHeight="1" x14ac:dyDescent="0.25">
      <c r="A145" s="52" t="str">
        <f>IFERROR(INDEX('Equipment Index'!$G$2:$G$1513,MATCH(ROW()-7,'Equipment Index'!$J$2:$J$1513,0)),"")</f>
        <v/>
      </c>
      <c r="B145" s="53" t="str">
        <f>IF($A145="","",SUMIFS('Equipment Index'!$F$2:$F$1513,'Equipment Index'!$G$2:$G$1513,$A145,'Equipment Index'!$A$2:$A$1513,"Barn - Back Rack"))</f>
        <v/>
      </c>
      <c r="C145" s="53" t="str">
        <f>IF($A145="","",SUMIFS('Equipment Index'!$F$2:$F$1513,'Equipment Index'!$G$2:$G$1513,$A145,'Equipment Index'!$A$2:$A$1513,"Barn - Front Rack"))</f>
        <v/>
      </c>
      <c r="D145" s="53" t="str">
        <f>IF($A145="","",SUMIFS('Equipment Index'!$F$2:$F$1513,'Equipment Index'!$G$2:$G$1513,$A145,'Equipment Index'!$A$2:$A$1513,"Front Lobby"))</f>
        <v/>
      </c>
      <c r="E145" s="53" t="str">
        <f>IF($A145="","",SUMIFS('Equipment Index'!$F$2:$F$1513,'Equipment Index'!$G$2:$G$1513,$A145,'Equipment Index'!$A$2:$A$1513,"Service Room"))</f>
        <v/>
      </c>
      <c r="F145" s="53" t="str">
        <f>IF($A145="","",SUMIFS('Equipment Index'!$F$2:$F$1513,'Equipment Index'!$G$2:$G$1513,$A145,'Equipment Index'!$A$2:$A$1513,"Production"))</f>
        <v/>
      </c>
      <c r="G145" s="53" t="str">
        <f>IF($A145="","",SUMIFS('Equipment Index'!$F$2:$F$1513,'Equipment Index'!$G$2:$G$1513,$A145,'Equipment Index'!$A$2:$A$1513,"Training Room"))</f>
        <v/>
      </c>
      <c r="H145" s="54" t="str">
        <f>IF($A145="","",SUMIFS('Equipment Index'!$F$2:$F$1513,'Equipment Index'!$G$2:$G$1513,$A145,'Equipment Index'!$A$2:$A$1513,"Out of State"))</f>
        <v/>
      </c>
      <c r="I145" s="53" t="str">
        <f>IF($A145="","",SUMIFS('Equipment Index'!$F$2:$F$1513,'Equipment Index'!$G$2:$G$1513,$A145,'Equipment Index'!$A$2:$A$1513,"San Antonio"))</f>
        <v/>
      </c>
      <c r="J145" s="53" t="str">
        <f>IF($A145="","",SUMIFS('Equipment Index'!$F$2:$F$1513,'Equipment Index'!$G$2:$G$1513,$A145,'Equipment Index'!$A$2:$A$1513,"Dallas"))</f>
        <v/>
      </c>
      <c r="K145" s="55" t="str">
        <f t="shared" si="4"/>
        <v/>
      </c>
      <c r="L145" s="56" t="str">
        <f>IF($A145="","",SUMIFS('Equipment Index'!$F$2:$F$1513,'Equipment Index'!$G$2:$G$1513,$A145,'Equipment Index'!$C$2:$C$1513,"DISP"))</f>
        <v/>
      </c>
      <c r="M145" s="57" t="str">
        <f>IF($A145="","",SUMIFS('Equipment Index'!$F$2:$F$1513,'Equipment Index'!$G$2:$G$1513,$A145,'Equipment Index'!$C$2:$C$1513,"MOD"))</f>
        <v/>
      </c>
      <c r="N145" s="58" t="str">
        <f>IF($A145="","",IF(COUNTIFS('Equipment Index'!$G$2:$G$1513,$A145,'Equipment Index'!$H$2:$H$1513,"?*")=0,"","Customer-owned — "&amp;COUNTIFS('Equipment Index'!$G$2:$G$1513,$A145,'Equipment Index'!$H$2:$H$1513,"?*")&amp;" unit(s): "&amp;IFERROR(INDEX('Equipment Index'!$H$2:$H$1513,SUMPRODUCT(MATCH(1,('Equipment Index'!$G$2:$G$1513=$A145)*('Equipment Index'!$H$2:$H$1513&lt;&gt;""),0))),"")&amp;IF(COUNTIFS('Equipment Index'!$G$2:$G$1513,$A145,'Equipment Index'!$H$2:$H$1513,"?*")&gt;1," + see table below","")))</f>
        <v/>
      </c>
    </row>
    <row r="146" spans="1:14" ht="15" customHeight="1" x14ac:dyDescent="0.25">
      <c r="A146" s="52" t="str">
        <f>IFERROR(INDEX('Equipment Index'!$G$2:$G$1513,MATCH(ROW()-7,'Equipment Index'!$J$2:$J$1513,0)),"")</f>
        <v/>
      </c>
      <c r="B146" s="53" t="str">
        <f>IF($A146="","",SUMIFS('Equipment Index'!$F$2:$F$1513,'Equipment Index'!$G$2:$G$1513,$A146,'Equipment Index'!$A$2:$A$1513,"Barn - Back Rack"))</f>
        <v/>
      </c>
      <c r="C146" s="53" t="str">
        <f>IF($A146="","",SUMIFS('Equipment Index'!$F$2:$F$1513,'Equipment Index'!$G$2:$G$1513,$A146,'Equipment Index'!$A$2:$A$1513,"Barn - Front Rack"))</f>
        <v/>
      </c>
      <c r="D146" s="53" t="str">
        <f>IF($A146="","",SUMIFS('Equipment Index'!$F$2:$F$1513,'Equipment Index'!$G$2:$G$1513,$A146,'Equipment Index'!$A$2:$A$1513,"Front Lobby"))</f>
        <v/>
      </c>
      <c r="E146" s="53" t="str">
        <f>IF($A146="","",SUMIFS('Equipment Index'!$F$2:$F$1513,'Equipment Index'!$G$2:$G$1513,$A146,'Equipment Index'!$A$2:$A$1513,"Service Room"))</f>
        <v/>
      </c>
      <c r="F146" s="53" t="str">
        <f>IF($A146="","",SUMIFS('Equipment Index'!$F$2:$F$1513,'Equipment Index'!$G$2:$G$1513,$A146,'Equipment Index'!$A$2:$A$1513,"Production"))</f>
        <v/>
      </c>
      <c r="G146" s="53" t="str">
        <f>IF($A146="","",SUMIFS('Equipment Index'!$F$2:$F$1513,'Equipment Index'!$G$2:$G$1513,$A146,'Equipment Index'!$A$2:$A$1513,"Training Room"))</f>
        <v/>
      </c>
      <c r="H146" s="54" t="str">
        <f>IF($A146="","",SUMIFS('Equipment Index'!$F$2:$F$1513,'Equipment Index'!$G$2:$G$1513,$A146,'Equipment Index'!$A$2:$A$1513,"Out of State"))</f>
        <v/>
      </c>
      <c r="I146" s="53" t="str">
        <f>IF($A146="","",SUMIFS('Equipment Index'!$F$2:$F$1513,'Equipment Index'!$G$2:$G$1513,$A146,'Equipment Index'!$A$2:$A$1513,"San Antonio"))</f>
        <v/>
      </c>
      <c r="J146" s="53" t="str">
        <f>IF($A146="","",SUMIFS('Equipment Index'!$F$2:$F$1513,'Equipment Index'!$G$2:$G$1513,$A146,'Equipment Index'!$A$2:$A$1513,"Dallas"))</f>
        <v/>
      </c>
      <c r="K146" s="55" t="str">
        <f t="shared" si="4"/>
        <v/>
      </c>
      <c r="L146" s="56" t="str">
        <f>IF($A146="","",SUMIFS('Equipment Index'!$F$2:$F$1513,'Equipment Index'!$G$2:$G$1513,$A146,'Equipment Index'!$C$2:$C$1513,"DISP"))</f>
        <v/>
      </c>
      <c r="M146" s="57" t="str">
        <f>IF($A146="","",SUMIFS('Equipment Index'!$F$2:$F$1513,'Equipment Index'!$G$2:$G$1513,$A146,'Equipment Index'!$C$2:$C$1513,"MOD"))</f>
        <v/>
      </c>
      <c r="N146" s="58" t="str">
        <f>IF($A146="","",IF(COUNTIFS('Equipment Index'!$G$2:$G$1513,$A146,'Equipment Index'!$H$2:$H$1513,"?*")=0,"","Customer-owned — "&amp;COUNTIFS('Equipment Index'!$G$2:$G$1513,$A146,'Equipment Index'!$H$2:$H$1513,"?*")&amp;" unit(s): "&amp;IFERROR(INDEX('Equipment Index'!$H$2:$H$1513,SUMPRODUCT(MATCH(1,('Equipment Index'!$G$2:$G$1513=$A146)*('Equipment Index'!$H$2:$H$1513&lt;&gt;""),0))),"")&amp;IF(COUNTIFS('Equipment Index'!$G$2:$G$1513,$A146,'Equipment Index'!$H$2:$H$1513,"?*")&gt;1," + see table below","")))</f>
        <v/>
      </c>
    </row>
    <row r="147" spans="1:14" ht="15" customHeight="1" x14ac:dyDescent="0.25">
      <c r="A147" s="52" t="str">
        <f>IFERROR(INDEX('Equipment Index'!$G$2:$G$1513,MATCH(ROW()-7,'Equipment Index'!$J$2:$J$1513,0)),"")</f>
        <v/>
      </c>
      <c r="B147" s="53" t="str">
        <f>IF($A147="","",SUMIFS('Equipment Index'!$F$2:$F$1513,'Equipment Index'!$G$2:$G$1513,$A147,'Equipment Index'!$A$2:$A$1513,"Barn - Back Rack"))</f>
        <v/>
      </c>
      <c r="C147" s="53" t="str">
        <f>IF($A147="","",SUMIFS('Equipment Index'!$F$2:$F$1513,'Equipment Index'!$G$2:$G$1513,$A147,'Equipment Index'!$A$2:$A$1513,"Barn - Front Rack"))</f>
        <v/>
      </c>
      <c r="D147" s="53" t="str">
        <f>IF($A147="","",SUMIFS('Equipment Index'!$F$2:$F$1513,'Equipment Index'!$G$2:$G$1513,$A147,'Equipment Index'!$A$2:$A$1513,"Front Lobby"))</f>
        <v/>
      </c>
      <c r="E147" s="53" t="str">
        <f>IF($A147="","",SUMIFS('Equipment Index'!$F$2:$F$1513,'Equipment Index'!$G$2:$G$1513,$A147,'Equipment Index'!$A$2:$A$1513,"Service Room"))</f>
        <v/>
      </c>
      <c r="F147" s="53" t="str">
        <f>IF($A147="","",SUMIFS('Equipment Index'!$F$2:$F$1513,'Equipment Index'!$G$2:$G$1513,$A147,'Equipment Index'!$A$2:$A$1513,"Production"))</f>
        <v/>
      </c>
      <c r="G147" s="53" t="str">
        <f>IF($A147="","",SUMIFS('Equipment Index'!$F$2:$F$1513,'Equipment Index'!$G$2:$G$1513,$A147,'Equipment Index'!$A$2:$A$1513,"Training Room"))</f>
        <v/>
      </c>
      <c r="H147" s="54" t="str">
        <f>IF($A147="","",SUMIFS('Equipment Index'!$F$2:$F$1513,'Equipment Index'!$G$2:$G$1513,$A147,'Equipment Index'!$A$2:$A$1513,"Out of State"))</f>
        <v/>
      </c>
      <c r="I147" s="53" t="str">
        <f>IF($A147="","",SUMIFS('Equipment Index'!$F$2:$F$1513,'Equipment Index'!$G$2:$G$1513,$A147,'Equipment Index'!$A$2:$A$1513,"San Antonio"))</f>
        <v/>
      </c>
      <c r="J147" s="53" t="str">
        <f>IF($A147="","",SUMIFS('Equipment Index'!$F$2:$F$1513,'Equipment Index'!$G$2:$G$1513,$A147,'Equipment Index'!$A$2:$A$1513,"Dallas"))</f>
        <v/>
      </c>
      <c r="K147" s="55" t="str">
        <f t="shared" si="4"/>
        <v/>
      </c>
      <c r="L147" s="56" t="str">
        <f>IF($A147="","",SUMIFS('Equipment Index'!$F$2:$F$1513,'Equipment Index'!$G$2:$G$1513,$A147,'Equipment Index'!$C$2:$C$1513,"DISP"))</f>
        <v/>
      </c>
      <c r="M147" s="57" t="str">
        <f>IF($A147="","",SUMIFS('Equipment Index'!$F$2:$F$1513,'Equipment Index'!$G$2:$G$1513,$A147,'Equipment Index'!$C$2:$C$1513,"MOD"))</f>
        <v/>
      </c>
      <c r="N147" s="58" t="str">
        <f>IF($A147="","",IF(COUNTIFS('Equipment Index'!$G$2:$G$1513,$A147,'Equipment Index'!$H$2:$H$1513,"?*")=0,"","Customer-owned — "&amp;COUNTIFS('Equipment Index'!$G$2:$G$1513,$A147,'Equipment Index'!$H$2:$H$1513,"?*")&amp;" unit(s): "&amp;IFERROR(INDEX('Equipment Index'!$H$2:$H$1513,SUMPRODUCT(MATCH(1,('Equipment Index'!$G$2:$G$1513=$A147)*('Equipment Index'!$H$2:$H$1513&lt;&gt;""),0))),"")&amp;IF(COUNTIFS('Equipment Index'!$G$2:$G$1513,$A147,'Equipment Index'!$H$2:$H$1513,"?*")&gt;1," + see table below","")))</f>
        <v/>
      </c>
    </row>
    <row r="148" spans="1:14" ht="15" customHeight="1" x14ac:dyDescent="0.25">
      <c r="A148" s="52" t="str">
        <f>IFERROR(INDEX('Equipment Index'!$G$2:$G$1513,MATCH(ROW()-7,'Equipment Index'!$J$2:$J$1513,0)),"")</f>
        <v/>
      </c>
      <c r="B148" s="53" t="str">
        <f>IF($A148="","",SUMIFS('Equipment Index'!$F$2:$F$1513,'Equipment Index'!$G$2:$G$1513,$A148,'Equipment Index'!$A$2:$A$1513,"Barn - Back Rack"))</f>
        <v/>
      </c>
      <c r="C148" s="53" t="str">
        <f>IF($A148="","",SUMIFS('Equipment Index'!$F$2:$F$1513,'Equipment Index'!$G$2:$G$1513,$A148,'Equipment Index'!$A$2:$A$1513,"Barn - Front Rack"))</f>
        <v/>
      </c>
      <c r="D148" s="53" t="str">
        <f>IF($A148="","",SUMIFS('Equipment Index'!$F$2:$F$1513,'Equipment Index'!$G$2:$G$1513,$A148,'Equipment Index'!$A$2:$A$1513,"Front Lobby"))</f>
        <v/>
      </c>
      <c r="E148" s="53" t="str">
        <f>IF($A148="","",SUMIFS('Equipment Index'!$F$2:$F$1513,'Equipment Index'!$G$2:$G$1513,$A148,'Equipment Index'!$A$2:$A$1513,"Service Room"))</f>
        <v/>
      </c>
      <c r="F148" s="53" t="str">
        <f>IF($A148="","",SUMIFS('Equipment Index'!$F$2:$F$1513,'Equipment Index'!$G$2:$G$1513,$A148,'Equipment Index'!$A$2:$A$1513,"Production"))</f>
        <v/>
      </c>
      <c r="G148" s="53" t="str">
        <f>IF($A148="","",SUMIFS('Equipment Index'!$F$2:$F$1513,'Equipment Index'!$G$2:$G$1513,$A148,'Equipment Index'!$A$2:$A$1513,"Training Room"))</f>
        <v/>
      </c>
      <c r="H148" s="54" t="str">
        <f>IF($A148="","",SUMIFS('Equipment Index'!$F$2:$F$1513,'Equipment Index'!$G$2:$G$1513,$A148,'Equipment Index'!$A$2:$A$1513,"Out of State"))</f>
        <v/>
      </c>
      <c r="I148" s="53" t="str">
        <f>IF($A148="","",SUMIFS('Equipment Index'!$F$2:$F$1513,'Equipment Index'!$G$2:$G$1513,$A148,'Equipment Index'!$A$2:$A$1513,"San Antonio"))</f>
        <v/>
      </c>
      <c r="J148" s="53" t="str">
        <f>IF($A148="","",SUMIFS('Equipment Index'!$F$2:$F$1513,'Equipment Index'!$G$2:$G$1513,$A148,'Equipment Index'!$A$2:$A$1513,"Dallas"))</f>
        <v/>
      </c>
      <c r="K148" s="55" t="str">
        <f t="shared" si="4"/>
        <v/>
      </c>
      <c r="L148" s="56" t="str">
        <f>IF($A148="","",SUMIFS('Equipment Index'!$F$2:$F$1513,'Equipment Index'!$G$2:$G$1513,$A148,'Equipment Index'!$C$2:$C$1513,"DISP"))</f>
        <v/>
      </c>
      <c r="M148" s="57" t="str">
        <f>IF($A148="","",SUMIFS('Equipment Index'!$F$2:$F$1513,'Equipment Index'!$G$2:$G$1513,$A148,'Equipment Index'!$C$2:$C$1513,"MOD"))</f>
        <v/>
      </c>
      <c r="N148" s="58" t="str">
        <f>IF($A148="","",IF(COUNTIFS('Equipment Index'!$G$2:$G$1513,$A148,'Equipment Index'!$H$2:$H$1513,"?*")=0,"","Customer-owned — "&amp;COUNTIFS('Equipment Index'!$G$2:$G$1513,$A148,'Equipment Index'!$H$2:$H$1513,"?*")&amp;" unit(s): "&amp;IFERROR(INDEX('Equipment Index'!$H$2:$H$1513,SUMPRODUCT(MATCH(1,('Equipment Index'!$G$2:$G$1513=$A148)*('Equipment Index'!$H$2:$H$1513&lt;&gt;""),0))),"")&amp;IF(COUNTIFS('Equipment Index'!$G$2:$G$1513,$A148,'Equipment Index'!$H$2:$H$1513,"?*")&gt;1," + see table below","")))</f>
        <v/>
      </c>
    </row>
    <row r="149" spans="1:14" ht="15" customHeight="1" x14ac:dyDescent="0.25">
      <c r="A149" s="52" t="str">
        <f>IFERROR(INDEX('Equipment Index'!$G$2:$G$1513,MATCH(ROW()-7,'Equipment Index'!$J$2:$J$1513,0)),"")</f>
        <v/>
      </c>
      <c r="B149" s="53" t="str">
        <f>IF($A149="","",SUMIFS('Equipment Index'!$F$2:$F$1513,'Equipment Index'!$G$2:$G$1513,$A149,'Equipment Index'!$A$2:$A$1513,"Barn - Back Rack"))</f>
        <v/>
      </c>
      <c r="C149" s="53" t="str">
        <f>IF($A149="","",SUMIFS('Equipment Index'!$F$2:$F$1513,'Equipment Index'!$G$2:$G$1513,$A149,'Equipment Index'!$A$2:$A$1513,"Barn - Front Rack"))</f>
        <v/>
      </c>
      <c r="D149" s="53" t="str">
        <f>IF($A149="","",SUMIFS('Equipment Index'!$F$2:$F$1513,'Equipment Index'!$G$2:$G$1513,$A149,'Equipment Index'!$A$2:$A$1513,"Front Lobby"))</f>
        <v/>
      </c>
      <c r="E149" s="53" t="str">
        <f>IF($A149="","",SUMIFS('Equipment Index'!$F$2:$F$1513,'Equipment Index'!$G$2:$G$1513,$A149,'Equipment Index'!$A$2:$A$1513,"Service Room"))</f>
        <v/>
      </c>
      <c r="F149" s="53" t="str">
        <f>IF($A149="","",SUMIFS('Equipment Index'!$F$2:$F$1513,'Equipment Index'!$G$2:$G$1513,$A149,'Equipment Index'!$A$2:$A$1513,"Production"))</f>
        <v/>
      </c>
      <c r="G149" s="53" t="str">
        <f>IF($A149="","",SUMIFS('Equipment Index'!$F$2:$F$1513,'Equipment Index'!$G$2:$G$1513,$A149,'Equipment Index'!$A$2:$A$1513,"Training Room"))</f>
        <v/>
      </c>
      <c r="H149" s="54" t="str">
        <f>IF($A149="","",SUMIFS('Equipment Index'!$F$2:$F$1513,'Equipment Index'!$G$2:$G$1513,$A149,'Equipment Index'!$A$2:$A$1513,"Out of State"))</f>
        <v/>
      </c>
      <c r="I149" s="53" t="str">
        <f>IF($A149="","",SUMIFS('Equipment Index'!$F$2:$F$1513,'Equipment Index'!$G$2:$G$1513,$A149,'Equipment Index'!$A$2:$A$1513,"San Antonio"))</f>
        <v/>
      </c>
      <c r="J149" s="53" t="str">
        <f>IF($A149="","",SUMIFS('Equipment Index'!$F$2:$F$1513,'Equipment Index'!$G$2:$G$1513,$A149,'Equipment Index'!$A$2:$A$1513,"Dallas"))</f>
        <v/>
      </c>
      <c r="K149" s="55" t="str">
        <f t="shared" si="4"/>
        <v/>
      </c>
      <c r="L149" s="56" t="str">
        <f>IF($A149="","",SUMIFS('Equipment Index'!$F$2:$F$1513,'Equipment Index'!$G$2:$G$1513,$A149,'Equipment Index'!$C$2:$C$1513,"DISP"))</f>
        <v/>
      </c>
      <c r="M149" s="57" t="str">
        <f>IF($A149="","",SUMIFS('Equipment Index'!$F$2:$F$1513,'Equipment Index'!$G$2:$G$1513,$A149,'Equipment Index'!$C$2:$C$1513,"MOD"))</f>
        <v/>
      </c>
      <c r="N149" s="58" t="str">
        <f>IF($A149="","",IF(COUNTIFS('Equipment Index'!$G$2:$G$1513,$A149,'Equipment Index'!$H$2:$H$1513,"?*")=0,"","Customer-owned — "&amp;COUNTIFS('Equipment Index'!$G$2:$G$1513,$A149,'Equipment Index'!$H$2:$H$1513,"?*")&amp;" unit(s): "&amp;IFERROR(INDEX('Equipment Index'!$H$2:$H$1513,SUMPRODUCT(MATCH(1,('Equipment Index'!$G$2:$G$1513=$A149)*('Equipment Index'!$H$2:$H$1513&lt;&gt;""),0))),"")&amp;IF(COUNTIFS('Equipment Index'!$G$2:$G$1513,$A149,'Equipment Index'!$H$2:$H$1513,"?*")&gt;1," + see table below","")))</f>
        <v/>
      </c>
    </row>
    <row r="150" spans="1:14" ht="15" customHeight="1" x14ac:dyDescent="0.25">
      <c r="A150" s="52" t="str">
        <f>IFERROR(INDEX('Equipment Index'!$G$2:$G$1513,MATCH(ROW()-7,'Equipment Index'!$J$2:$J$1513,0)),"")</f>
        <v/>
      </c>
      <c r="B150" s="53" t="str">
        <f>IF($A150="","",SUMIFS('Equipment Index'!$F$2:$F$1513,'Equipment Index'!$G$2:$G$1513,$A150,'Equipment Index'!$A$2:$A$1513,"Barn - Back Rack"))</f>
        <v/>
      </c>
      <c r="C150" s="53" t="str">
        <f>IF($A150="","",SUMIFS('Equipment Index'!$F$2:$F$1513,'Equipment Index'!$G$2:$G$1513,$A150,'Equipment Index'!$A$2:$A$1513,"Barn - Front Rack"))</f>
        <v/>
      </c>
      <c r="D150" s="53" t="str">
        <f>IF($A150="","",SUMIFS('Equipment Index'!$F$2:$F$1513,'Equipment Index'!$G$2:$G$1513,$A150,'Equipment Index'!$A$2:$A$1513,"Front Lobby"))</f>
        <v/>
      </c>
      <c r="E150" s="53" t="str">
        <f>IF($A150="","",SUMIFS('Equipment Index'!$F$2:$F$1513,'Equipment Index'!$G$2:$G$1513,$A150,'Equipment Index'!$A$2:$A$1513,"Service Room"))</f>
        <v/>
      </c>
      <c r="F150" s="53" t="str">
        <f>IF($A150="","",SUMIFS('Equipment Index'!$F$2:$F$1513,'Equipment Index'!$G$2:$G$1513,$A150,'Equipment Index'!$A$2:$A$1513,"Production"))</f>
        <v/>
      </c>
      <c r="G150" s="53" t="str">
        <f>IF($A150="","",SUMIFS('Equipment Index'!$F$2:$F$1513,'Equipment Index'!$G$2:$G$1513,$A150,'Equipment Index'!$A$2:$A$1513,"Training Room"))</f>
        <v/>
      </c>
      <c r="H150" s="54" t="str">
        <f>IF($A150="","",SUMIFS('Equipment Index'!$F$2:$F$1513,'Equipment Index'!$G$2:$G$1513,$A150,'Equipment Index'!$A$2:$A$1513,"Out of State"))</f>
        <v/>
      </c>
      <c r="I150" s="53" t="str">
        <f>IF($A150="","",SUMIFS('Equipment Index'!$F$2:$F$1513,'Equipment Index'!$G$2:$G$1513,$A150,'Equipment Index'!$A$2:$A$1513,"San Antonio"))</f>
        <v/>
      </c>
      <c r="J150" s="53" t="str">
        <f>IF($A150="","",SUMIFS('Equipment Index'!$F$2:$F$1513,'Equipment Index'!$G$2:$G$1513,$A150,'Equipment Index'!$A$2:$A$1513,"Dallas"))</f>
        <v/>
      </c>
      <c r="K150" s="55" t="str">
        <f t="shared" si="4"/>
        <v/>
      </c>
      <c r="L150" s="56" t="str">
        <f>IF($A150="","",SUMIFS('Equipment Index'!$F$2:$F$1513,'Equipment Index'!$G$2:$G$1513,$A150,'Equipment Index'!$C$2:$C$1513,"DISP"))</f>
        <v/>
      </c>
      <c r="M150" s="57" t="str">
        <f>IF($A150="","",SUMIFS('Equipment Index'!$F$2:$F$1513,'Equipment Index'!$G$2:$G$1513,$A150,'Equipment Index'!$C$2:$C$1513,"MOD"))</f>
        <v/>
      </c>
      <c r="N150" s="58" t="str">
        <f>IF($A150="","",IF(COUNTIFS('Equipment Index'!$G$2:$G$1513,$A150,'Equipment Index'!$H$2:$H$1513,"?*")=0,"","Customer-owned — "&amp;COUNTIFS('Equipment Index'!$G$2:$G$1513,$A150,'Equipment Index'!$H$2:$H$1513,"?*")&amp;" unit(s): "&amp;IFERROR(INDEX('Equipment Index'!$H$2:$H$1513,SUMPRODUCT(MATCH(1,('Equipment Index'!$G$2:$G$1513=$A150)*('Equipment Index'!$H$2:$H$1513&lt;&gt;""),0))),"")&amp;IF(COUNTIFS('Equipment Index'!$G$2:$G$1513,$A150,'Equipment Index'!$H$2:$H$1513,"?*")&gt;1," + see table below","")))</f>
        <v/>
      </c>
    </row>
    <row r="151" spans="1:14" ht="15" customHeight="1" x14ac:dyDescent="0.25">
      <c r="A151" s="52" t="str">
        <f>IFERROR(INDEX('Equipment Index'!$G$2:$G$1513,MATCH(ROW()-7,'Equipment Index'!$J$2:$J$1513,0)),"")</f>
        <v/>
      </c>
      <c r="B151" s="53" t="str">
        <f>IF($A151="","",SUMIFS('Equipment Index'!$F$2:$F$1513,'Equipment Index'!$G$2:$G$1513,$A151,'Equipment Index'!$A$2:$A$1513,"Barn - Back Rack"))</f>
        <v/>
      </c>
      <c r="C151" s="53" t="str">
        <f>IF($A151="","",SUMIFS('Equipment Index'!$F$2:$F$1513,'Equipment Index'!$G$2:$G$1513,$A151,'Equipment Index'!$A$2:$A$1513,"Barn - Front Rack"))</f>
        <v/>
      </c>
      <c r="D151" s="53" t="str">
        <f>IF($A151="","",SUMIFS('Equipment Index'!$F$2:$F$1513,'Equipment Index'!$G$2:$G$1513,$A151,'Equipment Index'!$A$2:$A$1513,"Front Lobby"))</f>
        <v/>
      </c>
      <c r="E151" s="53" t="str">
        <f>IF($A151="","",SUMIFS('Equipment Index'!$F$2:$F$1513,'Equipment Index'!$G$2:$G$1513,$A151,'Equipment Index'!$A$2:$A$1513,"Service Room"))</f>
        <v/>
      </c>
      <c r="F151" s="53" t="str">
        <f>IF($A151="","",SUMIFS('Equipment Index'!$F$2:$F$1513,'Equipment Index'!$G$2:$G$1513,$A151,'Equipment Index'!$A$2:$A$1513,"Production"))</f>
        <v/>
      </c>
      <c r="G151" s="53" t="str">
        <f>IF($A151="","",SUMIFS('Equipment Index'!$F$2:$F$1513,'Equipment Index'!$G$2:$G$1513,$A151,'Equipment Index'!$A$2:$A$1513,"Training Room"))</f>
        <v/>
      </c>
      <c r="H151" s="54" t="str">
        <f>IF($A151="","",SUMIFS('Equipment Index'!$F$2:$F$1513,'Equipment Index'!$G$2:$G$1513,$A151,'Equipment Index'!$A$2:$A$1513,"Out of State"))</f>
        <v/>
      </c>
      <c r="I151" s="53" t="str">
        <f>IF($A151="","",SUMIFS('Equipment Index'!$F$2:$F$1513,'Equipment Index'!$G$2:$G$1513,$A151,'Equipment Index'!$A$2:$A$1513,"San Antonio"))</f>
        <v/>
      </c>
      <c r="J151" s="53" t="str">
        <f>IF($A151="","",SUMIFS('Equipment Index'!$F$2:$F$1513,'Equipment Index'!$G$2:$G$1513,$A151,'Equipment Index'!$A$2:$A$1513,"Dallas"))</f>
        <v/>
      </c>
      <c r="K151" s="55" t="str">
        <f t="shared" si="4"/>
        <v/>
      </c>
      <c r="L151" s="56" t="str">
        <f>IF($A151="","",SUMIFS('Equipment Index'!$F$2:$F$1513,'Equipment Index'!$G$2:$G$1513,$A151,'Equipment Index'!$C$2:$C$1513,"DISP"))</f>
        <v/>
      </c>
      <c r="M151" s="57" t="str">
        <f>IF($A151="","",SUMIFS('Equipment Index'!$F$2:$F$1513,'Equipment Index'!$G$2:$G$1513,$A151,'Equipment Index'!$C$2:$C$1513,"MOD"))</f>
        <v/>
      </c>
      <c r="N151" s="58" t="str">
        <f>IF($A151="","",IF(COUNTIFS('Equipment Index'!$G$2:$G$1513,$A151,'Equipment Index'!$H$2:$H$1513,"?*")=0,"","Customer-owned — "&amp;COUNTIFS('Equipment Index'!$G$2:$G$1513,$A151,'Equipment Index'!$H$2:$H$1513,"?*")&amp;" unit(s): "&amp;IFERROR(INDEX('Equipment Index'!$H$2:$H$1513,SUMPRODUCT(MATCH(1,('Equipment Index'!$G$2:$G$1513=$A151)*('Equipment Index'!$H$2:$H$1513&lt;&gt;""),0))),"")&amp;IF(COUNTIFS('Equipment Index'!$G$2:$G$1513,$A151,'Equipment Index'!$H$2:$H$1513,"?*")&gt;1," + see table below","")))</f>
        <v/>
      </c>
    </row>
    <row r="152" spans="1:14" ht="15" customHeight="1" x14ac:dyDescent="0.25">
      <c r="A152" s="52" t="str">
        <f>IFERROR(INDEX('Equipment Index'!$G$2:$G$1513,MATCH(ROW()-7,'Equipment Index'!$J$2:$J$1513,0)),"")</f>
        <v/>
      </c>
      <c r="B152" s="53" t="str">
        <f>IF($A152="","",SUMIFS('Equipment Index'!$F$2:$F$1513,'Equipment Index'!$G$2:$G$1513,$A152,'Equipment Index'!$A$2:$A$1513,"Barn - Back Rack"))</f>
        <v/>
      </c>
      <c r="C152" s="53" t="str">
        <f>IF($A152="","",SUMIFS('Equipment Index'!$F$2:$F$1513,'Equipment Index'!$G$2:$G$1513,$A152,'Equipment Index'!$A$2:$A$1513,"Barn - Front Rack"))</f>
        <v/>
      </c>
      <c r="D152" s="53" t="str">
        <f>IF($A152="","",SUMIFS('Equipment Index'!$F$2:$F$1513,'Equipment Index'!$G$2:$G$1513,$A152,'Equipment Index'!$A$2:$A$1513,"Front Lobby"))</f>
        <v/>
      </c>
      <c r="E152" s="53" t="str">
        <f>IF($A152="","",SUMIFS('Equipment Index'!$F$2:$F$1513,'Equipment Index'!$G$2:$G$1513,$A152,'Equipment Index'!$A$2:$A$1513,"Service Room"))</f>
        <v/>
      </c>
      <c r="F152" s="53" t="str">
        <f>IF($A152="","",SUMIFS('Equipment Index'!$F$2:$F$1513,'Equipment Index'!$G$2:$G$1513,$A152,'Equipment Index'!$A$2:$A$1513,"Production"))</f>
        <v/>
      </c>
      <c r="G152" s="53" t="str">
        <f>IF($A152="","",SUMIFS('Equipment Index'!$F$2:$F$1513,'Equipment Index'!$G$2:$G$1513,$A152,'Equipment Index'!$A$2:$A$1513,"Training Room"))</f>
        <v/>
      </c>
      <c r="H152" s="54" t="str">
        <f>IF($A152="","",SUMIFS('Equipment Index'!$F$2:$F$1513,'Equipment Index'!$G$2:$G$1513,$A152,'Equipment Index'!$A$2:$A$1513,"Out of State"))</f>
        <v/>
      </c>
      <c r="I152" s="53" t="str">
        <f>IF($A152="","",SUMIFS('Equipment Index'!$F$2:$F$1513,'Equipment Index'!$G$2:$G$1513,$A152,'Equipment Index'!$A$2:$A$1513,"San Antonio"))</f>
        <v/>
      </c>
      <c r="J152" s="53" t="str">
        <f>IF($A152="","",SUMIFS('Equipment Index'!$F$2:$F$1513,'Equipment Index'!$G$2:$G$1513,$A152,'Equipment Index'!$A$2:$A$1513,"Dallas"))</f>
        <v/>
      </c>
      <c r="K152" s="55" t="str">
        <f t="shared" si="4"/>
        <v/>
      </c>
      <c r="L152" s="56" t="str">
        <f>IF($A152="","",SUMIFS('Equipment Index'!$F$2:$F$1513,'Equipment Index'!$G$2:$G$1513,$A152,'Equipment Index'!$C$2:$C$1513,"DISP"))</f>
        <v/>
      </c>
      <c r="M152" s="57" t="str">
        <f>IF($A152="","",SUMIFS('Equipment Index'!$F$2:$F$1513,'Equipment Index'!$G$2:$G$1513,$A152,'Equipment Index'!$C$2:$C$1513,"MOD"))</f>
        <v/>
      </c>
      <c r="N152" s="58" t="str">
        <f>IF($A152="","",IF(COUNTIFS('Equipment Index'!$G$2:$G$1513,$A152,'Equipment Index'!$H$2:$H$1513,"?*")=0,"","Customer-owned — "&amp;COUNTIFS('Equipment Index'!$G$2:$G$1513,$A152,'Equipment Index'!$H$2:$H$1513,"?*")&amp;" unit(s): "&amp;IFERROR(INDEX('Equipment Index'!$H$2:$H$1513,SUMPRODUCT(MATCH(1,('Equipment Index'!$G$2:$G$1513=$A152)*('Equipment Index'!$H$2:$H$1513&lt;&gt;""),0))),"")&amp;IF(COUNTIFS('Equipment Index'!$G$2:$G$1513,$A152,'Equipment Index'!$H$2:$H$1513,"?*")&gt;1," + see table below","")))</f>
        <v/>
      </c>
    </row>
    <row r="153" spans="1:14" ht="15" customHeight="1" x14ac:dyDescent="0.25">
      <c r="A153" s="52" t="str">
        <f>IFERROR(INDEX('Equipment Index'!$G$2:$G$1513,MATCH(ROW()-7,'Equipment Index'!$J$2:$J$1513,0)),"")</f>
        <v/>
      </c>
      <c r="B153" s="53" t="str">
        <f>IF($A153="","",SUMIFS('Equipment Index'!$F$2:$F$1513,'Equipment Index'!$G$2:$G$1513,$A153,'Equipment Index'!$A$2:$A$1513,"Barn - Back Rack"))</f>
        <v/>
      </c>
      <c r="C153" s="53" t="str">
        <f>IF($A153="","",SUMIFS('Equipment Index'!$F$2:$F$1513,'Equipment Index'!$G$2:$G$1513,$A153,'Equipment Index'!$A$2:$A$1513,"Barn - Front Rack"))</f>
        <v/>
      </c>
      <c r="D153" s="53" t="str">
        <f>IF($A153="","",SUMIFS('Equipment Index'!$F$2:$F$1513,'Equipment Index'!$G$2:$G$1513,$A153,'Equipment Index'!$A$2:$A$1513,"Front Lobby"))</f>
        <v/>
      </c>
      <c r="E153" s="53" t="str">
        <f>IF($A153="","",SUMIFS('Equipment Index'!$F$2:$F$1513,'Equipment Index'!$G$2:$G$1513,$A153,'Equipment Index'!$A$2:$A$1513,"Service Room"))</f>
        <v/>
      </c>
      <c r="F153" s="53" t="str">
        <f>IF($A153="","",SUMIFS('Equipment Index'!$F$2:$F$1513,'Equipment Index'!$G$2:$G$1513,$A153,'Equipment Index'!$A$2:$A$1513,"Production"))</f>
        <v/>
      </c>
      <c r="G153" s="53" t="str">
        <f>IF($A153="","",SUMIFS('Equipment Index'!$F$2:$F$1513,'Equipment Index'!$G$2:$G$1513,$A153,'Equipment Index'!$A$2:$A$1513,"Training Room"))</f>
        <v/>
      </c>
      <c r="H153" s="54" t="str">
        <f>IF($A153="","",SUMIFS('Equipment Index'!$F$2:$F$1513,'Equipment Index'!$G$2:$G$1513,$A153,'Equipment Index'!$A$2:$A$1513,"Out of State"))</f>
        <v/>
      </c>
      <c r="I153" s="53" t="str">
        <f>IF($A153="","",SUMIFS('Equipment Index'!$F$2:$F$1513,'Equipment Index'!$G$2:$G$1513,$A153,'Equipment Index'!$A$2:$A$1513,"San Antonio"))</f>
        <v/>
      </c>
      <c r="J153" s="53" t="str">
        <f>IF($A153="","",SUMIFS('Equipment Index'!$F$2:$F$1513,'Equipment Index'!$G$2:$G$1513,$A153,'Equipment Index'!$A$2:$A$1513,"Dallas"))</f>
        <v/>
      </c>
      <c r="K153" s="55" t="str">
        <f t="shared" si="4"/>
        <v/>
      </c>
      <c r="L153" s="56" t="str">
        <f>IF($A153="","",SUMIFS('Equipment Index'!$F$2:$F$1513,'Equipment Index'!$G$2:$G$1513,$A153,'Equipment Index'!$C$2:$C$1513,"DISP"))</f>
        <v/>
      </c>
      <c r="M153" s="57" t="str">
        <f>IF($A153="","",SUMIFS('Equipment Index'!$F$2:$F$1513,'Equipment Index'!$G$2:$G$1513,$A153,'Equipment Index'!$C$2:$C$1513,"MOD"))</f>
        <v/>
      </c>
      <c r="N153" s="58" t="str">
        <f>IF($A153="","",IF(COUNTIFS('Equipment Index'!$G$2:$G$1513,$A153,'Equipment Index'!$H$2:$H$1513,"?*")=0,"","Customer-owned — "&amp;COUNTIFS('Equipment Index'!$G$2:$G$1513,$A153,'Equipment Index'!$H$2:$H$1513,"?*")&amp;" unit(s): "&amp;IFERROR(INDEX('Equipment Index'!$H$2:$H$1513,SUMPRODUCT(MATCH(1,('Equipment Index'!$G$2:$G$1513=$A153)*('Equipment Index'!$H$2:$H$1513&lt;&gt;""),0))),"")&amp;IF(COUNTIFS('Equipment Index'!$G$2:$G$1513,$A153,'Equipment Index'!$H$2:$H$1513,"?*")&gt;1," + see table below","")))</f>
        <v/>
      </c>
    </row>
    <row r="154" spans="1:14" ht="15" customHeight="1" x14ac:dyDescent="0.25">
      <c r="A154" s="52" t="str">
        <f>IFERROR(INDEX('Equipment Index'!$G$2:$G$1513,MATCH(ROW()-7,'Equipment Index'!$J$2:$J$1513,0)),"")</f>
        <v/>
      </c>
      <c r="B154" s="53" t="str">
        <f>IF($A154="","",SUMIFS('Equipment Index'!$F$2:$F$1513,'Equipment Index'!$G$2:$G$1513,$A154,'Equipment Index'!$A$2:$A$1513,"Barn - Back Rack"))</f>
        <v/>
      </c>
      <c r="C154" s="53" t="str">
        <f>IF($A154="","",SUMIFS('Equipment Index'!$F$2:$F$1513,'Equipment Index'!$G$2:$G$1513,$A154,'Equipment Index'!$A$2:$A$1513,"Barn - Front Rack"))</f>
        <v/>
      </c>
      <c r="D154" s="53" t="str">
        <f>IF($A154="","",SUMIFS('Equipment Index'!$F$2:$F$1513,'Equipment Index'!$G$2:$G$1513,$A154,'Equipment Index'!$A$2:$A$1513,"Front Lobby"))</f>
        <v/>
      </c>
      <c r="E154" s="53" t="str">
        <f>IF($A154="","",SUMIFS('Equipment Index'!$F$2:$F$1513,'Equipment Index'!$G$2:$G$1513,$A154,'Equipment Index'!$A$2:$A$1513,"Service Room"))</f>
        <v/>
      </c>
      <c r="F154" s="53" t="str">
        <f>IF($A154="","",SUMIFS('Equipment Index'!$F$2:$F$1513,'Equipment Index'!$G$2:$G$1513,$A154,'Equipment Index'!$A$2:$A$1513,"Production"))</f>
        <v/>
      </c>
      <c r="G154" s="53" t="str">
        <f>IF($A154="","",SUMIFS('Equipment Index'!$F$2:$F$1513,'Equipment Index'!$G$2:$G$1513,$A154,'Equipment Index'!$A$2:$A$1513,"Training Room"))</f>
        <v/>
      </c>
      <c r="H154" s="54" t="str">
        <f>IF($A154="","",SUMIFS('Equipment Index'!$F$2:$F$1513,'Equipment Index'!$G$2:$G$1513,$A154,'Equipment Index'!$A$2:$A$1513,"Out of State"))</f>
        <v/>
      </c>
      <c r="I154" s="53" t="str">
        <f>IF($A154="","",SUMIFS('Equipment Index'!$F$2:$F$1513,'Equipment Index'!$G$2:$G$1513,$A154,'Equipment Index'!$A$2:$A$1513,"San Antonio"))</f>
        <v/>
      </c>
      <c r="J154" s="53" t="str">
        <f>IF($A154="","",SUMIFS('Equipment Index'!$F$2:$F$1513,'Equipment Index'!$G$2:$G$1513,$A154,'Equipment Index'!$A$2:$A$1513,"Dallas"))</f>
        <v/>
      </c>
      <c r="K154" s="55" t="str">
        <f t="shared" si="4"/>
        <v/>
      </c>
      <c r="L154" s="56" t="str">
        <f>IF($A154="","",SUMIFS('Equipment Index'!$F$2:$F$1513,'Equipment Index'!$G$2:$G$1513,$A154,'Equipment Index'!$C$2:$C$1513,"DISP"))</f>
        <v/>
      </c>
      <c r="M154" s="57" t="str">
        <f>IF($A154="","",SUMIFS('Equipment Index'!$F$2:$F$1513,'Equipment Index'!$G$2:$G$1513,$A154,'Equipment Index'!$C$2:$C$1513,"MOD"))</f>
        <v/>
      </c>
      <c r="N154" s="58" t="str">
        <f>IF($A154="","",IF(COUNTIFS('Equipment Index'!$G$2:$G$1513,$A154,'Equipment Index'!$H$2:$H$1513,"?*")=0,"","Customer-owned — "&amp;COUNTIFS('Equipment Index'!$G$2:$G$1513,$A154,'Equipment Index'!$H$2:$H$1513,"?*")&amp;" unit(s): "&amp;IFERROR(INDEX('Equipment Index'!$H$2:$H$1513,SUMPRODUCT(MATCH(1,('Equipment Index'!$G$2:$G$1513=$A154)*('Equipment Index'!$H$2:$H$1513&lt;&gt;""),0))),"")&amp;IF(COUNTIFS('Equipment Index'!$G$2:$G$1513,$A154,'Equipment Index'!$H$2:$H$1513,"?*")&gt;1," + see table below","")))</f>
        <v/>
      </c>
    </row>
    <row r="155" spans="1:14" ht="15" customHeight="1" x14ac:dyDescent="0.25">
      <c r="A155" s="52" t="str">
        <f>IFERROR(INDEX('Equipment Index'!$G$2:$G$1513,MATCH(ROW()-7,'Equipment Index'!$J$2:$J$1513,0)),"")</f>
        <v/>
      </c>
      <c r="B155" s="53" t="str">
        <f>IF($A155="","",SUMIFS('Equipment Index'!$F$2:$F$1513,'Equipment Index'!$G$2:$G$1513,$A155,'Equipment Index'!$A$2:$A$1513,"Barn - Back Rack"))</f>
        <v/>
      </c>
      <c r="C155" s="53" t="str">
        <f>IF($A155="","",SUMIFS('Equipment Index'!$F$2:$F$1513,'Equipment Index'!$G$2:$G$1513,$A155,'Equipment Index'!$A$2:$A$1513,"Barn - Front Rack"))</f>
        <v/>
      </c>
      <c r="D155" s="53" t="str">
        <f>IF($A155="","",SUMIFS('Equipment Index'!$F$2:$F$1513,'Equipment Index'!$G$2:$G$1513,$A155,'Equipment Index'!$A$2:$A$1513,"Front Lobby"))</f>
        <v/>
      </c>
      <c r="E155" s="53" t="str">
        <f>IF($A155="","",SUMIFS('Equipment Index'!$F$2:$F$1513,'Equipment Index'!$G$2:$G$1513,$A155,'Equipment Index'!$A$2:$A$1513,"Service Room"))</f>
        <v/>
      </c>
      <c r="F155" s="53" t="str">
        <f>IF($A155="","",SUMIFS('Equipment Index'!$F$2:$F$1513,'Equipment Index'!$G$2:$G$1513,$A155,'Equipment Index'!$A$2:$A$1513,"Production"))</f>
        <v/>
      </c>
      <c r="G155" s="53" t="str">
        <f>IF($A155="","",SUMIFS('Equipment Index'!$F$2:$F$1513,'Equipment Index'!$G$2:$G$1513,$A155,'Equipment Index'!$A$2:$A$1513,"Training Room"))</f>
        <v/>
      </c>
      <c r="H155" s="54" t="str">
        <f>IF($A155="","",SUMIFS('Equipment Index'!$F$2:$F$1513,'Equipment Index'!$G$2:$G$1513,$A155,'Equipment Index'!$A$2:$A$1513,"Out of State"))</f>
        <v/>
      </c>
      <c r="I155" s="53" t="str">
        <f>IF($A155="","",SUMIFS('Equipment Index'!$F$2:$F$1513,'Equipment Index'!$G$2:$G$1513,$A155,'Equipment Index'!$A$2:$A$1513,"San Antonio"))</f>
        <v/>
      </c>
      <c r="J155" s="53" t="str">
        <f>IF($A155="","",SUMIFS('Equipment Index'!$F$2:$F$1513,'Equipment Index'!$G$2:$G$1513,$A155,'Equipment Index'!$A$2:$A$1513,"Dallas"))</f>
        <v/>
      </c>
      <c r="K155" s="55" t="str">
        <f t="shared" si="4"/>
        <v/>
      </c>
      <c r="L155" s="56" t="str">
        <f>IF($A155="","",SUMIFS('Equipment Index'!$F$2:$F$1513,'Equipment Index'!$G$2:$G$1513,$A155,'Equipment Index'!$C$2:$C$1513,"DISP"))</f>
        <v/>
      </c>
      <c r="M155" s="57" t="str">
        <f>IF($A155="","",SUMIFS('Equipment Index'!$F$2:$F$1513,'Equipment Index'!$G$2:$G$1513,$A155,'Equipment Index'!$C$2:$C$1513,"MOD"))</f>
        <v/>
      </c>
      <c r="N155" s="58" t="str">
        <f>IF($A155="","",IF(COUNTIFS('Equipment Index'!$G$2:$G$1513,$A155,'Equipment Index'!$H$2:$H$1513,"?*")=0,"","Customer-owned — "&amp;COUNTIFS('Equipment Index'!$G$2:$G$1513,$A155,'Equipment Index'!$H$2:$H$1513,"?*")&amp;" unit(s): "&amp;IFERROR(INDEX('Equipment Index'!$H$2:$H$1513,SUMPRODUCT(MATCH(1,('Equipment Index'!$G$2:$G$1513=$A155)*('Equipment Index'!$H$2:$H$1513&lt;&gt;""),0))),"")&amp;IF(COUNTIFS('Equipment Index'!$G$2:$G$1513,$A155,'Equipment Index'!$H$2:$H$1513,"?*")&gt;1," + see table below","")))</f>
        <v/>
      </c>
    </row>
    <row r="156" spans="1:14" ht="15" customHeight="1" x14ac:dyDescent="0.25">
      <c r="A156" s="52" t="str">
        <f>IFERROR(INDEX('Equipment Index'!$G$2:$G$1513,MATCH(ROW()-7,'Equipment Index'!$J$2:$J$1513,0)),"")</f>
        <v/>
      </c>
      <c r="B156" s="53" t="str">
        <f>IF($A156="","",SUMIFS('Equipment Index'!$F$2:$F$1513,'Equipment Index'!$G$2:$G$1513,$A156,'Equipment Index'!$A$2:$A$1513,"Barn - Back Rack"))</f>
        <v/>
      </c>
      <c r="C156" s="53" t="str">
        <f>IF($A156="","",SUMIFS('Equipment Index'!$F$2:$F$1513,'Equipment Index'!$G$2:$G$1513,$A156,'Equipment Index'!$A$2:$A$1513,"Barn - Front Rack"))</f>
        <v/>
      </c>
      <c r="D156" s="53" t="str">
        <f>IF($A156="","",SUMIFS('Equipment Index'!$F$2:$F$1513,'Equipment Index'!$G$2:$G$1513,$A156,'Equipment Index'!$A$2:$A$1513,"Front Lobby"))</f>
        <v/>
      </c>
      <c r="E156" s="53" t="str">
        <f>IF($A156="","",SUMIFS('Equipment Index'!$F$2:$F$1513,'Equipment Index'!$G$2:$G$1513,$A156,'Equipment Index'!$A$2:$A$1513,"Service Room"))</f>
        <v/>
      </c>
      <c r="F156" s="53" t="str">
        <f>IF($A156="","",SUMIFS('Equipment Index'!$F$2:$F$1513,'Equipment Index'!$G$2:$G$1513,$A156,'Equipment Index'!$A$2:$A$1513,"Production"))</f>
        <v/>
      </c>
      <c r="G156" s="53" t="str">
        <f>IF($A156="","",SUMIFS('Equipment Index'!$F$2:$F$1513,'Equipment Index'!$G$2:$G$1513,$A156,'Equipment Index'!$A$2:$A$1513,"Training Room"))</f>
        <v/>
      </c>
      <c r="H156" s="54" t="str">
        <f>IF($A156="","",SUMIFS('Equipment Index'!$F$2:$F$1513,'Equipment Index'!$G$2:$G$1513,$A156,'Equipment Index'!$A$2:$A$1513,"Out of State"))</f>
        <v/>
      </c>
      <c r="I156" s="53" t="str">
        <f>IF($A156="","",SUMIFS('Equipment Index'!$F$2:$F$1513,'Equipment Index'!$G$2:$G$1513,$A156,'Equipment Index'!$A$2:$A$1513,"San Antonio"))</f>
        <v/>
      </c>
      <c r="J156" s="53" t="str">
        <f>IF($A156="","",SUMIFS('Equipment Index'!$F$2:$F$1513,'Equipment Index'!$G$2:$G$1513,$A156,'Equipment Index'!$A$2:$A$1513,"Dallas"))</f>
        <v/>
      </c>
      <c r="K156" s="55" t="str">
        <f t="shared" si="4"/>
        <v/>
      </c>
      <c r="L156" s="56" t="str">
        <f>IF($A156="","",SUMIFS('Equipment Index'!$F$2:$F$1513,'Equipment Index'!$G$2:$G$1513,$A156,'Equipment Index'!$C$2:$C$1513,"DISP"))</f>
        <v/>
      </c>
      <c r="M156" s="57" t="str">
        <f>IF($A156="","",SUMIFS('Equipment Index'!$F$2:$F$1513,'Equipment Index'!$G$2:$G$1513,$A156,'Equipment Index'!$C$2:$C$1513,"MOD"))</f>
        <v/>
      </c>
      <c r="N156" s="58" t="str">
        <f>IF($A156="","",IF(COUNTIFS('Equipment Index'!$G$2:$G$1513,$A156,'Equipment Index'!$H$2:$H$1513,"?*")=0,"","Customer-owned — "&amp;COUNTIFS('Equipment Index'!$G$2:$G$1513,$A156,'Equipment Index'!$H$2:$H$1513,"?*")&amp;" unit(s): "&amp;IFERROR(INDEX('Equipment Index'!$H$2:$H$1513,SUMPRODUCT(MATCH(1,('Equipment Index'!$G$2:$G$1513=$A156)*('Equipment Index'!$H$2:$H$1513&lt;&gt;""),0))),"")&amp;IF(COUNTIFS('Equipment Index'!$G$2:$G$1513,$A156,'Equipment Index'!$H$2:$H$1513,"?*")&gt;1," + see table below","")))</f>
        <v/>
      </c>
    </row>
    <row r="157" spans="1:14" ht="15" customHeight="1" x14ac:dyDescent="0.25">
      <c r="A157" s="52" t="str">
        <f>IFERROR(INDEX('Equipment Index'!$G$2:$G$1513,MATCH(ROW()-7,'Equipment Index'!$J$2:$J$1513,0)),"")</f>
        <v/>
      </c>
      <c r="B157" s="53" t="str">
        <f>IF($A157="","",SUMIFS('Equipment Index'!$F$2:$F$1513,'Equipment Index'!$G$2:$G$1513,$A157,'Equipment Index'!$A$2:$A$1513,"Barn - Back Rack"))</f>
        <v/>
      </c>
      <c r="C157" s="53" t="str">
        <f>IF($A157="","",SUMIFS('Equipment Index'!$F$2:$F$1513,'Equipment Index'!$G$2:$G$1513,$A157,'Equipment Index'!$A$2:$A$1513,"Barn - Front Rack"))</f>
        <v/>
      </c>
      <c r="D157" s="53" t="str">
        <f>IF($A157="","",SUMIFS('Equipment Index'!$F$2:$F$1513,'Equipment Index'!$G$2:$G$1513,$A157,'Equipment Index'!$A$2:$A$1513,"Front Lobby"))</f>
        <v/>
      </c>
      <c r="E157" s="53" t="str">
        <f>IF($A157="","",SUMIFS('Equipment Index'!$F$2:$F$1513,'Equipment Index'!$G$2:$G$1513,$A157,'Equipment Index'!$A$2:$A$1513,"Service Room"))</f>
        <v/>
      </c>
      <c r="F157" s="53" t="str">
        <f>IF($A157="","",SUMIFS('Equipment Index'!$F$2:$F$1513,'Equipment Index'!$G$2:$G$1513,$A157,'Equipment Index'!$A$2:$A$1513,"Production"))</f>
        <v/>
      </c>
      <c r="G157" s="53" t="str">
        <f>IF($A157="","",SUMIFS('Equipment Index'!$F$2:$F$1513,'Equipment Index'!$G$2:$G$1513,$A157,'Equipment Index'!$A$2:$A$1513,"Training Room"))</f>
        <v/>
      </c>
      <c r="H157" s="54" t="str">
        <f>IF($A157="","",SUMIFS('Equipment Index'!$F$2:$F$1513,'Equipment Index'!$G$2:$G$1513,$A157,'Equipment Index'!$A$2:$A$1513,"Out of State"))</f>
        <v/>
      </c>
      <c r="I157" s="53" t="str">
        <f>IF($A157="","",SUMIFS('Equipment Index'!$F$2:$F$1513,'Equipment Index'!$G$2:$G$1513,$A157,'Equipment Index'!$A$2:$A$1513,"San Antonio"))</f>
        <v/>
      </c>
      <c r="J157" s="53" t="str">
        <f>IF($A157="","",SUMIFS('Equipment Index'!$F$2:$F$1513,'Equipment Index'!$G$2:$G$1513,$A157,'Equipment Index'!$A$2:$A$1513,"Dallas"))</f>
        <v/>
      </c>
      <c r="K157" s="55" t="str">
        <f t="shared" si="4"/>
        <v/>
      </c>
      <c r="L157" s="56" t="str">
        <f>IF($A157="","",SUMIFS('Equipment Index'!$F$2:$F$1513,'Equipment Index'!$G$2:$G$1513,$A157,'Equipment Index'!$C$2:$C$1513,"DISP"))</f>
        <v/>
      </c>
      <c r="M157" s="57" t="str">
        <f>IF($A157="","",SUMIFS('Equipment Index'!$F$2:$F$1513,'Equipment Index'!$G$2:$G$1513,$A157,'Equipment Index'!$C$2:$C$1513,"MOD"))</f>
        <v/>
      </c>
      <c r="N157" s="58" t="str">
        <f>IF($A157="","",IF(COUNTIFS('Equipment Index'!$G$2:$G$1513,$A157,'Equipment Index'!$H$2:$H$1513,"?*")=0,"","Customer-owned — "&amp;COUNTIFS('Equipment Index'!$G$2:$G$1513,$A157,'Equipment Index'!$H$2:$H$1513,"?*")&amp;" unit(s): "&amp;IFERROR(INDEX('Equipment Index'!$H$2:$H$1513,SUMPRODUCT(MATCH(1,('Equipment Index'!$G$2:$G$1513=$A157)*('Equipment Index'!$H$2:$H$1513&lt;&gt;""),0))),"")&amp;IF(COUNTIFS('Equipment Index'!$G$2:$G$1513,$A157,'Equipment Index'!$H$2:$H$1513,"?*")&gt;1," + see table below","")))</f>
        <v/>
      </c>
    </row>
    <row r="158" spans="1:14" ht="15" customHeight="1" x14ac:dyDescent="0.25"/>
    <row r="159" spans="1:14" ht="15" customHeight="1" x14ac:dyDescent="0.25"/>
    <row r="160" spans="1:14" ht="15" customHeight="1" x14ac:dyDescent="0.25">
      <c r="A160" s="90" t="s">
        <v>541</v>
      </c>
      <c r="B160" s="90"/>
      <c r="C160" s="90"/>
      <c r="D160" s="90"/>
      <c r="E160" s="90"/>
      <c r="F160" s="90"/>
      <c r="G160" s="90"/>
      <c r="H160" s="90"/>
      <c r="I160" s="90"/>
      <c r="J160" s="90"/>
      <c r="K160" s="90"/>
      <c r="L160" s="90"/>
      <c r="M160" s="90"/>
      <c r="N160" s="90"/>
    </row>
    <row r="161" spans="1:5" ht="15" customHeight="1" x14ac:dyDescent="0.25">
      <c r="A161" s="59" t="s">
        <v>527</v>
      </c>
      <c r="B161" s="59" t="s">
        <v>32</v>
      </c>
      <c r="C161" s="59" t="s">
        <v>542</v>
      </c>
      <c r="D161" s="59" t="s">
        <v>543</v>
      </c>
      <c r="E161" s="59" t="s">
        <v>544</v>
      </c>
    </row>
    <row r="162" spans="1:5" ht="15" customHeight="1" x14ac:dyDescent="0.25">
      <c r="A162" s="60" t="str">
        <f>IFERROR(INDEX('Equipment Index'!$G$2:$G$1513,MATCH(1,'Equipment Index'!$K$2:$K$1513,0)),"")</f>
        <v>Eversys e'4s</v>
      </c>
      <c r="B162" s="61" t="str">
        <f>IFERROR(INDEX('Equipment Index'!$E$2:$E$1513,MATCH(1,'Equipment Index'!$K$2:$K$1513,0)),"")</f>
        <v/>
      </c>
      <c r="C162" s="60" t="str">
        <f>IFERROR(INDEX('Equipment Index'!$H$2:$H$1513,MATCH(1,'Equipment Index'!$K$2:$K$1513,0)),"")</f>
        <v>Vida</v>
      </c>
      <c r="D162" s="60" t="str">
        <f>IFERROR(INDEX('Equipment Index'!$A$2:$A$1513,MATCH(1,'Equipment Index'!$K$2:$K$1513,0)),"")</f>
        <v>Barn - Back Rack</v>
      </c>
      <c r="E162" s="60" t="str">
        <f>IFERROR(INDEX('Equipment Index'!$B$2:$B$1513,MATCH(1,'Equipment Index'!$K$2:$K$1513,0)),"")</f>
        <v>Pallet H · L3 · line 1</v>
      </c>
    </row>
    <row r="163" spans="1:5" ht="15" customHeight="1" x14ac:dyDescent="0.25">
      <c r="A163" s="60" t="str">
        <f>IFERROR(INDEX('Equipment Index'!$G$2:$G$1513,MATCH(2,'Equipment Index'!$K$2:$K$1513,0)),"")</f>
        <v>Eversys e'4s</v>
      </c>
      <c r="B163" s="61" t="str">
        <f>IFERROR(INDEX('Equipment Index'!$E$2:$E$1513,MATCH(2,'Equipment Index'!$K$2:$K$1513,0)),"")</f>
        <v>110700026103E0015</v>
      </c>
      <c r="C163" s="60" t="str">
        <f>IFERROR(INDEX('Equipment Index'!$H$2:$H$1513,MATCH(2,'Equipment Index'!$K$2:$K$1513,0)),"")</f>
        <v>Baldi</v>
      </c>
      <c r="D163" s="60" t="str">
        <f>IFERROR(INDEX('Equipment Index'!$A$2:$A$1513,MATCH(2,'Equipment Index'!$K$2:$K$1513,0)),"")</f>
        <v>Barn - Back Rack</v>
      </c>
      <c r="E163" s="60" t="str">
        <f>IFERROR(INDEX('Equipment Index'!$B$2:$B$1513,MATCH(2,'Equipment Index'!$K$2:$K$1513,0)),"")</f>
        <v>Pallet H · L1 · line 1</v>
      </c>
    </row>
    <row r="164" spans="1:5" ht="15" customHeight="1" x14ac:dyDescent="0.25">
      <c r="A164" s="60" t="str">
        <f>IFERROR(INDEX('Equipment Index'!$G$2:$G$1513,MATCH(3,'Equipment Index'!$K$2:$K$1513,0)),"")</f>
        <v>Eversys Cameo c'2s</v>
      </c>
      <c r="B164" s="61" t="str">
        <f>IFERROR(INDEX('Equipment Index'!$E$2:$E$1513,MATCH(3,'Equipment Index'!$K$2:$K$1513,0)),"")</f>
        <v>0183130226112C0010</v>
      </c>
      <c r="C164" s="60" t="str">
        <f>IFERROR(INDEX('Equipment Index'!$H$2:$H$1513,MATCH(3,'Equipment Index'!$K$2:$K$1513,0)),"")</f>
        <v>Kol Fac</v>
      </c>
      <c r="D164" s="60" t="str">
        <f>IFERROR(INDEX('Equipment Index'!$A$2:$A$1513,MATCH(3,'Equipment Index'!$K$2:$K$1513,0)),"")</f>
        <v>Barn - Back Rack</v>
      </c>
      <c r="E164" s="60" t="str">
        <f>IFERROR(INDEX('Equipment Index'!$B$2:$B$1513,MATCH(3,'Equipment Index'!$K$2:$K$1513,0)),"")</f>
        <v>Pallet I · L1 · line 1</v>
      </c>
    </row>
    <row r="165" spans="1:5" ht="15" customHeight="1" x14ac:dyDescent="0.25">
      <c r="A165" s="60" t="str">
        <f>IFERROR(INDEX('Equipment Index'!$G$2:$G$1513,MATCH(4,'Equipment Index'!$K$2:$K$1513,0)),"")</f>
        <v>La Marzocco Linea S 2AV</v>
      </c>
      <c r="B165" s="61" t="str">
        <f>IFERROR(INDEX('Equipment Index'!$E$2:$E$1513,MATCH(4,'Equipment Index'!$K$2:$K$1513,0)),"")</f>
        <v>29304</v>
      </c>
      <c r="C165" s="60" t="str">
        <f>IFERROR(INDEX('Equipment Index'!$H$2:$H$1513,MATCH(4,'Equipment Index'!$K$2:$K$1513,0)),"")</f>
        <v>Coco's</v>
      </c>
      <c r="D165" s="60" t="str">
        <f>IFERROR(INDEX('Equipment Index'!$A$2:$A$1513,MATCH(4,'Equipment Index'!$K$2:$K$1513,0)),"")</f>
        <v>Barn - Front Rack</v>
      </c>
      <c r="E165" s="60" t="str">
        <f>IFERROR(INDEX('Equipment Index'!$B$2:$B$1513,MATCH(4,'Equipment Index'!$K$2:$K$1513,0)),"")</f>
        <v>Pallet O · L1 · line 1</v>
      </c>
    </row>
    <row r="166" spans="1:5" ht="15" customHeight="1" x14ac:dyDescent="0.25">
      <c r="A166" s="60" t="str">
        <f>IFERROR(INDEX('Equipment Index'!$G$2:$G$1513,MATCH(5,'Equipment Index'!$K$2:$K$1513,0)),"")</f>
        <v>La Marzocco Swift Grinder</v>
      </c>
      <c r="B166" s="61" t="str">
        <f>IFERROR(INDEX('Equipment Index'!$E$2:$E$1513,MATCH(5,'Equipment Index'!$K$2:$K$1513,0)),"")</f>
        <v>9386</v>
      </c>
      <c r="C166" s="60" t="str">
        <f>IFERROR(INDEX('Equipment Index'!$H$2:$H$1513,MATCH(5,'Equipment Index'!$K$2:$K$1513,0)),"")</f>
        <v>Coco's</v>
      </c>
      <c r="D166" s="60" t="str">
        <f>IFERROR(INDEX('Equipment Index'!$A$2:$A$1513,MATCH(5,'Equipment Index'!$K$2:$K$1513,0)),"")</f>
        <v>Barn - Front Rack</v>
      </c>
      <c r="E166" s="60" t="str">
        <f>IFERROR(INDEX('Equipment Index'!$B$2:$B$1513,MATCH(5,'Equipment Index'!$K$2:$K$1513,0)),"")</f>
        <v>Pallet O · L1 · line 2</v>
      </c>
    </row>
    <row r="167" spans="1:5" ht="15" customHeight="1" x14ac:dyDescent="0.25">
      <c r="A167" s="60" t="str">
        <f>IFERROR(INDEX('Equipment Index'!$G$2:$G$1513,MATCH(6,'Equipment Index'!$K$2:$K$1513,0)),"")</f>
        <v/>
      </c>
      <c r="B167" s="61" t="str">
        <f>IFERROR(INDEX('Equipment Index'!$E$2:$E$1513,MATCH(6,'Equipment Index'!$K$2:$K$1513,0)),"")</f>
        <v/>
      </c>
      <c r="C167" s="60" t="str">
        <f>IFERROR(INDEX('Equipment Index'!$H$2:$H$1513,MATCH(6,'Equipment Index'!$K$2:$K$1513,0)),"")</f>
        <v/>
      </c>
      <c r="D167" s="60" t="str">
        <f>IFERROR(INDEX('Equipment Index'!$A$2:$A$1513,MATCH(6,'Equipment Index'!$K$2:$K$1513,0)),"")</f>
        <v/>
      </c>
      <c r="E167" s="60" t="str">
        <f>IFERROR(INDEX('Equipment Index'!$B$2:$B$1513,MATCH(6,'Equipment Index'!$K$2:$K$1513,0)),"")</f>
        <v/>
      </c>
    </row>
    <row r="168" spans="1:5" ht="15" customHeight="1" x14ac:dyDescent="0.25">
      <c r="A168" s="60" t="str">
        <f>IFERROR(INDEX('Equipment Index'!$G$2:$G$1513,MATCH(7,'Equipment Index'!$K$2:$K$1513,0)),"")</f>
        <v/>
      </c>
      <c r="B168" s="61" t="str">
        <f>IFERROR(INDEX('Equipment Index'!$E$2:$E$1513,MATCH(7,'Equipment Index'!$K$2:$K$1513,0)),"")</f>
        <v/>
      </c>
      <c r="C168" s="60" t="str">
        <f>IFERROR(INDEX('Equipment Index'!$H$2:$H$1513,MATCH(7,'Equipment Index'!$K$2:$K$1513,0)),"")</f>
        <v/>
      </c>
      <c r="D168" s="60" t="str">
        <f>IFERROR(INDEX('Equipment Index'!$A$2:$A$1513,MATCH(7,'Equipment Index'!$K$2:$K$1513,0)),"")</f>
        <v/>
      </c>
      <c r="E168" s="60" t="str">
        <f>IFERROR(INDEX('Equipment Index'!$B$2:$B$1513,MATCH(7,'Equipment Index'!$K$2:$K$1513,0)),"")</f>
        <v/>
      </c>
    </row>
    <row r="169" spans="1:5" ht="15" customHeight="1" x14ac:dyDescent="0.25">
      <c r="A169" s="60" t="str">
        <f>IFERROR(INDEX('Equipment Index'!$G$2:$G$1513,MATCH(8,'Equipment Index'!$K$2:$K$1513,0)),"")</f>
        <v/>
      </c>
      <c r="B169" s="61" t="str">
        <f>IFERROR(INDEX('Equipment Index'!$E$2:$E$1513,MATCH(8,'Equipment Index'!$K$2:$K$1513,0)),"")</f>
        <v/>
      </c>
      <c r="C169" s="60" t="str">
        <f>IFERROR(INDEX('Equipment Index'!$H$2:$H$1513,MATCH(8,'Equipment Index'!$K$2:$K$1513,0)),"")</f>
        <v/>
      </c>
      <c r="D169" s="60" t="str">
        <f>IFERROR(INDEX('Equipment Index'!$A$2:$A$1513,MATCH(8,'Equipment Index'!$K$2:$K$1513,0)),"")</f>
        <v/>
      </c>
      <c r="E169" s="60" t="str">
        <f>IFERROR(INDEX('Equipment Index'!$B$2:$B$1513,MATCH(8,'Equipment Index'!$K$2:$K$1513,0)),"")</f>
        <v/>
      </c>
    </row>
    <row r="170" spans="1:5" ht="15" customHeight="1" x14ac:dyDescent="0.25">
      <c r="A170" s="60" t="str">
        <f>IFERROR(INDEX('Equipment Index'!$G$2:$G$1513,MATCH(9,'Equipment Index'!$K$2:$K$1513,0)),"")</f>
        <v/>
      </c>
      <c r="B170" s="61" t="str">
        <f>IFERROR(INDEX('Equipment Index'!$E$2:$E$1513,MATCH(9,'Equipment Index'!$K$2:$K$1513,0)),"")</f>
        <v/>
      </c>
      <c r="C170" s="60" t="str">
        <f>IFERROR(INDEX('Equipment Index'!$H$2:$H$1513,MATCH(9,'Equipment Index'!$K$2:$K$1513,0)),"")</f>
        <v/>
      </c>
      <c r="D170" s="60" t="str">
        <f>IFERROR(INDEX('Equipment Index'!$A$2:$A$1513,MATCH(9,'Equipment Index'!$K$2:$K$1513,0)),"")</f>
        <v/>
      </c>
      <c r="E170" s="60" t="str">
        <f>IFERROR(INDEX('Equipment Index'!$B$2:$B$1513,MATCH(9,'Equipment Index'!$K$2:$K$1513,0)),"")</f>
        <v/>
      </c>
    </row>
    <row r="171" spans="1:5" ht="15" customHeight="1" x14ac:dyDescent="0.25">
      <c r="A171" s="60" t="str">
        <f>IFERROR(INDEX('Equipment Index'!$G$2:$G$1513,MATCH(10,'Equipment Index'!$K$2:$K$1513,0)),"")</f>
        <v/>
      </c>
      <c r="B171" s="61" t="str">
        <f>IFERROR(INDEX('Equipment Index'!$E$2:$E$1513,MATCH(10,'Equipment Index'!$K$2:$K$1513,0)),"")</f>
        <v/>
      </c>
      <c r="C171" s="60" t="str">
        <f>IFERROR(INDEX('Equipment Index'!$H$2:$H$1513,MATCH(10,'Equipment Index'!$K$2:$K$1513,0)),"")</f>
        <v/>
      </c>
      <c r="D171" s="60" t="str">
        <f>IFERROR(INDEX('Equipment Index'!$A$2:$A$1513,MATCH(10,'Equipment Index'!$K$2:$K$1513,0)),"")</f>
        <v/>
      </c>
      <c r="E171" s="60" t="str">
        <f>IFERROR(INDEX('Equipment Index'!$B$2:$B$1513,MATCH(10,'Equipment Index'!$K$2:$K$1513,0)),"")</f>
        <v/>
      </c>
    </row>
    <row r="172" spans="1:5" ht="15" customHeight="1" x14ac:dyDescent="0.25">
      <c r="A172" s="60" t="str">
        <f>IFERROR(INDEX('Equipment Index'!$G$2:$G$1513,MATCH(11,'Equipment Index'!$K$2:$K$1513,0)),"")</f>
        <v/>
      </c>
      <c r="B172" s="61" t="str">
        <f>IFERROR(INDEX('Equipment Index'!$E$2:$E$1513,MATCH(11,'Equipment Index'!$K$2:$K$1513,0)),"")</f>
        <v/>
      </c>
      <c r="C172" s="60" t="str">
        <f>IFERROR(INDEX('Equipment Index'!$H$2:$H$1513,MATCH(11,'Equipment Index'!$K$2:$K$1513,0)),"")</f>
        <v/>
      </c>
      <c r="D172" s="60" t="str">
        <f>IFERROR(INDEX('Equipment Index'!$A$2:$A$1513,MATCH(11,'Equipment Index'!$K$2:$K$1513,0)),"")</f>
        <v/>
      </c>
      <c r="E172" s="60" t="str">
        <f>IFERROR(INDEX('Equipment Index'!$B$2:$B$1513,MATCH(11,'Equipment Index'!$K$2:$K$1513,0)),"")</f>
        <v/>
      </c>
    </row>
    <row r="173" spans="1:5" ht="15" customHeight="1" x14ac:dyDescent="0.25">
      <c r="A173" s="60" t="str">
        <f>IFERROR(INDEX('Equipment Index'!$G$2:$G$1513,MATCH(12,'Equipment Index'!$K$2:$K$1513,0)),"")</f>
        <v/>
      </c>
      <c r="B173" s="61" t="str">
        <f>IFERROR(INDEX('Equipment Index'!$E$2:$E$1513,MATCH(12,'Equipment Index'!$K$2:$K$1513,0)),"")</f>
        <v/>
      </c>
      <c r="C173" s="60" t="str">
        <f>IFERROR(INDEX('Equipment Index'!$H$2:$H$1513,MATCH(12,'Equipment Index'!$K$2:$K$1513,0)),"")</f>
        <v/>
      </c>
      <c r="D173" s="60" t="str">
        <f>IFERROR(INDEX('Equipment Index'!$A$2:$A$1513,MATCH(12,'Equipment Index'!$K$2:$K$1513,0)),"")</f>
        <v/>
      </c>
      <c r="E173" s="60" t="str">
        <f>IFERROR(INDEX('Equipment Index'!$B$2:$B$1513,MATCH(12,'Equipment Index'!$K$2:$K$1513,0)),"")</f>
        <v/>
      </c>
    </row>
    <row r="174" spans="1:5" ht="15" customHeight="1" x14ac:dyDescent="0.25">
      <c r="A174" s="60" t="str">
        <f>IFERROR(INDEX('Equipment Index'!$G$2:$G$1513,MATCH(13,'Equipment Index'!$K$2:$K$1513,0)),"")</f>
        <v/>
      </c>
      <c r="B174" s="61" t="str">
        <f>IFERROR(INDEX('Equipment Index'!$E$2:$E$1513,MATCH(13,'Equipment Index'!$K$2:$K$1513,0)),"")</f>
        <v/>
      </c>
      <c r="C174" s="60" t="str">
        <f>IFERROR(INDEX('Equipment Index'!$H$2:$H$1513,MATCH(13,'Equipment Index'!$K$2:$K$1513,0)),"")</f>
        <v/>
      </c>
      <c r="D174" s="60" t="str">
        <f>IFERROR(INDEX('Equipment Index'!$A$2:$A$1513,MATCH(13,'Equipment Index'!$K$2:$K$1513,0)),"")</f>
        <v/>
      </c>
      <c r="E174" s="60" t="str">
        <f>IFERROR(INDEX('Equipment Index'!$B$2:$B$1513,MATCH(13,'Equipment Index'!$K$2:$K$1513,0)),"")</f>
        <v/>
      </c>
    </row>
    <row r="175" spans="1:5" ht="15" customHeight="1" x14ac:dyDescent="0.25">
      <c r="A175" s="60" t="str">
        <f>IFERROR(INDEX('Equipment Index'!$G$2:$G$1513,MATCH(14,'Equipment Index'!$K$2:$K$1513,0)),"")</f>
        <v/>
      </c>
      <c r="B175" s="61" t="str">
        <f>IFERROR(INDEX('Equipment Index'!$E$2:$E$1513,MATCH(14,'Equipment Index'!$K$2:$K$1513,0)),"")</f>
        <v/>
      </c>
      <c r="C175" s="60" t="str">
        <f>IFERROR(INDEX('Equipment Index'!$H$2:$H$1513,MATCH(14,'Equipment Index'!$K$2:$K$1513,0)),"")</f>
        <v/>
      </c>
      <c r="D175" s="60" t="str">
        <f>IFERROR(INDEX('Equipment Index'!$A$2:$A$1513,MATCH(14,'Equipment Index'!$K$2:$K$1513,0)),"")</f>
        <v/>
      </c>
      <c r="E175" s="60" t="str">
        <f>IFERROR(INDEX('Equipment Index'!$B$2:$B$1513,MATCH(14,'Equipment Index'!$K$2:$K$1513,0)),"")</f>
        <v/>
      </c>
    </row>
    <row r="176" spans="1:5" ht="15" customHeight="1" x14ac:dyDescent="0.25">
      <c r="A176" s="60" t="str">
        <f>IFERROR(INDEX('Equipment Index'!$G$2:$G$1513,MATCH(15,'Equipment Index'!$K$2:$K$1513,0)),"")</f>
        <v/>
      </c>
      <c r="B176" s="61" t="str">
        <f>IFERROR(INDEX('Equipment Index'!$E$2:$E$1513,MATCH(15,'Equipment Index'!$K$2:$K$1513,0)),"")</f>
        <v/>
      </c>
      <c r="C176" s="60" t="str">
        <f>IFERROR(INDEX('Equipment Index'!$H$2:$H$1513,MATCH(15,'Equipment Index'!$K$2:$K$1513,0)),"")</f>
        <v/>
      </c>
      <c r="D176" s="60" t="str">
        <f>IFERROR(INDEX('Equipment Index'!$A$2:$A$1513,MATCH(15,'Equipment Index'!$K$2:$K$1513,0)),"")</f>
        <v/>
      </c>
      <c r="E176" s="60" t="str">
        <f>IFERROR(INDEX('Equipment Index'!$B$2:$B$1513,MATCH(15,'Equipment Index'!$K$2:$K$1513,0)),"")</f>
        <v/>
      </c>
    </row>
    <row r="177" spans="1:5" ht="15" customHeight="1" x14ac:dyDescent="0.25">
      <c r="A177" s="60" t="str">
        <f>IFERROR(INDEX('Equipment Index'!$G$2:$G$1513,MATCH(16,'Equipment Index'!$K$2:$K$1513,0)),"")</f>
        <v/>
      </c>
      <c r="B177" s="61" t="str">
        <f>IFERROR(INDEX('Equipment Index'!$E$2:$E$1513,MATCH(16,'Equipment Index'!$K$2:$K$1513,0)),"")</f>
        <v/>
      </c>
      <c r="C177" s="60" t="str">
        <f>IFERROR(INDEX('Equipment Index'!$H$2:$H$1513,MATCH(16,'Equipment Index'!$K$2:$K$1513,0)),"")</f>
        <v/>
      </c>
      <c r="D177" s="60" t="str">
        <f>IFERROR(INDEX('Equipment Index'!$A$2:$A$1513,MATCH(16,'Equipment Index'!$K$2:$K$1513,0)),"")</f>
        <v/>
      </c>
      <c r="E177" s="60" t="str">
        <f>IFERROR(INDEX('Equipment Index'!$B$2:$B$1513,MATCH(16,'Equipment Index'!$K$2:$K$1513,0)),"")</f>
        <v/>
      </c>
    </row>
    <row r="178" spans="1:5" ht="15" customHeight="1" x14ac:dyDescent="0.25">
      <c r="A178" s="60" t="str">
        <f>IFERROR(INDEX('Equipment Index'!$G$2:$G$1513,MATCH(17,'Equipment Index'!$K$2:$K$1513,0)),"")</f>
        <v/>
      </c>
      <c r="B178" s="61" t="str">
        <f>IFERROR(INDEX('Equipment Index'!$E$2:$E$1513,MATCH(17,'Equipment Index'!$K$2:$K$1513,0)),"")</f>
        <v/>
      </c>
      <c r="C178" s="60" t="str">
        <f>IFERROR(INDEX('Equipment Index'!$H$2:$H$1513,MATCH(17,'Equipment Index'!$K$2:$K$1513,0)),"")</f>
        <v/>
      </c>
      <c r="D178" s="60" t="str">
        <f>IFERROR(INDEX('Equipment Index'!$A$2:$A$1513,MATCH(17,'Equipment Index'!$K$2:$K$1513,0)),"")</f>
        <v/>
      </c>
      <c r="E178" s="60" t="str">
        <f>IFERROR(INDEX('Equipment Index'!$B$2:$B$1513,MATCH(17,'Equipment Index'!$K$2:$K$1513,0)),"")</f>
        <v/>
      </c>
    </row>
    <row r="179" spans="1:5" ht="15" customHeight="1" x14ac:dyDescent="0.25">
      <c r="A179" s="60" t="str">
        <f>IFERROR(INDEX('Equipment Index'!$G$2:$G$1513,MATCH(18,'Equipment Index'!$K$2:$K$1513,0)),"")</f>
        <v/>
      </c>
      <c r="B179" s="61" t="str">
        <f>IFERROR(INDEX('Equipment Index'!$E$2:$E$1513,MATCH(18,'Equipment Index'!$K$2:$K$1513,0)),"")</f>
        <v/>
      </c>
      <c r="C179" s="60" t="str">
        <f>IFERROR(INDEX('Equipment Index'!$H$2:$H$1513,MATCH(18,'Equipment Index'!$K$2:$K$1513,0)),"")</f>
        <v/>
      </c>
      <c r="D179" s="60" t="str">
        <f>IFERROR(INDEX('Equipment Index'!$A$2:$A$1513,MATCH(18,'Equipment Index'!$K$2:$K$1513,0)),"")</f>
        <v/>
      </c>
      <c r="E179" s="60" t="str">
        <f>IFERROR(INDEX('Equipment Index'!$B$2:$B$1513,MATCH(18,'Equipment Index'!$K$2:$K$1513,0)),"")</f>
        <v/>
      </c>
    </row>
    <row r="180" spans="1:5" ht="15" customHeight="1" x14ac:dyDescent="0.25">
      <c r="A180" s="60" t="str">
        <f>IFERROR(INDEX('Equipment Index'!$G$2:$G$1513,MATCH(19,'Equipment Index'!$K$2:$K$1513,0)),"")</f>
        <v/>
      </c>
      <c r="B180" s="61" t="str">
        <f>IFERROR(INDEX('Equipment Index'!$E$2:$E$1513,MATCH(19,'Equipment Index'!$K$2:$K$1513,0)),"")</f>
        <v/>
      </c>
      <c r="C180" s="60" t="str">
        <f>IFERROR(INDEX('Equipment Index'!$H$2:$H$1513,MATCH(19,'Equipment Index'!$K$2:$K$1513,0)),"")</f>
        <v/>
      </c>
      <c r="D180" s="60" t="str">
        <f>IFERROR(INDEX('Equipment Index'!$A$2:$A$1513,MATCH(19,'Equipment Index'!$K$2:$K$1513,0)),"")</f>
        <v/>
      </c>
      <c r="E180" s="60" t="str">
        <f>IFERROR(INDEX('Equipment Index'!$B$2:$B$1513,MATCH(19,'Equipment Index'!$K$2:$K$1513,0)),"")</f>
        <v/>
      </c>
    </row>
    <row r="181" spans="1:5" ht="15" customHeight="1" x14ac:dyDescent="0.25">
      <c r="A181" s="60" t="str">
        <f>IFERROR(INDEX('Equipment Index'!$G$2:$G$1513,MATCH(20,'Equipment Index'!$K$2:$K$1513,0)),"")</f>
        <v/>
      </c>
      <c r="B181" s="61" t="str">
        <f>IFERROR(INDEX('Equipment Index'!$E$2:$E$1513,MATCH(20,'Equipment Index'!$K$2:$K$1513,0)),"")</f>
        <v/>
      </c>
      <c r="C181" s="60" t="str">
        <f>IFERROR(INDEX('Equipment Index'!$H$2:$H$1513,MATCH(20,'Equipment Index'!$K$2:$K$1513,0)),"")</f>
        <v/>
      </c>
      <c r="D181" s="60" t="str">
        <f>IFERROR(INDEX('Equipment Index'!$A$2:$A$1513,MATCH(20,'Equipment Index'!$K$2:$K$1513,0)),"")</f>
        <v/>
      </c>
      <c r="E181" s="60" t="str">
        <f>IFERROR(INDEX('Equipment Index'!$B$2:$B$1513,MATCH(20,'Equipment Index'!$K$2:$K$1513,0)),"")</f>
        <v/>
      </c>
    </row>
    <row r="182" spans="1:5" ht="15" customHeight="1" x14ac:dyDescent="0.25">
      <c r="A182" s="60" t="str">
        <f>IFERROR(INDEX('Equipment Index'!$G$2:$G$1513,MATCH(21,'Equipment Index'!$K$2:$K$1513,0)),"")</f>
        <v/>
      </c>
      <c r="B182" s="61" t="str">
        <f>IFERROR(INDEX('Equipment Index'!$E$2:$E$1513,MATCH(21,'Equipment Index'!$K$2:$K$1513,0)),"")</f>
        <v/>
      </c>
      <c r="C182" s="60" t="str">
        <f>IFERROR(INDEX('Equipment Index'!$H$2:$H$1513,MATCH(21,'Equipment Index'!$K$2:$K$1513,0)),"")</f>
        <v/>
      </c>
      <c r="D182" s="60" t="str">
        <f>IFERROR(INDEX('Equipment Index'!$A$2:$A$1513,MATCH(21,'Equipment Index'!$K$2:$K$1513,0)),"")</f>
        <v/>
      </c>
      <c r="E182" s="60" t="str">
        <f>IFERROR(INDEX('Equipment Index'!$B$2:$B$1513,MATCH(21,'Equipment Index'!$K$2:$K$1513,0)),"")</f>
        <v/>
      </c>
    </row>
    <row r="183" spans="1:5" ht="15" customHeight="1" x14ac:dyDescent="0.25">
      <c r="A183" s="60" t="str">
        <f>IFERROR(INDEX('Equipment Index'!$G$2:$G$1513,MATCH(22,'Equipment Index'!$K$2:$K$1513,0)),"")</f>
        <v/>
      </c>
      <c r="B183" s="61" t="str">
        <f>IFERROR(INDEX('Equipment Index'!$E$2:$E$1513,MATCH(22,'Equipment Index'!$K$2:$K$1513,0)),"")</f>
        <v/>
      </c>
      <c r="C183" s="60" t="str">
        <f>IFERROR(INDEX('Equipment Index'!$H$2:$H$1513,MATCH(22,'Equipment Index'!$K$2:$K$1513,0)),"")</f>
        <v/>
      </c>
      <c r="D183" s="60" t="str">
        <f>IFERROR(INDEX('Equipment Index'!$A$2:$A$1513,MATCH(22,'Equipment Index'!$K$2:$K$1513,0)),"")</f>
        <v/>
      </c>
      <c r="E183" s="60" t="str">
        <f>IFERROR(INDEX('Equipment Index'!$B$2:$B$1513,MATCH(22,'Equipment Index'!$K$2:$K$1513,0)),"")</f>
        <v/>
      </c>
    </row>
    <row r="184" spans="1:5" ht="15" customHeight="1" x14ac:dyDescent="0.25">
      <c r="A184" s="60" t="str">
        <f>IFERROR(INDEX('Equipment Index'!$G$2:$G$1513,MATCH(23,'Equipment Index'!$K$2:$K$1513,0)),"")</f>
        <v/>
      </c>
      <c r="B184" s="61" t="str">
        <f>IFERROR(INDEX('Equipment Index'!$E$2:$E$1513,MATCH(23,'Equipment Index'!$K$2:$K$1513,0)),"")</f>
        <v/>
      </c>
      <c r="C184" s="60" t="str">
        <f>IFERROR(INDEX('Equipment Index'!$H$2:$H$1513,MATCH(23,'Equipment Index'!$K$2:$K$1513,0)),"")</f>
        <v/>
      </c>
      <c r="D184" s="60" t="str">
        <f>IFERROR(INDEX('Equipment Index'!$A$2:$A$1513,MATCH(23,'Equipment Index'!$K$2:$K$1513,0)),"")</f>
        <v/>
      </c>
      <c r="E184" s="60" t="str">
        <f>IFERROR(INDEX('Equipment Index'!$B$2:$B$1513,MATCH(23,'Equipment Index'!$K$2:$K$1513,0)),"")</f>
        <v/>
      </c>
    </row>
    <row r="185" spans="1:5" ht="15" customHeight="1" x14ac:dyDescent="0.25">
      <c r="A185" s="60" t="str">
        <f>IFERROR(INDEX('Equipment Index'!$G$2:$G$1513,MATCH(24,'Equipment Index'!$K$2:$K$1513,0)),"")</f>
        <v/>
      </c>
      <c r="B185" s="61" t="str">
        <f>IFERROR(INDEX('Equipment Index'!$E$2:$E$1513,MATCH(24,'Equipment Index'!$K$2:$K$1513,0)),"")</f>
        <v/>
      </c>
      <c r="C185" s="60" t="str">
        <f>IFERROR(INDEX('Equipment Index'!$H$2:$H$1513,MATCH(24,'Equipment Index'!$K$2:$K$1513,0)),"")</f>
        <v/>
      </c>
      <c r="D185" s="60" t="str">
        <f>IFERROR(INDEX('Equipment Index'!$A$2:$A$1513,MATCH(24,'Equipment Index'!$K$2:$K$1513,0)),"")</f>
        <v/>
      </c>
      <c r="E185" s="60" t="str">
        <f>IFERROR(INDEX('Equipment Index'!$B$2:$B$1513,MATCH(24,'Equipment Index'!$K$2:$K$1513,0)),"")</f>
        <v/>
      </c>
    </row>
    <row r="186" spans="1:5" ht="15" customHeight="1" x14ac:dyDescent="0.25">
      <c r="A186" s="60" t="str">
        <f>IFERROR(INDEX('Equipment Index'!$G$2:$G$1513,MATCH(25,'Equipment Index'!$K$2:$K$1513,0)),"")</f>
        <v/>
      </c>
      <c r="B186" s="61" t="str">
        <f>IFERROR(INDEX('Equipment Index'!$E$2:$E$1513,MATCH(25,'Equipment Index'!$K$2:$K$1513,0)),"")</f>
        <v/>
      </c>
      <c r="C186" s="60" t="str">
        <f>IFERROR(INDEX('Equipment Index'!$H$2:$H$1513,MATCH(25,'Equipment Index'!$K$2:$K$1513,0)),"")</f>
        <v/>
      </c>
      <c r="D186" s="60" t="str">
        <f>IFERROR(INDEX('Equipment Index'!$A$2:$A$1513,MATCH(25,'Equipment Index'!$K$2:$K$1513,0)),"")</f>
        <v/>
      </c>
      <c r="E186" s="60" t="str">
        <f>IFERROR(INDEX('Equipment Index'!$B$2:$B$1513,MATCH(25,'Equipment Index'!$K$2:$K$1513,0)),"")</f>
        <v/>
      </c>
    </row>
    <row r="187" spans="1:5" ht="15" customHeight="1" x14ac:dyDescent="0.25">
      <c r="A187" s="60" t="str">
        <f>IFERROR(INDEX('Equipment Index'!$G$2:$G$1513,MATCH(26,'Equipment Index'!$K$2:$K$1513,0)),"")</f>
        <v/>
      </c>
      <c r="B187" s="61" t="str">
        <f>IFERROR(INDEX('Equipment Index'!$E$2:$E$1513,MATCH(26,'Equipment Index'!$K$2:$K$1513,0)),"")</f>
        <v/>
      </c>
      <c r="C187" s="60" t="str">
        <f>IFERROR(INDEX('Equipment Index'!$H$2:$H$1513,MATCH(26,'Equipment Index'!$K$2:$K$1513,0)),"")</f>
        <v/>
      </c>
      <c r="D187" s="60" t="str">
        <f>IFERROR(INDEX('Equipment Index'!$A$2:$A$1513,MATCH(26,'Equipment Index'!$K$2:$K$1513,0)),"")</f>
        <v/>
      </c>
      <c r="E187" s="60" t="str">
        <f>IFERROR(INDEX('Equipment Index'!$B$2:$B$1513,MATCH(26,'Equipment Index'!$K$2:$K$1513,0)),"")</f>
        <v/>
      </c>
    </row>
    <row r="188" spans="1:5" ht="15" customHeight="1" x14ac:dyDescent="0.25">
      <c r="A188" s="60" t="str">
        <f>IFERROR(INDEX('Equipment Index'!$G$2:$G$1513,MATCH(27,'Equipment Index'!$K$2:$K$1513,0)),"")</f>
        <v/>
      </c>
      <c r="B188" s="61" t="str">
        <f>IFERROR(INDEX('Equipment Index'!$E$2:$E$1513,MATCH(27,'Equipment Index'!$K$2:$K$1513,0)),"")</f>
        <v/>
      </c>
      <c r="C188" s="60" t="str">
        <f>IFERROR(INDEX('Equipment Index'!$H$2:$H$1513,MATCH(27,'Equipment Index'!$K$2:$K$1513,0)),"")</f>
        <v/>
      </c>
      <c r="D188" s="60" t="str">
        <f>IFERROR(INDEX('Equipment Index'!$A$2:$A$1513,MATCH(27,'Equipment Index'!$K$2:$K$1513,0)),"")</f>
        <v/>
      </c>
      <c r="E188" s="60" t="str">
        <f>IFERROR(INDEX('Equipment Index'!$B$2:$B$1513,MATCH(27,'Equipment Index'!$K$2:$K$1513,0)),"")</f>
        <v/>
      </c>
    </row>
    <row r="189" spans="1:5" ht="15" customHeight="1" x14ac:dyDescent="0.25">
      <c r="A189" s="60" t="str">
        <f>IFERROR(INDEX('Equipment Index'!$G$2:$G$1513,MATCH(28,'Equipment Index'!$K$2:$K$1513,0)),"")</f>
        <v/>
      </c>
      <c r="B189" s="61" t="str">
        <f>IFERROR(INDEX('Equipment Index'!$E$2:$E$1513,MATCH(28,'Equipment Index'!$K$2:$K$1513,0)),"")</f>
        <v/>
      </c>
      <c r="C189" s="60" t="str">
        <f>IFERROR(INDEX('Equipment Index'!$H$2:$H$1513,MATCH(28,'Equipment Index'!$K$2:$K$1513,0)),"")</f>
        <v/>
      </c>
      <c r="D189" s="60" t="str">
        <f>IFERROR(INDEX('Equipment Index'!$A$2:$A$1513,MATCH(28,'Equipment Index'!$K$2:$K$1513,0)),"")</f>
        <v/>
      </c>
      <c r="E189" s="60" t="str">
        <f>IFERROR(INDEX('Equipment Index'!$B$2:$B$1513,MATCH(28,'Equipment Index'!$K$2:$K$1513,0)),"")</f>
        <v/>
      </c>
    </row>
    <row r="190" spans="1:5" ht="15" customHeight="1" x14ac:dyDescent="0.25">
      <c r="A190" s="60" t="str">
        <f>IFERROR(INDEX('Equipment Index'!$G$2:$G$1513,MATCH(29,'Equipment Index'!$K$2:$K$1513,0)),"")</f>
        <v/>
      </c>
      <c r="B190" s="61" t="str">
        <f>IFERROR(INDEX('Equipment Index'!$E$2:$E$1513,MATCH(29,'Equipment Index'!$K$2:$K$1513,0)),"")</f>
        <v/>
      </c>
      <c r="C190" s="60" t="str">
        <f>IFERROR(INDEX('Equipment Index'!$H$2:$H$1513,MATCH(29,'Equipment Index'!$K$2:$K$1513,0)),"")</f>
        <v/>
      </c>
      <c r="D190" s="60" t="str">
        <f>IFERROR(INDEX('Equipment Index'!$A$2:$A$1513,MATCH(29,'Equipment Index'!$K$2:$K$1513,0)),"")</f>
        <v/>
      </c>
      <c r="E190" s="60" t="str">
        <f>IFERROR(INDEX('Equipment Index'!$B$2:$B$1513,MATCH(29,'Equipment Index'!$K$2:$K$1513,0)),"")</f>
        <v/>
      </c>
    </row>
    <row r="191" spans="1:5" ht="15" customHeight="1" x14ac:dyDescent="0.25">
      <c r="A191" s="60" t="str">
        <f>IFERROR(INDEX('Equipment Index'!$G$2:$G$1513,MATCH(30,'Equipment Index'!$K$2:$K$1513,0)),"")</f>
        <v/>
      </c>
      <c r="B191" s="61" t="str">
        <f>IFERROR(INDEX('Equipment Index'!$E$2:$E$1513,MATCH(30,'Equipment Index'!$K$2:$K$1513,0)),"")</f>
        <v/>
      </c>
      <c r="C191" s="60" t="str">
        <f>IFERROR(INDEX('Equipment Index'!$H$2:$H$1513,MATCH(30,'Equipment Index'!$K$2:$K$1513,0)),"")</f>
        <v/>
      </c>
      <c r="D191" s="60" t="str">
        <f>IFERROR(INDEX('Equipment Index'!$A$2:$A$1513,MATCH(30,'Equipment Index'!$K$2:$K$1513,0)),"")</f>
        <v/>
      </c>
      <c r="E191" s="60" t="str">
        <f>IFERROR(INDEX('Equipment Index'!$B$2:$B$1513,MATCH(30,'Equipment Index'!$K$2:$K$1513,0)),"")</f>
        <v/>
      </c>
    </row>
    <row r="192" spans="1:5" ht="15" customHeight="1" x14ac:dyDescent="0.25"/>
    <row r="193" spans="1:14" ht="15" customHeight="1" x14ac:dyDescent="0.25">
      <c r="A193" s="82" t="s">
        <v>545</v>
      </c>
      <c r="B193" s="82"/>
      <c r="C193" s="82"/>
      <c r="D193" s="82"/>
      <c r="E193" s="82"/>
      <c r="F193" s="82"/>
      <c r="G193" s="82"/>
      <c r="H193" s="82"/>
      <c r="I193" s="82"/>
      <c r="J193" s="82"/>
      <c r="K193" s="82"/>
      <c r="L193" s="82"/>
      <c r="M193" s="82"/>
      <c r="N193" s="82"/>
    </row>
    <row r="194" spans="1:14" ht="15" customHeight="1" x14ac:dyDescent="0.25"/>
    <row r="195" spans="1:14" ht="15" customHeight="1" x14ac:dyDescent="0.25"/>
    <row r="196" spans="1:14" ht="15" customHeight="1" x14ac:dyDescent="0.25"/>
    <row r="197" spans="1:14" ht="15" customHeight="1" x14ac:dyDescent="0.25"/>
    <row r="198" spans="1:14" ht="15" customHeight="1" x14ac:dyDescent="0.25"/>
    <row r="199" spans="1:14" ht="15" customHeight="1" x14ac:dyDescent="0.25"/>
    <row r="200" spans="1:14" ht="15" customHeight="1" x14ac:dyDescent="0.25"/>
  </sheetData>
  <mergeCells count="6">
    <mergeCell ref="A193:N193"/>
    <mergeCell ref="A1:N1"/>
    <mergeCell ref="A2:N2"/>
    <mergeCell ref="A3:N3"/>
    <mergeCell ref="A6:N6"/>
    <mergeCell ref="A160:N160"/>
  </mergeCells>
  <conditionalFormatting sqref="A8:N157">
    <cfRule type="expression" dxfId="3" priority="2">
      <formula>$K8&gt;0</formula>
    </cfRule>
  </conditionalFormatting>
  <conditionalFormatting sqref="H8:H157">
    <cfRule type="expression" dxfId="2" priority="5">
      <formula>$H8&gt;0</formula>
    </cfRule>
  </conditionalFormatting>
  <conditionalFormatting sqref="L8:L157">
    <cfRule type="expression" dxfId="1" priority="3">
      <formula>$L8&gt;0</formula>
    </cfRule>
  </conditionalFormatting>
  <conditionalFormatting sqref="M8:M157">
    <cfRule type="expression" dxfId="0" priority="4">
      <formula>$M8&gt;0</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513"/>
  <sheetViews>
    <sheetView showGridLines="0" zoomScaleNormal="100" workbookViewId="0">
      <pane ySplit="1" topLeftCell="A2" activePane="bottomLeft" state="frozen"/>
      <selection pane="bottomLeft"/>
    </sheetView>
  </sheetViews>
  <sheetFormatPr defaultColWidth="8.5703125" defaultRowHeight="15" x14ac:dyDescent="0.25"/>
  <cols>
    <col min="1" max="1" width="20" customWidth="1"/>
    <col min="2" max="2" width="28" customWidth="1"/>
    <col min="3" max="3" width="8" customWidth="1"/>
    <col min="4" max="4" width="34" customWidth="1"/>
    <col min="5" max="5" width="22" customWidth="1"/>
    <col min="6" max="6" width="7" customWidth="1"/>
    <col min="7" max="7" width="34" customWidth="1"/>
    <col min="8" max="8" width="16" customWidth="1"/>
    <col min="9" max="11" width="7" customWidth="1"/>
  </cols>
  <sheetData>
    <row r="1" spans="1:16" x14ac:dyDescent="0.25">
      <c r="A1" s="62" t="s">
        <v>543</v>
      </c>
      <c r="B1" s="62" t="s">
        <v>544</v>
      </c>
      <c r="C1" s="62" t="s">
        <v>546</v>
      </c>
      <c r="D1" s="62" t="s">
        <v>547</v>
      </c>
      <c r="E1" s="62" t="s">
        <v>548</v>
      </c>
      <c r="F1" s="62" t="s">
        <v>34</v>
      </c>
      <c r="G1" s="62" t="s">
        <v>549</v>
      </c>
      <c r="H1" s="62" t="s">
        <v>542</v>
      </c>
      <c r="I1" s="62" t="s">
        <v>550</v>
      </c>
      <c r="J1" s="62" t="s">
        <v>551</v>
      </c>
      <c r="K1" s="62" t="s">
        <v>552</v>
      </c>
      <c r="L1" s="91" t="s">
        <v>553</v>
      </c>
      <c r="M1" s="91"/>
      <c r="N1" s="91"/>
      <c r="O1" s="91"/>
      <c r="P1" s="91"/>
    </row>
    <row r="2" spans="1:16" x14ac:dyDescent="0.25">
      <c r="A2" s="63" t="s">
        <v>554</v>
      </c>
      <c r="B2" s="63" t="s">
        <v>555</v>
      </c>
      <c r="C2" s="63" t="s">
        <v>556</v>
      </c>
      <c r="D2" s="63" t="str">
        <f>IF('Barn - Back Rack'!B13="","",TRIM('Barn - Back Rack'!B13))</f>
        <v/>
      </c>
      <c r="E2" s="64" t="str">
        <f>IF($D2="","",'Barn - Back Rack'!C13&amp;"")</f>
        <v/>
      </c>
      <c r="F2" s="63">
        <f t="shared" ref="F2:F49" si="0">IF($D2="",0,1)</f>
        <v>0</v>
      </c>
      <c r="G2" s="64" t="str">
        <f t="shared" ref="G2:G65" si="1">IF($D2="","",IF(ISNUMBER(FIND("(",$D2)),TRIM(LEFT($D2,FIND("(",$D2)-1)),$D2))</f>
        <v/>
      </c>
      <c r="H2" s="64" t="str">
        <f t="shared" ref="H2:H65" si="2">IF($D2="","",IF(ISNUMBER(FIND("(",$D2)),TRIM(SUBSTITUTE(MID($D2,FIND("(",$D2)+1,200),")","")),""))</f>
        <v/>
      </c>
      <c r="I2" s="63">
        <f>IF($G2="",0,IF(COUNTIF($G$2:$G2,$G2)=1,1,0))</f>
        <v>0</v>
      </c>
      <c r="J2" s="63" t="str">
        <f t="shared" ref="J2:J65" si="3">IF($I2=0,"",SUMPRODUCT(($I$2:$I$1513=1)*($G$2:$G$1513&lt;$G2))+1)</f>
        <v/>
      </c>
      <c r="K2" s="63" t="str">
        <f>IF($H2="","",COUNTIF($H$2:$H2,"?*"))</f>
        <v/>
      </c>
    </row>
    <row r="3" spans="1:16" x14ac:dyDescent="0.25">
      <c r="A3" s="63" t="s">
        <v>554</v>
      </c>
      <c r="B3" s="63" t="s">
        <v>557</v>
      </c>
      <c r="C3" s="63" t="s">
        <v>556</v>
      </c>
      <c r="D3" s="63" t="str">
        <f>IF('Barn - Back Rack'!B14="","",TRIM('Barn - Back Rack'!B14))</f>
        <v/>
      </c>
      <c r="E3" s="64" t="str">
        <f>IF($D3="","",'Barn - Back Rack'!C14&amp;"")</f>
        <v/>
      </c>
      <c r="F3" s="63">
        <f t="shared" si="0"/>
        <v>0</v>
      </c>
      <c r="G3" s="64" t="str">
        <f t="shared" si="1"/>
        <v/>
      </c>
      <c r="H3" s="64" t="str">
        <f t="shared" si="2"/>
        <v/>
      </c>
      <c r="I3" s="63">
        <f>IF($G3="",0,IF(COUNTIF($G$2:$G3,$G3)=1,1,0))</f>
        <v>0</v>
      </c>
      <c r="J3" s="63" t="str">
        <f t="shared" si="3"/>
        <v/>
      </c>
      <c r="K3" s="63" t="str">
        <f>IF($H3="","",COUNTIF($H$2:$H3,"?*"))</f>
        <v/>
      </c>
    </row>
    <row r="4" spans="1:16" x14ac:dyDescent="0.25">
      <c r="A4" s="63" t="s">
        <v>554</v>
      </c>
      <c r="B4" s="63" t="s">
        <v>558</v>
      </c>
      <c r="C4" s="63" t="s">
        <v>556</v>
      </c>
      <c r="D4" s="63" t="str">
        <f>IF('Barn - Back Rack'!B15="","",TRIM('Barn - Back Rack'!B15))</f>
        <v/>
      </c>
      <c r="E4" s="64" t="str">
        <f>IF($D4="","",'Barn - Back Rack'!C15&amp;"")</f>
        <v/>
      </c>
      <c r="F4" s="63">
        <f t="shared" si="0"/>
        <v>0</v>
      </c>
      <c r="G4" s="64" t="str">
        <f t="shared" si="1"/>
        <v/>
      </c>
      <c r="H4" s="64" t="str">
        <f t="shared" si="2"/>
        <v/>
      </c>
      <c r="I4" s="63">
        <f>IF($G4="",0,IF(COUNTIF($G$2:$G4,$G4)=1,1,0))</f>
        <v>0</v>
      </c>
      <c r="J4" s="63" t="str">
        <f t="shared" si="3"/>
        <v/>
      </c>
      <c r="K4" s="63" t="str">
        <f>IF($H4="","",COUNTIF($H$2:$H4,"?*"))</f>
        <v/>
      </c>
    </row>
    <row r="5" spans="1:16" x14ac:dyDescent="0.25">
      <c r="A5" s="63" t="s">
        <v>554</v>
      </c>
      <c r="B5" s="63" t="s">
        <v>559</v>
      </c>
      <c r="C5" s="63" t="s">
        <v>556</v>
      </c>
      <c r="D5" s="63" t="str">
        <f>IF('Barn - Back Rack'!B16="","",TRIM('Barn - Back Rack'!B16))</f>
        <v/>
      </c>
      <c r="E5" s="64" t="str">
        <f>IF($D5="","",'Barn - Back Rack'!C16&amp;"")</f>
        <v/>
      </c>
      <c r="F5" s="63">
        <f t="shared" si="0"/>
        <v>0</v>
      </c>
      <c r="G5" s="64" t="str">
        <f t="shared" si="1"/>
        <v/>
      </c>
      <c r="H5" s="64" t="str">
        <f t="shared" si="2"/>
        <v/>
      </c>
      <c r="I5" s="63">
        <f>IF($G5="",0,IF(COUNTIF($G$2:$G5,$G5)=1,1,0))</f>
        <v>0</v>
      </c>
      <c r="J5" s="63" t="str">
        <f t="shared" si="3"/>
        <v/>
      </c>
      <c r="K5" s="63" t="str">
        <f>IF($H5="","",COUNTIF($H$2:$H5,"?*"))</f>
        <v/>
      </c>
    </row>
    <row r="6" spans="1:16" x14ac:dyDescent="0.25">
      <c r="A6" s="63" t="s">
        <v>554</v>
      </c>
      <c r="B6" s="63" t="s">
        <v>560</v>
      </c>
      <c r="C6" s="63" t="s">
        <v>556</v>
      </c>
      <c r="D6" s="63" t="str">
        <f>IF('Barn - Back Rack'!B17="","",TRIM('Barn - Back Rack'!B17))</f>
        <v/>
      </c>
      <c r="E6" s="64" t="str">
        <f>IF($D6="","",'Barn - Back Rack'!C17&amp;"")</f>
        <v/>
      </c>
      <c r="F6" s="63">
        <f t="shared" si="0"/>
        <v>0</v>
      </c>
      <c r="G6" s="64" t="str">
        <f t="shared" si="1"/>
        <v/>
      </c>
      <c r="H6" s="64" t="str">
        <f t="shared" si="2"/>
        <v/>
      </c>
      <c r="I6" s="63">
        <f>IF($G6="",0,IF(COUNTIF($G$2:$G6,$G6)=1,1,0))</f>
        <v>0</v>
      </c>
      <c r="J6" s="63" t="str">
        <f t="shared" si="3"/>
        <v/>
      </c>
      <c r="K6" s="63" t="str">
        <f>IF($H6="","",COUNTIF($H$2:$H6,"?*"))</f>
        <v/>
      </c>
    </row>
    <row r="7" spans="1:16" x14ac:dyDescent="0.25">
      <c r="A7" s="63" t="s">
        <v>554</v>
      </c>
      <c r="B7" s="63" t="s">
        <v>561</v>
      </c>
      <c r="C7" s="63" t="s">
        <v>556</v>
      </c>
      <c r="D7" s="63" t="str">
        <f>IF('Barn - Back Rack'!B18="","",TRIM('Barn - Back Rack'!B18))</f>
        <v/>
      </c>
      <c r="E7" s="64" t="str">
        <f>IF($D7="","",'Barn - Back Rack'!C18&amp;"")</f>
        <v/>
      </c>
      <c r="F7" s="63">
        <f t="shared" si="0"/>
        <v>0</v>
      </c>
      <c r="G7" s="64" t="str">
        <f t="shared" si="1"/>
        <v/>
      </c>
      <c r="H7" s="64" t="str">
        <f t="shared" si="2"/>
        <v/>
      </c>
      <c r="I7" s="63">
        <f>IF($G7="",0,IF(COUNTIF($G$2:$G7,$G7)=1,1,0))</f>
        <v>0</v>
      </c>
      <c r="J7" s="63" t="str">
        <f t="shared" si="3"/>
        <v/>
      </c>
      <c r="K7" s="63" t="str">
        <f>IF($H7="","",COUNTIF($H$2:$H7,"?*"))</f>
        <v/>
      </c>
    </row>
    <row r="8" spans="1:16" x14ac:dyDescent="0.25">
      <c r="A8" s="63" t="s">
        <v>554</v>
      </c>
      <c r="B8" s="63" t="s">
        <v>562</v>
      </c>
      <c r="C8" s="63" t="s">
        <v>556</v>
      </c>
      <c r="D8" s="63" t="str">
        <f>IF('Barn - Back Rack'!B19="","",TRIM('Barn - Back Rack'!B19))</f>
        <v/>
      </c>
      <c r="E8" s="64" t="str">
        <f>IF($D8="","",'Barn - Back Rack'!C19&amp;"")</f>
        <v/>
      </c>
      <c r="F8" s="63">
        <f t="shared" si="0"/>
        <v>0</v>
      </c>
      <c r="G8" s="64" t="str">
        <f t="shared" si="1"/>
        <v/>
      </c>
      <c r="H8" s="64" t="str">
        <f t="shared" si="2"/>
        <v/>
      </c>
      <c r="I8" s="63">
        <f>IF($G8="",0,IF(COUNTIF($G$2:$G8,$G8)=1,1,0))</f>
        <v>0</v>
      </c>
      <c r="J8" s="63" t="str">
        <f t="shared" si="3"/>
        <v/>
      </c>
      <c r="K8" s="63" t="str">
        <f>IF($H8="","",COUNTIF($H$2:$H8,"?*"))</f>
        <v/>
      </c>
    </row>
    <row r="9" spans="1:16" x14ac:dyDescent="0.25">
      <c r="A9" s="63" t="s">
        <v>554</v>
      </c>
      <c r="B9" s="63" t="s">
        <v>563</v>
      </c>
      <c r="C9" s="63" t="s">
        <v>556</v>
      </c>
      <c r="D9" s="63" t="str">
        <f>IF('Barn - Back Rack'!B20="","",TRIM('Barn - Back Rack'!B20))</f>
        <v/>
      </c>
      <c r="E9" s="64" t="str">
        <f>IF($D9="","",'Barn - Back Rack'!C20&amp;"")</f>
        <v/>
      </c>
      <c r="F9" s="63">
        <f t="shared" si="0"/>
        <v>0</v>
      </c>
      <c r="G9" s="64" t="str">
        <f t="shared" si="1"/>
        <v/>
      </c>
      <c r="H9" s="64" t="str">
        <f t="shared" si="2"/>
        <v/>
      </c>
      <c r="I9" s="63">
        <f>IF($G9="",0,IF(COUNTIF($G$2:$G9,$G9)=1,1,0))</f>
        <v>0</v>
      </c>
      <c r="J9" s="63" t="str">
        <f t="shared" si="3"/>
        <v/>
      </c>
      <c r="K9" s="63" t="str">
        <f>IF($H9="","",COUNTIF($H$2:$H9,"?*"))</f>
        <v/>
      </c>
    </row>
    <row r="10" spans="1:16" x14ac:dyDescent="0.25">
      <c r="A10" s="63" t="s">
        <v>554</v>
      </c>
      <c r="B10" s="63" t="s">
        <v>564</v>
      </c>
      <c r="C10" s="63" t="s">
        <v>556</v>
      </c>
      <c r="D10" s="63" t="str">
        <f>IF('Barn - Back Rack'!B21="","",TRIM('Barn - Back Rack'!B21))</f>
        <v/>
      </c>
      <c r="E10" s="64" t="str">
        <f>IF($D10="","",'Barn - Back Rack'!C21&amp;"")</f>
        <v/>
      </c>
      <c r="F10" s="63">
        <f t="shared" si="0"/>
        <v>0</v>
      </c>
      <c r="G10" s="64" t="str">
        <f t="shared" si="1"/>
        <v/>
      </c>
      <c r="H10" s="64" t="str">
        <f t="shared" si="2"/>
        <v/>
      </c>
      <c r="I10" s="63">
        <f>IF($G10="",0,IF(COUNTIF($G$2:$G10,$G10)=1,1,0))</f>
        <v>0</v>
      </c>
      <c r="J10" s="63" t="str">
        <f t="shared" si="3"/>
        <v/>
      </c>
      <c r="K10" s="63" t="str">
        <f>IF($H10="","",COUNTIF($H$2:$H10,"?*"))</f>
        <v/>
      </c>
    </row>
    <row r="11" spans="1:16" x14ac:dyDescent="0.25">
      <c r="A11" s="63" t="s">
        <v>554</v>
      </c>
      <c r="B11" s="63" t="s">
        <v>565</v>
      </c>
      <c r="C11" s="63" t="s">
        <v>556</v>
      </c>
      <c r="D11" s="63" t="str">
        <f>IF('Barn - Back Rack'!B22="","",TRIM('Barn - Back Rack'!B22))</f>
        <v/>
      </c>
      <c r="E11" s="64" t="str">
        <f>IF($D11="","",'Barn - Back Rack'!C22&amp;"")</f>
        <v/>
      </c>
      <c r="F11" s="63">
        <f t="shared" si="0"/>
        <v>0</v>
      </c>
      <c r="G11" s="64" t="str">
        <f t="shared" si="1"/>
        <v/>
      </c>
      <c r="H11" s="64" t="str">
        <f t="shared" si="2"/>
        <v/>
      </c>
      <c r="I11" s="63">
        <f>IF($G11="",0,IF(COUNTIF($G$2:$G11,$G11)=1,1,0))</f>
        <v>0</v>
      </c>
      <c r="J11" s="63" t="str">
        <f t="shared" si="3"/>
        <v/>
      </c>
      <c r="K11" s="63" t="str">
        <f>IF($H11="","",COUNTIF($H$2:$H11,"?*"))</f>
        <v/>
      </c>
    </row>
    <row r="12" spans="1:16" x14ac:dyDescent="0.25">
      <c r="A12" s="63" t="s">
        <v>554</v>
      </c>
      <c r="B12" s="63" t="s">
        <v>566</v>
      </c>
      <c r="C12" s="63" t="s">
        <v>556</v>
      </c>
      <c r="D12" s="63" t="str">
        <f>IF('Barn - Back Rack'!B23="","",TRIM('Barn - Back Rack'!B23))</f>
        <v/>
      </c>
      <c r="E12" s="64" t="str">
        <f>IF($D12="","",'Barn - Back Rack'!C23&amp;"")</f>
        <v/>
      </c>
      <c r="F12" s="63">
        <f t="shared" si="0"/>
        <v>0</v>
      </c>
      <c r="G12" s="64" t="str">
        <f t="shared" si="1"/>
        <v/>
      </c>
      <c r="H12" s="64" t="str">
        <f t="shared" si="2"/>
        <v/>
      </c>
      <c r="I12" s="63">
        <f>IF($G12="",0,IF(COUNTIF($G$2:$G12,$G12)=1,1,0))</f>
        <v>0</v>
      </c>
      <c r="J12" s="63" t="str">
        <f t="shared" si="3"/>
        <v/>
      </c>
      <c r="K12" s="63" t="str">
        <f>IF($H12="","",COUNTIF($H$2:$H12,"?*"))</f>
        <v/>
      </c>
    </row>
    <row r="13" spans="1:16" x14ac:dyDescent="0.25">
      <c r="A13" s="63" t="s">
        <v>554</v>
      </c>
      <c r="B13" s="63" t="s">
        <v>567</v>
      </c>
      <c r="C13" s="63" t="s">
        <v>556</v>
      </c>
      <c r="D13" s="63" t="str">
        <f>IF('Barn - Back Rack'!B24="","",TRIM('Barn - Back Rack'!B24))</f>
        <v/>
      </c>
      <c r="E13" s="64" t="str">
        <f>IF($D13="","",'Barn - Back Rack'!C24&amp;"")</f>
        <v/>
      </c>
      <c r="F13" s="63">
        <f t="shared" si="0"/>
        <v>0</v>
      </c>
      <c r="G13" s="64" t="str">
        <f t="shared" si="1"/>
        <v/>
      </c>
      <c r="H13" s="64" t="str">
        <f t="shared" si="2"/>
        <v/>
      </c>
      <c r="I13" s="63">
        <f>IF($G13="",0,IF(COUNTIF($G$2:$G13,$G13)=1,1,0))</f>
        <v>0</v>
      </c>
      <c r="J13" s="63" t="str">
        <f t="shared" si="3"/>
        <v/>
      </c>
      <c r="K13" s="63" t="str">
        <f>IF($H13="","",COUNTIF($H$2:$H13,"?*"))</f>
        <v/>
      </c>
    </row>
    <row r="14" spans="1:16" x14ac:dyDescent="0.25">
      <c r="A14" s="63" t="s">
        <v>554</v>
      </c>
      <c r="B14" s="63" t="s">
        <v>568</v>
      </c>
      <c r="C14" s="63" t="s">
        <v>556</v>
      </c>
      <c r="D14" s="63" t="str">
        <f>IF('Barn - Back Rack'!D13="","",TRIM('Barn - Back Rack'!D13))</f>
        <v/>
      </c>
      <c r="E14" s="64" t="str">
        <f>IF($D14="","",'Barn - Back Rack'!E13&amp;"")</f>
        <v/>
      </c>
      <c r="F14" s="63">
        <f t="shared" si="0"/>
        <v>0</v>
      </c>
      <c r="G14" s="64" t="str">
        <f t="shared" si="1"/>
        <v/>
      </c>
      <c r="H14" s="64" t="str">
        <f t="shared" si="2"/>
        <v/>
      </c>
      <c r="I14" s="63">
        <f>IF($G14="",0,IF(COUNTIF($G$2:$G14,$G14)=1,1,0))</f>
        <v>0</v>
      </c>
      <c r="J14" s="63" t="str">
        <f t="shared" si="3"/>
        <v/>
      </c>
      <c r="K14" s="63" t="str">
        <f>IF($H14="","",COUNTIF($H$2:$H14,"?*"))</f>
        <v/>
      </c>
    </row>
    <row r="15" spans="1:16" x14ac:dyDescent="0.25">
      <c r="A15" s="63" t="s">
        <v>554</v>
      </c>
      <c r="B15" s="63" t="s">
        <v>569</v>
      </c>
      <c r="C15" s="63" t="s">
        <v>556</v>
      </c>
      <c r="D15" s="63" t="str">
        <f>IF('Barn - Back Rack'!D14="","",TRIM('Barn - Back Rack'!D14))</f>
        <v/>
      </c>
      <c r="E15" s="64" t="str">
        <f>IF($D15="","",'Barn - Back Rack'!E14&amp;"")</f>
        <v/>
      </c>
      <c r="F15" s="63">
        <f t="shared" si="0"/>
        <v>0</v>
      </c>
      <c r="G15" s="64" t="str">
        <f t="shared" si="1"/>
        <v/>
      </c>
      <c r="H15" s="64" t="str">
        <f t="shared" si="2"/>
        <v/>
      </c>
      <c r="I15" s="63">
        <f>IF($G15="",0,IF(COUNTIF($G$2:$G15,$G15)=1,1,0))</f>
        <v>0</v>
      </c>
      <c r="J15" s="63" t="str">
        <f t="shared" si="3"/>
        <v/>
      </c>
      <c r="K15" s="63" t="str">
        <f>IF($H15="","",COUNTIF($H$2:$H15,"?*"))</f>
        <v/>
      </c>
    </row>
    <row r="16" spans="1:16" x14ac:dyDescent="0.25">
      <c r="A16" s="63" t="s">
        <v>554</v>
      </c>
      <c r="B16" s="63" t="s">
        <v>570</v>
      </c>
      <c r="C16" s="63" t="s">
        <v>556</v>
      </c>
      <c r="D16" s="63" t="str">
        <f>IF('Barn - Back Rack'!D15="","",TRIM('Barn - Back Rack'!D15))</f>
        <v/>
      </c>
      <c r="E16" s="64" t="str">
        <f>IF($D16="","",'Barn - Back Rack'!E15&amp;"")</f>
        <v/>
      </c>
      <c r="F16" s="63">
        <f t="shared" si="0"/>
        <v>0</v>
      </c>
      <c r="G16" s="64" t="str">
        <f t="shared" si="1"/>
        <v/>
      </c>
      <c r="H16" s="64" t="str">
        <f t="shared" si="2"/>
        <v/>
      </c>
      <c r="I16" s="63">
        <f>IF($G16="",0,IF(COUNTIF($G$2:$G16,$G16)=1,1,0))</f>
        <v>0</v>
      </c>
      <c r="J16" s="63" t="str">
        <f t="shared" si="3"/>
        <v/>
      </c>
      <c r="K16" s="63" t="str">
        <f>IF($H16="","",COUNTIF($H$2:$H16,"?*"))</f>
        <v/>
      </c>
    </row>
    <row r="17" spans="1:11" x14ac:dyDescent="0.25">
      <c r="A17" s="63" t="s">
        <v>554</v>
      </c>
      <c r="B17" s="63" t="s">
        <v>571</v>
      </c>
      <c r="C17" s="63" t="s">
        <v>556</v>
      </c>
      <c r="D17" s="63" t="str">
        <f>IF('Barn - Back Rack'!D16="","",TRIM('Barn - Back Rack'!D16))</f>
        <v/>
      </c>
      <c r="E17" s="64" t="str">
        <f>IF($D17="","",'Barn - Back Rack'!E16&amp;"")</f>
        <v/>
      </c>
      <c r="F17" s="63">
        <f t="shared" si="0"/>
        <v>0</v>
      </c>
      <c r="G17" s="64" t="str">
        <f t="shared" si="1"/>
        <v/>
      </c>
      <c r="H17" s="64" t="str">
        <f t="shared" si="2"/>
        <v/>
      </c>
      <c r="I17" s="63">
        <f>IF($G17="",0,IF(COUNTIF($G$2:$G17,$G17)=1,1,0))</f>
        <v>0</v>
      </c>
      <c r="J17" s="63" t="str">
        <f t="shared" si="3"/>
        <v/>
      </c>
      <c r="K17" s="63" t="str">
        <f>IF($H17="","",COUNTIF($H$2:$H17,"?*"))</f>
        <v/>
      </c>
    </row>
    <row r="18" spans="1:11" x14ac:dyDescent="0.25">
      <c r="A18" s="63" t="s">
        <v>554</v>
      </c>
      <c r="B18" s="63" t="s">
        <v>572</v>
      </c>
      <c r="C18" s="63" t="s">
        <v>556</v>
      </c>
      <c r="D18" s="63" t="str">
        <f>IF('Barn - Back Rack'!D17="","",TRIM('Barn - Back Rack'!D17))</f>
        <v/>
      </c>
      <c r="E18" s="64" t="str">
        <f>IF($D18="","",'Barn - Back Rack'!E17&amp;"")</f>
        <v/>
      </c>
      <c r="F18" s="63">
        <f t="shared" si="0"/>
        <v>0</v>
      </c>
      <c r="G18" s="64" t="str">
        <f t="shared" si="1"/>
        <v/>
      </c>
      <c r="H18" s="64" t="str">
        <f t="shared" si="2"/>
        <v/>
      </c>
      <c r="I18" s="63">
        <f>IF($G18="",0,IF(COUNTIF($G$2:$G18,$G18)=1,1,0))</f>
        <v>0</v>
      </c>
      <c r="J18" s="63" t="str">
        <f t="shared" si="3"/>
        <v/>
      </c>
      <c r="K18" s="63" t="str">
        <f>IF($H18="","",COUNTIF($H$2:$H18,"?*"))</f>
        <v/>
      </c>
    </row>
    <row r="19" spans="1:11" x14ac:dyDescent="0.25">
      <c r="A19" s="63" t="s">
        <v>554</v>
      </c>
      <c r="B19" s="63" t="s">
        <v>573</v>
      </c>
      <c r="C19" s="63" t="s">
        <v>556</v>
      </c>
      <c r="D19" s="63" t="str">
        <f>IF('Barn - Back Rack'!D18="","",TRIM('Barn - Back Rack'!D18))</f>
        <v/>
      </c>
      <c r="E19" s="64" t="str">
        <f>IF($D19="","",'Barn - Back Rack'!E18&amp;"")</f>
        <v/>
      </c>
      <c r="F19" s="63">
        <f t="shared" si="0"/>
        <v>0</v>
      </c>
      <c r="G19" s="64" t="str">
        <f t="shared" si="1"/>
        <v/>
      </c>
      <c r="H19" s="64" t="str">
        <f t="shared" si="2"/>
        <v/>
      </c>
      <c r="I19" s="63">
        <f>IF($G19="",0,IF(COUNTIF($G$2:$G19,$G19)=1,1,0))</f>
        <v>0</v>
      </c>
      <c r="J19" s="63" t="str">
        <f t="shared" si="3"/>
        <v/>
      </c>
      <c r="K19" s="63" t="str">
        <f>IF($H19="","",COUNTIF($H$2:$H19,"?*"))</f>
        <v/>
      </c>
    </row>
    <row r="20" spans="1:11" x14ac:dyDescent="0.25">
      <c r="A20" s="63" t="s">
        <v>554</v>
      </c>
      <c r="B20" s="63" t="s">
        <v>574</v>
      </c>
      <c r="C20" s="63" t="s">
        <v>556</v>
      </c>
      <c r="D20" s="63" t="str">
        <f>IF('Barn - Back Rack'!D19="","",TRIM('Barn - Back Rack'!D19))</f>
        <v/>
      </c>
      <c r="E20" s="64" t="str">
        <f>IF($D20="","",'Barn - Back Rack'!E19&amp;"")</f>
        <v/>
      </c>
      <c r="F20" s="63">
        <f t="shared" si="0"/>
        <v>0</v>
      </c>
      <c r="G20" s="64" t="str">
        <f t="shared" si="1"/>
        <v/>
      </c>
      <c r="H20" s="64" t="str">
        <f t="shared" si="2"/>
        <v/>
      </c>
      <c r="I20" s="63">
        <f>IF($G20="",0,IF(COUNTIF($G$2:$G20,$G20)=1,1,0))</f>
        <v>0</v>
      </c>
      <c r="J20" s="63" t="str">
        <f t="shared" si="3"/>
        <v/>
      </c>
      <c r="K20" s="63" t="str">
        <f>IF($H20="","",COUNTIF($H$2:$H20,"?*"))</f>
        <v/>
      </c>
    </row>
    <row r="21" spans="1:11" x14ac:dyDescent="0.25">
      <c r="A21" s="63" t="s">
        <v>554</v>
      </c>
      <c r="B21" s="63" t="s">
        <v>575</v>
      </c>
      <c r="C21" s="63" t="s">
        <v>556</v>
      </c>
      <c r="D21" s="63" t="str">
        <f>IF('Barn - Back Rack'!D20="","",TRIM('Barn - Back Rack'!D20))</f>
        <v/>
      </c>
      <c r="E21" s="64" t="str">
        <f>IF($D21="","",'Barn - Back Rack'!E20&amp;"")</f>
        <v/>
      </c>
      <c r="F21" s="63">
        <f t="shared" si="0"/>
        <v>0</v>
      </c>
      <c r="G21" s="64" t="str">
        <f t="shared" si="1"/>
        <v/>
      </c>
      <c r="H21" s="64" t="str">
        <f t="shared" si="2"/>
        <v/>
      </c>
      <c r="I21" s="63">
        <f>IF($G21="",0,IF(COUNTIF($G$2:$G21,$G21)=1,1,0))</f>
        <v>0</v>
      </c>
      <c r="J21" s="63" t="str">
        <f t="shared" si="3"/>
        <v/>
      </c>
      <c r="K21" s="63" t="str">
        <f>IF($H21="","",COUNTIF($H$2:$H21,"?*"))</f>
        <v/>
      </c>
    </row>
    <row r="22" spans="1:11" x14ac:dyDescent="0.25">
      <c r="A22" s="63" t="s">
        <v>554</v>
      </c>
      <c r="B22" s="63" t="s">
        <v>576</v>
      </c>
      <c r="C22" s="63" t="s">
        <v>556</v>
      </c>
      <c r="D22" s="63" t="str">
        <f>IF('Barn - Back Rack'!D21="","",TRIM('Barn - Back Rack'!D21))</f>
        <v/>
      </c>
      <c r="E22" s="64" t="str">
        <f>IF($D22="","",'Barn - Back Rack'!E21&amp;"")</f>
        <v/>
      </c>
      <c r="F22" s="63">
        <f t="shared" si="0"/>
        <v>0</v>
      </c>
      <c r="G22" s="64" t="str">
        <f t="shared" si="1"/>
        <v/>
      </c>
      <c r="H22" s="64" t="str">
        <f t="shared" si="2"/>
        <v/>
      </c>
      <c r="I22" s="63">
        <f>IF($G22="",0,IF(COUNTIF($G$2:$G22,$G22)=1,1,0))</f>
        <v>0</v>
      </c>
      <c r="J22" s="63" t="str">
        <f t="shared" si="3"/>
        <v/>
      </c>
      <c r="K22" s="63" t="str">
        <f>IF($H22="","",COUNTIF($H$2:$H22,"?*"))</f>
        <v/>
      </c>
    </row>
    <row r="23" spans="1:11" x14ac:dyDescent="0.25">
      <c r="A23" s="63" t="s">
        <v>554</v>
      </c>
      <c r="B23" s="63" t="s">
        <v>577</v>
      </c>
      <c r="C23" s="63" t="s">
        <v>556</v>
      </c>
      <c r="D23" s="63" t="str">
        <f>IF('Barn - Back Rack'!D22="","",TRIM('Barn - Back Rack'!D22))</f>
        <v/>
      </c>
      <c r="E23" s="64" t="str">
        <f>IF($D23="","",'Barn - Back Rack'!E22&amp;"")</f>
        <v/>
      </c>
      <c r="F23" s="63">
        <f t="shared" si="0"/>
        <v>0</v>
      </c>
      <c r="G23" s="64" t="str">
        <f t="shared" si="1"/>
        <v/>
      </c>
      <c r="H23" s="64" t="str">
        <f t="shared" si="2"/>
        <v/>
      </c>
      <c r="I23" s="63">
        <f>IF($G23="",0,IF(COUNTIF($G$2:$G23,$G23)=1,1,0))</f>
        <v>0</v>
      </c>
      <c r="J23" s="63" t="str">
        <f t="shared" si="3"/>
        <v/>
      </c>
      <c r="K23" s="63" t="str">
        <f>IF($H23="","",COUNTIF($H$2:$H23,"?*"))</f>
        <v/>
      </c>
    </row>
    <row r="24" spans="1:11" x14ac:dyDescent="0.25">
      <c r="A24" s="63" t="s">
        <v>554</v>
      </c>
      <c r="B24" s="63" t="s">
        <v>578</v>
      </c>
      <c r="C24" s="63" t="s">
        <v>556</v>
      </c>
      <c r="D24" s="63" t="str">
        <f>IF('Barn - Back Rack'!D23="","",TRIM('Barn - Back Rack'!D23))</f>
        <v/>
      </c>
      <c r="E24" s="64" t="str">
        <f>IF($D24="","",'Barn - Back Rack'!E23&amp;"")</f>
        <v/>
      </c>
      <c r="F24" s="63">
        <f t="shared" si="0"/>
        <v>0</v>
      </c>
      <c r="G24" s="64" t="str">
        <f t="shared" si="1"/>
        <v/>
      </c>
      <c r="H24" s="64" t="str">
        <f t="shared" si="2"/>
        <v/>
      </c>
      <c r="I24" s="63">
        <f>IF($G24="",0,IF(COUNTIF($G$2:$G24,$G24)=1,1,0))</f>
        <v>0</v>
      </c>
      <c r="J24" s="63" t="str">
        <f t="shared" si="3"/>
        <v/>
      </c>
      <c r="K24" s="63" t="str">
        <f>IF($H24="","",COUNTIF($H$2:$H24,"?*"))</f>
        <v/>
      </c>
    </row>
    <row r="25" spans="1:11" x14ac:dyDescent="0.25">
      <c r="A25" s="63" t="s">
        <v>554</v>
      </c>
      <c r="B25" s="63" t="s">
        <v>579</v>
      </c>
      <c r="C25" s="63" t="s">
        <v>556</v>
      </c>
      <c r="D25" s="63" t="str">
        <f>IF('Barn - Back Rack'!D24="","",TRIM('Barn - Back Rack'!D24))</f>
        <v/>
      </c>
      <c r="E25" s="64" t="str">
        <f>IF($D25="","",'Barn - Back Rack'!E24&amp;"")</f>
        <v/>
      </c>
      <c r="F25" s="63">
        <f t="shared" si="0"/>
        <v>0</v>
      </c>
      <c r="G25" s="64" t="str">
        <f t="shared" si="1"/>
        <v/>
      </c>
      <c r="H25" s="64" t="str">
        <f t="shared" si="2"/>
        <v/>
      </c>
      <c r="I25" s="63">
        <f>IF($G25="",0,IF(COUNTIF($G$2:$G25,$G25)=1,1,0))</f>
        <v>0</v>
      </c>
      <c r="J25" s="63" t="str">
        <f t="shared" si="3"/>
        <v/>
      </c>
      <c r="K25" s="63" t="str">
        <f>IF($H25="","",COUNTIF($H$2:$H25,"?*"))</f>
        <v/>
      </c>
    </row>
    <row r="26" spans="1:11" x14ac:dyDescent="0.25">
      <c r="A26" s="63" t="s">
        <v>554</v>
      </c>
      <c r="B26" s="63" t="s">
        <v>580</v>
      </c>
      <c r="C26" s="63" t="s">
        <v>556</v>
      </c>
      <c r="D26" s="63" t="str">
        <f>IF('Barn - Back Rack'!F13="","",TRIM('Barn - Back Rack'!F13))</f>
        <v/>
      </c>
      <c r="E26" s="64" t="str">
        <f>IF($D26="","",'Barn - Back Rack'!G13&amp;"")</f>
        <v/>
      </c>
      <c r="F26" s="63">
        <f t="shared" si="0"/>
        <v>0</v>
      </c>
      <c r="G26" s="64" t="str">
        <f t="shared" si="1"/>
        <v/>
      </c>
      <c r="H26" s="64" t="str">
        <f t="shared" si="2"/>
        <v/>
      </c>
      <c r="I26" s="63">
        <f>IF($G26="",0,IF(COUNTIF($G$2:$G26,$G26)=1,1,0))</f>
        <v>0</v>
      </c>
      <c r="J26" s="63" t="str">
        <f t="shared" si="3"/>
        <v/>
      </c>
      <c r="K26" s="63" t="str">
        <f>IF($H26="","",COUNTIF($H$2:$H26,"?*"))</f>
        <v/>
      </c>
    </row>
    <row r="27" spans="1:11" x14ac:dyDescent="0.25">
      <c r="A27" s="63" t="s">
        <v>554</v>
      </c>
      <c r="B27" s="63" t="s">
        <v>581</v>
      </c>
      <c r="C27" s="63" t="s">
        <v>556</v>
      </c>
      <c r="D27" s="63" t="str">
        <f>IF('Barn - Back Rack'!F14="","",TRIM('Barn - Back Rack'!F14))</f>
        <v/>
      </c>
      <c r="E27" s="64" t="str">
        <f>IF($D27="","",'Barn - Back Rack'!G14&amp;"")</f>
        <v/>
      </c>
      <c r="F27" s="63">
        <f t="shared" si="0"/>
        <v>0</v>
      </c>
      <c r="G27" s="64" t="str">
        <f t="shared" si="1"/>
        <v/>
      </c>
      <c r="H27" s="64" t="str">
        <f t="shared" si="2"/>
        <v/>
      </c>
      <c r="I27" s="63">
        <f>IF($G27="",0,IF(COUNTIF($G$2:$G27,$G27)=1,1,0))</f>
        <v>0</v>
      </c>
      <c r="J27" s="63" t="str">
        <f t="shared" si="3"/>
        <v/>
      </c>
      <c r="K27" s="63" t="str">
        <f>IF($H27="","",COUNTIF($H$2:$H27,"?*"))</f>
        <v/>
      </c>
    </row>
    <row r="28" spans="1:11" x14ac:dyDescent="0.25">
      <c r="A28" s="63" t="s">
        <v>554</v>
      </c>
      <c r="B28" s="63" t="s">
        <v>582</v>
      </c>
      <c r="C28" s="63" t="s">
        <v>556</v>
      </c>
      <c r="D28" s="63" t="str">
        <f>IF('Barn - Back Rack'!F15="","",TRIM('Barn - Back Rack'!F15))</f>
        <v/>
      </c>
      <c r="E28" s="64" t="str">
        <f>IF($D28="","",'Barn - Back Rack'!G15&amp;"")</f>
        <v/>
      </c>
      <c r="F28" s="63">
        <f t="shared" si="0"/>
        <v>0</v>
      </c>
      <c r="G28" s="64" t="str">
        <f t="shared" si="1"/>
        <v/>
      </c>
      <c r="H28" s="64" t="str">
        <f t="shared" si="2"/>
        <v/>
      </c>
      <c r="I28" s="63">
        <f>IF($G28="",0,IF(COUNTIF($G$2:$G28,$G28)=1,1,0))</f>
        <v>0</v>
      </c>
      <c r="J28" s="63" t="str">
        <f t="shared" si="3"/>
        <v/>
      </c>
      <c r="K28" s="63" t="str">
        <f>IF($H28="","",COUNTIF($H$2:$H28,"?*"))</f>
        <v/>
      </c>
    </row>
    <row r="29" spans="1:11" x14ac:dyDescent="0.25">
      <c r="A29" s="63" t="s">
        <v>554</v>
      </c>
      <c r="B29" s="63" t="s">
        <v>583</v>
      </c>
      <c r="C29" s="63" t="s">
        <v>556</v>
      </c>
      <c r="D29" s="63" t="str">
        <f>IF('Barn - Back Rack'!F16="","",TRIM('Barn - Back Rack'!F16))</f>
        <v/>
      </c>
      <c r="E29" s="64" t="str">
        <f>IF($D29="","",'Barn - Back Rack'!G16&amp;"")</f>
        <v/>
      </c>
      <c r="F29" s="63">
        <f t="shared" si="0"/>
        <v>0</v>
      </c>
      <c r="G29" s="64" t="str">
        <f t="shared" si="1"/>
        <v/>
      </c>
      <c r="H29" s="64" t="str">
        <f t="shared" si="2"/>
        <v/>
      </c>
      <c r="I29" s="63">
        <f>IF($G29="",0,IF(COUNTIF($G$2:$G29,$G29)=1,1,0))</f>
        <v>0</v>
      </c>
      <c r="J29" s="63" t="str">
        <f t="shared" si="3"/>
        <v/>
      </c>
      <c r="K29" s="63" t="str">
        <f>IF($H29="","",COUNTIF($H$2:$H29,"?*"))</f>
        <v/>
      </c>
    </row>
    <row r="30" spans="1:11" x14ac:dyDescent="0.25">
      <c r="A30" s="63" t="s">
        <v>554</v>
      </c>
      <c r="B30" s="63" t="s">
        <v>584</v>
      </c>
      <c r="C30" s="63" t="s">
        <v>556</v>
      </c>
      <c r="D30" s="63" t="str">
        <f>IF('Barn - Back Rack'!F17="","",TRIM('Barn - Back Rack'!F17))</f>
        <v/>
      </c>
      <c r="E30" s="64" t="str">
        <f>IF($D30="","",'Barn - Back Rack'!G17&amp;"")</f>
        <v/>
      </c>
      <c r="F30" s="63">
        <f t="shared" si="0"/>
        <v>0</v>
      </c>
      <c r="G30" s="64" t="str">
        <f t="shared" si="1"/>
        <v/>
      </c>
      <c r="H30" s="64" t="str">
        <f t="shared" si="2"/>
        <v/>
      </c>
      <c r="I30" s="63">
        <f>IF($G30="",0,IF(COUNTIF($G$2:$G30,$G30)=1,1,0))</f>
        <v>0</v>
      </c>
      <c r="J30" s="63" t="str">
        <f t="shared" si="3"/>
        <v/>
      </c>
      <c r="K30" s="63" t="str">
        <f>IF($H30="","",COUNTIF($H$2:$H30,"?*"))</f>
        <v/>
      </c>
    </row>
    <row r="31" spans="1:11" x14ac:dyDescent="0.25">
      <c r="A31" s="63" t="s">
        <v>554</v>
      </c>
      <c r="B31" s="63" t="s">
        <v>585</v>
      </c>
      <c r="C31" s="63" t="s">
        <v>556</v>
      </c>
      <c r="D31" s="63" t="str">
        <f>IF('Barn - Back Rack'!F18="","",TRIM('Barn - Back Rack'!F18))</f>
        <v/>
      </c>
      <c r="E31" s="64" t="str">
        <f>IF($D31="","",'Barn - Back Rack'!G18&amp;"")</f>
        <v/>
      </c>
      <c r="F31" s="63">
        <f t="shared" si="0"/>
        <v>0</v>
      </c>
      <c r="G31" s="64" t="str">
        <f t="shared" si="1"/>
        <v/>
      </c>
      <c r="H31" s="64" t="str">
        <f t="shared" si="2"/>
        <v/>
      </c>
      <c r="I31" s="63">
        <f>IF($G31="",0,IF(COUNTIF($G$2:$G31,$G31)=1,1,0))</f>
        <v>0</v>
      </c>
      <c r="J31" s="63" t="str">
        <f t="shared" si="3"/>
        <v/>
      </c>
      <c r="K31" s="63" t="str">
        <f>IF($H31="","",COUNTIF($H$2:$H31,"?*"))</f>
        <v/>
      </c>
    </row>
    <row r="32" spans="1:11" x14ac:dyDescent="0.25">
      <c r="A32" s="63" t="s">
        <v>554</v>
      </c>
      <c r="B32" s="63" t="s">
        <v>586</v>
      </c>
      <c r="C32" s="63" t="s">
        <v>556</v>
      </c>
      <c r="D32" s="63" t="str">
        <f>IF('Barn - Back Rack'!F19="","",TRIM('Barn - Back Rack'!F19))</f>
        <v/>
      </c>
      <c r="E32" s="64" t="str">
        <f>IF($D32="","",'Barn - Back Rack'!G19&amp;"")</f>
        <v/>
      </c>
      <c r="F32" s="63">
        <f t="shared" si="0"/>
        <v>0</v>
      </c>
      <c r="G32" s="64" t="str">
        <f t="shared" si="1"/>
        <v/>
      </c>
      <c r="H32" s="64" t="str">
        <f t="shared" si="2"/>
        <v/>
      </c>
      <c r="I32" s="63">
        <f>IF($G32="",0,IF(COUNTIF($G$2:$G32,$G32)=1,1,0))</f>
        <v>0</v>
      </c>
      <c r="J32" s="63" t="str">
        <f t="shared" si="3"/>
        <v/>
      </c>
      <c r="K32" s="63" t="str">
        <f>IF($H32="","",COUNTIF($H$2:$H32,"?*"))</f>
        <v/>
      </c>
    </row>
    <row r="33" spans="1:11" x14ac:dyDescent="0.25">
      <c r="A33" s="63" t="s">
        <v>554</v>
      </c>
      <c r="B33" s="63" t="s">
        <v>587</v>
      </c>
      <c r="C33" s="63" t="s">
        <v>556</v>
      </c>
      <c r="D33" s="63" t="str">
        <f>IF('Barn - Back Rack'!F20="","",TRIM('Barn - Back Rack'!F20))</f>
        <v/>
      </c>
      <c r="E33" s="64" t="str">
        <f>IF($D33="","",'Barn - Back Rack'!G20&amp;"")</f>
        <v/>
      </c>
      <c r="F33" s="63">
        <f t="shared" si="0"/>
        <v>0</v>
      </c>
      <c r="G33" s="64" t="str">
        <f t="shared" si="1"/>
        <v/>
      </c>
      <c r="H33" s="64" t="str">
        <f t="shared" si="2"/>
        <v/>
      </c>
      <c r="I33" s="63">
        <f>IF($G33="",0,IF(COUNTIF($G$2:$G33,$G33)=1,1,0))</f>
        <v>0</v>
      </c>
      <c r="J33" s="63" t="str">
        <f t="shared" si="3"/>
        <v/>
      </c>
      <c r="K33" s="63" t="str">
        <f>IF($H33="","",COUNTIF($H$2:$H33,"?*"))</f>
        <v/>
      </c>
    </row>
    <row r="34" spans="1:11" x14ac:dyDescent="0.25">
      <c r="A34" s="63" t="s">
        <v>554</v>
      </c>
      <c r="B34" s="63" t="s">
        <v>588</v>
      </c>
      <c r="C34" s="63" t="s">
        <v>556</v>
      </c>
      <c r="D34" s="63" t="str">
        <f>IF('Barn - Back Rack'!F21="","",TRIM('Barn - Back Rack'!F21))</f>
        <v/>
      </c>
      <c r="E34" s="64" t="str">
        <f>IF($D34="","",'Barn - Back Rack'!G21&amp;"")</f>
        <v/>
      </c>
      <c r="F34" s="63">
        <f t="shared" si="0"/>
        <v>0</v>
      </c>
      <c r="G34" s="64" t="str">
        <f t="shared" si="1"/>
        <v/>
      </c>
      <c r="H34" s="64" t="str">
        <f t="shared" si="2"/>
        <v/>
      </c>
      <c r="I34" s="63">
        <f>IF($G34="",0,IF(COUNTIF($G$2:$G34,$G34)=1,1,0))</f>
        <v>0</v>
      </c>
      <c r="J34" s="63" t="str">
        <f t="shared" si="3"/>
        <v/>
      </c>
      <c r="K34" s="63" t="str">
        <f>IF($H34="","",COUNTIF($H$2:$H34,"?*"))</f>
        <v/>
      </c>
    </row>
    <row r="35" spans="1:11" x14ac:dyDescent="0.25">
      <c r="A35" s="63" t="s">
        <v>554</v>
      </c>
      <c r="B35" s="63" t="s">
        <v>589</v>
      </c>
      <c r="C35" s="63" t="s">
        <v>556</v>
      </c>
      <c r="D35" s="63" t="str">
        <f>IF('Barn - Back Rack'!F22="","",TRIM('Barn - Back Rack'!F22))</f>
        <v/>
      </c>
      <c r="E35" s="64" t="str">
        <f>IF($D35="","",'Barn - Back Rack'!G22&amp;"")</f>
        <v/>
      </c>
      <c r="F35" s="63">
        <f t="shared" si="0"/>
        <v>0</v>
      </c>
      <c r="G35" s="64" t="str">
        <f t="shared" si="1"/>
        <v/>
      </c>
      <c r="H35" s="64" t="str">
        <f t="shared" si="2"/>
        <v/>
      </c>
      <c r="I35" s="63">
        <f>IF($G35="",0,IF(COUNTIF($G$2:$G35,$G35)=1,1,0))</f>
        <v>0</v>
      </c>
      <c r="J35" s="63" t="str">
        <f t="shared" si="3"/>
        <v/>
      </c>
      <c r="K35" s="63" t="str">
        <f>IF($H35="","",COUNTIF($H$2:$H35,"?*"))</f>
        <v/>
      </c>
    </row>
    <row r="36" spans="1:11" x14ac:dyDescent="0.25">
      <c r="A36" s="63" t="s">
        <v>554</v>
      </c>
      <c r="B36" s="63" t="s">
        <v>590</v>
      </c>
      <c r="C36" s="63" t="s">
        <v>556</v>
      </c>
      <c r="D36" s="63" t="str">
        <f>IF('Barn - Back Rack'!F23="","",TRIM('Barn - Back Rack'!F23))</f>
        <v/>
      </c>
      <c r="E36" s="64" t="str">
        <f>IF($D36="","",'Barn - Back Rack'!G23&amp;"")</f>
        <v/>
      </c>
      <c r="F36" s="63">
        <f t="shared" si="0"/>
        <v>0</v>
      </c>
      <c r="G36" s="64" t="str">
        <f t="shared" si="1"/>
        <v/>
      </c>
      <c r="H36" s="64" t="str">
        <f t="shared" si="2"/>
        <v/>
      </c>
      <c r="I36" s="63">
        <f>IF($G36="",0,IF(COUNTIF($G$2:$G36,$G36)=1,1,0))</f>
        <v>0</v>
      </c>
      <c r="J36" s="63" t="str">
        <f t="shared" si="3"/>
        <v/>
      </c>
      <c r="K36" s="63" t="str">
        <f>IF($H36="","",COUNTIF($H$2:$H36,"?*"))</f>
        <v/>
      </c>
    </row>
    <row r="37" spans="1:11" x14ac:dyDescent="0.25">
      <c r="A37" s="63" t="s">
        <v>554</v>
      </c>
      <c r="B37" s="63" t="s">
        <v>591</v>
      </c>
      <c r="C37" s="63" t="s">
        <v>556</v>
      </c>
      <c r="D37" s="63" t="str">
        <f>IF('Barn - Back Rack'!F24="","",TRIM('Barn - Back Rack'!F24))</f>
        <v/>
      </c>
      <c r="E37" s="64" t="str">
        <f>IF($D37="","",'Barn - Back Rack'!G24&amp;"")</f>
        <v/>
      </c>
      <c r="F37" s="63">
        <f t="shared" si="0"/>
        <v>0</v>
      </c>
      <c r="G37" s="64" t="str">
        <f t="shared" si="1"/>
        <v/>
      </c>
      <c r="H37" s="64" t="str">
        <f t="shared" si="2"/>
        <v/>
      </c>
      <c r="I37" s="63">
        <f>IF($G37="",0,IF(COUNTIF($G$2:$G37,$G37)=1,1,0))</f>
        <v>0</v>
      </c>
      <c r="J37" s="63" t="str">
        <f t="shared" si="3"/>
        <v/>
      </c>
      <c r="K37" s="63" t="str">
        <f>IF($H37="","",COUNTIF($H$2:$H37,"?*"))</f>
        <v/>
      </c>
    </row>
    <row r="38" spans="1:11" x14ac:dyDescent="0.25">
      <c r="A38" s="63" t="s">
        <v>554</v>
      </c>
      <c r="B38" s="63" t="s">
        <v>592</v>
      </c>
      <c r="C38" s="63" t="s">
        <v>556</v>
      </c>
      <c r="D38" s="63" t="str">
        <f>IF('Barn - Back Rack'!H13="","",TRIM('Barn - Back Rack'!H13))</f>
        <v/>
      </c>
      <c r="E38" s="64" t="str">
        <f>IF($D38="","",'Barn - Back Rack'!I13&amp;"")</f>
        <v/>
      </c>
      <c r="F38" s="63">
        <f t="shared" si="0"/>
        <v>0</v>
      </c>
      <c r="G38" s="64" t="str">
        <f t="shared" si="1"/>
        <v/>
      </c>
      <c r="H38" s="64" t="str">
        <f t="shared" si="2"/>
        <v/>
      </c>
      <c r="I38" s="63">
        <f>IF($G38="",0,IF(COUNTIF($G$2:$G38,$G38)=1,1,0))</f>
        <v>0</v>
      </c>
      <c r="J38" s="63" t="str">
        <f t="shared" si="3"/>
        <v/>
      </c>
      <c r="K38" s="63" t="str">
        <f>IF($H38="","",COUNTIF($H$2:$H38,"?*"))</f>
        <v/>
      </c>
    </row>
    <row r="39" spans="1:11" x14ac:dyDescent="0.25">
      <c r="A39" s="63" t="s">
        <v>554</v>
      </c>
      <c r="B39" s="63" t="s">
        <v>593</v>
      </c>
      <c r="C39" s="63" t="s">
        <v>556</v>
      </c>
      <c r="D39" s="63" t="str">
        <f>IF('Barn - Back Rack'!H14="","",TRIM('Barn - Back Rack'!H14))</f>
        <v/>
      </c>
      <c r="E39" s="64" t="str">
        <f>IF($D39="","",'Barn - Back Rack'!I14&amp;"")</f>
        <v/>
      </c>
      <c r="F39" s="63">
        <f t="shared" si="0"/>
        <v>0</v>
      </c>
      <c r="G39" s="64" t="str">
        <f t="shared" si="1"/>
        <v/>
      </c>
      <c r="H39" s="64" t="str">
        <f t="shared" si="2"/>
        <v/>
      </c>
      <c r="I39" s="63">
        <f>IF($G39="",0,IF(COUNTIF($G$2:$G39,$G39)=1,1,0))</f>
        <v>0</v>
      </c>
      <c r="J39" s="63" t="str">
        <f t="shared" si="3"/>
        <v/>
      </c>
      <c r="K39" s="63" t="str">
        <f>IF($H39="","",COUNTIF($H$2:$H39,"?*"))</f>
        <v/>
      </c>
    </row>
    <row r="40" spans="1:11" x14ac:dyDescent="0.25">
      <c r="A40" s="63" t="s">
        <v>554</v>
      </c>
      <c r="B40" s="63" t="s">
        <v>594</v>
      </c>
      <c r="C40" s="63" t="s">
        <v>556</v>
      </c>
      <c r="D40" s="63" t="str">
        <f>IF('Barn - Back Rack'!H15="","",TRIM('Barn - Back Rack'!H15))</f>
        <v/>
      </c>
      <c r="E40" s="64" t="str">
        <f>IF($D40="","",'Barn - Back Rack'!I15&amp;"")</f>
        <v/>
      </c>
      <c r="F40" s="63">
        <f t="shared" si="0"/>
        <v>0</v>
      </c>
      <c r="G40" s="64" t="str">
        <f t="shared" si="1"/>
        <v/>
      </c>
      <c r="H40" s="64" t="str">
        <f t="shared" si="2"/>
        <v/>
      </c>
      <c r="I40" s="63">
        <f>IF($G40="",0,IF(COUNTIF($G$2:$G40,$G40)=1,1,0))</f>
        <v>0</v>
      </c>
      <c r="J40" s="63" t="str">
        <f t="shared" si="3"/>
        <v/>
      </c>
      <c r="K40" s="63" t="str">
        <f>IF($H40="","",COUNTIF($H$2:$H40,"?*"))</f>
        <v/>
      </c>
    </row>
    <row r="41" spans="1:11" x14ac:dyDescent="0.25">
      <c r="A41" s="63" t="s">
        <v>554</v>
      </c>
      <c r="B41" s="63" t="s">
        <v>595</v>
      </c>
      <c r="C41" s="63" t="s">
        <v>556</v>
      </c>
      <c r="D41" s="63" t="str">
        <f>IF('Barn - Back Rack'!H16="","",TRIM('Barn - Back Rack'!H16))</f>
        <v/>
      </c>
      <c r="E41" s="64" t="str">
        <f>IF($D41="","",'Barn - Back Rack'!I16&amp;"")</f>
        <v/>
      </c>
      <c r="F41" s="63">
        <f t="shared" si="0"/>
        <v>0</v>
      </c>
      <c r="G41" s="64" t="str">
        <f t="shared" si="1"/>
        <v/>
      </c>
      <c r="H41" s="64" t="str">
        <f t="shared" si="2"/>
        <v/>
      </c>
      <c r="I41" s="63">
        <f>IF($G41="",0,IF(COUNTIF($G$2:$G41,$G41)=1,1,0))</f>
        <v>0</v>
      </c>
      <c r="J41" s="63" t="str">
        <f t="shared" si="3"/>
        <v/>
      </c>
      <c r="K41" s="63" t="str">
        <f>IF($H41="","",COUNTIF($H$2:$H41,"?*"))</f>
        <v/>
      </c>
    </row>
    <row r="42" spans="1:11" x14ac:dyDescent="0.25">
      <c r="A42" s="63" t="s">
        <v>554</v>
      </c>
      <c r="B42" s="63" t="s">
        <v>596</v>
      </c>
      <c r="C42" s="63" t="s">
        <v>556</v>
      </c>
      <c r="D42" s="63" t="str">
        <f>IF('Barn - Back Rack'!H17="","",TRIM('Barn - Back Rack'!H17))</f>
        <v/>
      </c>
      <c r="E42" s="64" t="str">
        <f>IF($D42="","",'Barn - Back Rack'!I17&amp;"")</f>
        <v/>
      </c>
      <c r="F42" s="63">
        <f t="shared" si="0"/>
        <v>0</v>
      </c>
      <c r="G42" s="64" t="str">
        <f t="shared" si="1"/>
        <v/>
      </c>
      <c r="H42" s="64" t="str">
        <f t="shared" si="2"/>
        <v/>
      </c>
      <c r="I42" s="63">
        <f>IF($G42="",0,IF(COUNTIF($G$2:$G42,$G42)=1,1,0))</f>
        <v>0</v>
      </c>
      <c r="J42" s="63" t="str">
        <f t="shared" si="3"/>
        <v/>
      </c>
      <c r="K42" s="63" t="str">
        <f>IF($H42="","",COUNTIF($H$2:$H42,"?*"))</f>
        <v/>
      </c>
    </row>
    <row r="43" spans="1:11" x14ac:dyDescent="0.25">
      <c r="A43" s="63" t="s">
        <v>554</v>
      </c>
      <c r="B43" s="63" t="s">
        <v>597</v>
      </c>
      <c r="C43" s="63" t="s">
        <v>556</v>
      </c>
      <c r="D43" s="63" t="str">
        <f>IF('Barn - Back Rack'!H18="","",TRIM('Barn - Back Rack'!H18))</f>
        <v/>
      </c>
      <c r="E43" s="64" t="str">
        <f>IF($D43="","",'Barn - Back Rack'!I18&amp;"")</f>
        <v/>
      </c>
      <c r="F43" s="63">
        <f t="shared" si="0"/>
        <v>0</v>
      </c>
      <c r="G43" s="64" t="str">
        <f t="shared" si="1"/>
        <v/>
      </c>
      <c r="H43" s="64" t="str">
        <f t="shared" si="2"/>
        <v/>
      </c>
      <c r="I43" s="63">
        <f>IF($G43="",0,IF(COUNTIF($G$2:$G43,$G43)=1,1,0))</f>
        <v>0</v>
      </c>
      <c r="J43" s="63" t="str">
        <f t="shared" si="3"/>
        <v/>
      </c>
      <c r="K43" s="63" t="str">
        <f>IF($H43="","",COUNTIF($H$2:$H43,"?*"))</f>
        <v/>
      </c>
    </row>
    <row r="44" spans="1:11" x14ac:dyDescent="0.25">
      <c r="A44" s="63" t="s">
        <v>554</v>
      </c>
      <c r="B44" s="63" t="s">
        <v>598</v>
      </c>
      <c r="C44" s="63" t="s">
        <v>556</v>
      </c>
      <c r="D44" s="63" t="str">
        <f>IF('Barn - Back Rack'!H19="","",TRIM('Barn - Back Rack'!H19))</f>
        <v/>
      </c>
      <c r="E44" s="64" t="str">
        <f>IF($D44="","",'Barn - Back Rack'!I19&amp;"")</f>
        <v/>
      </c>
      <c r="F44" s="63">
        <f t="shared" si="0"/>
        <v>0</v>
      </c>
      <c r="G44" s="64" t="str">
        <f t="shared" si="1"/>
        <v/>
      </c>
      <c r="H44" s="64" t="str">
        <f t="shared" si="2"/>
        <v/>
      </c>
      <c r="I44" s="63">
        <f>IF($G44="",0,IF(COUNTIF($G$2:$G44,$G44)=1,1,0))</f>
        <v>0</v>
      </c>
      <c r="J44" s="63" t="str">
        <f t="shared" si="3"/>
        <v/>
      </c>
      <c r="K44" s="63" t="str">
        <f>IF($H44="","",COUNTIF($H$2:$H44,"?*"))</f>
        <v/>
      </c>
    </row>
    <row r="45" spans="1:11" x14ac:dyDescent="0.25">
      <c r="A45" s="63" t="s">
        <v>554</v>
      </c>
      <c r="B45" s="63" t="s">
        <v>599</v>
      </c>
      <c r="C45" s="63" t="s">
        <v>556</v>
      </c>
      <c r="D45" s="63" t="str">
        <f>IF('Barn - Back Rack'!H20="","",TRIM('Barn - Back Rack'!H20))</f>
        <v/>
      </c>
      <c r="E45" s="64" t="str">
        <f>IF($D45="","",'Barn - Back Rack'!I20&amp;"")</f>
        <v/>
      </c>
      <c r="F45" s="63">
        <f t="shared" si="0"/>
        <v>0</v>
      </c>
      <c r="G45" s="64" t="str">
        <f t="shared" si="1"/>
        <v/>
      </c>
      <c r="H45" s="64" t="str">
        <f t="shared" si="2"/>
        <v/>
      </c>
      <c r="I45" s="63">
        <f>IF($G45="",0,IF(COUNTIF($G$2:$G45,$G45)=1,1,0))</f>
        <v>0</v>
      </c>
      <c r="J45" s="63" t="str">
        <f t="shared" si="3"/>
        <v/>
      </c>
      <c r="K45" s="63" t="str">
        <f>IF($H45="","",COUNTIF($H$2:$H45,"?*"))</f>
        <v/>
      </c>
    </row>
    <row r="46" spans="1:11" x14ac:dyDescent="0.25">
      <c r="A46" s="63" t="s">
        <v>554</v>
      </c>
      <c r="B46" s="63" t="s">
        <v>600</v>
      </c>
      <c r="C46" s="63" t="s">
        <v>556</v>
      </c>
      <c r="D46" s="63" t="str">
        <f>IF('Barn - Back Rack'!H21="","",TRIM('Barn - Back Rack'!H21))</f>
        <v/>
      </c>
      <c r="E46" s="64" t="str">
        <f>IF($D46="","",'Barn - Back Rack'!I21&amp;"")</f>
        <v/>
      </c>
      <c r="F46" s="63">
        <f t="shared" si="0"/>
        <v>0</v>
      </c>
      <c r="G46" s="64" t="str">
        <f t="shared" si="1"/>
        <v/>
      </c>
      <c r="H46" s="64" t="str">
        <f t="shared" si="2"/>
        <v/>
      </c>
      <c r="I46" s="63">
        <f>IF($G46="",0,IF(COUNTIF($G$2:$G46,$G46)=1,1,0))</f>
        <v>0</v>
      </c>
      <c r="J46" s="63" t="str">
        <f t="shared" si="3"/>
        <v/>
      </c>
      <c r="K46" s="63" t="str">
        <f>IF($H46="","",COUNTIF($H$2:$H46,"?*"))</f>
        <v/>
      </c>
    </row>
    <row r="47" spans="1:11" x14ac:dyDescent="0.25">
      <c r="A47" s="63" t="s">
        <v>554</v>
      </c>
      <c r="B47" s="63" t="s">
        <v>601</v>
      </c>
      <c r="C47" s="63" t="s">
        <v>556</v>
      </c>
      <c r="D47" s="63" t="str">
        <f>IF('Barn - Back Rack'!H22="","",TRIM('Barn - Back Rack'!H22))</f>
        <v/>
      </c>
      <c r="E47" s="64" t="str">
        <f>IF($D47="","",'Barn - Back Rack'!I22&amp;"")</f>
        <v/>
      </c>
      <c r="F47" s="63">
        <f t="shared" si="0"/>
        <v>0</v>
      </c>
      <c r="G47" s="64" t="str">
        <f t="shared" si="1"/>
        <v/>
      </c>
      <c r="H47" s="64" t="str">
        <f t="shared" si="2"/>
        <v/>
      </c>
      <c r="I47" s="63">
        <f>IF($G47="",0,IF(COUNTIF($G$2:$G47,$G47)=1,1,0))</f>
        <v>0</v>
      </c>
      <c r="J47" s="63" t="str">
        <f t="shared" si="3"/>
        <v/>
      </c>
      <c r="K47" s="63" t="str">
        <f>IF($H47="","",COUNTIF($H$2:$H47,"?*"))</f>
        <v/>
      </c>
    </row>
    <row r="48" spans="1:11" x14ac:dyDescent="0.25">
      <c r="A48" s="63" t="s">
        <v>554</v>
      </c>
      <c r="B48" s="63" t="s">
        <v>602</v>
      </c>
      <c r="C48" s="63" t="s">
        <v>556</v>
      </c>
      <c r="D48" s="63" t="str">
        <f>IF('Barn - Back Rack'!H23="","",TRIM('Barn - Back Rack'!H23))</f>
        <v/>
      </c>
      <c r="E48" s="64" t="str">
        <f>IF($D48="","",'Barn - Back Rack'!I23&amp;"")</f>
        <v/>
      </c>
      <c r="F48" s="63">
        <f t="shared" si="0"/>
        <v>0</v>
      </c>
      <c r="G48" s="64" t="str">
        <f t="shared" si="1"/>
        <v/>
      </c>
      <c r="H48" s="64" t="str">
        <f t="shared" si="2"/>
        <v/>
      </c>
      <c r="I48" s="63">
        <f>IF($G48="",0,IF(COUNTIF($G$2:$G48,$G48)=1,1,0))</f>
        <v>0</v>
      </c>
      <c r="J48" s="63" t="str">
        <f t="shared" si="3"/>
        <v/>
      </c>
      <c r="K48" s="63" t="str">
        <f>IF($H48="","",COUNTIF($H$2:$H48,"?*"))</f>
        <v/>
      </c>
    </row>
    <row r="49" spans="1:11" x14ac:dyDescent="0.25">
      <c r="A49" s="63" t="s">
        <v>554</v>
      </c>
      <c r="B49" s="63" t="s">
        <v>603</v>
      </c>
      <c r="C49" s="63" t="s">
        <v>556</v>
      </c>
      <c r="D49" s="63" t="str">
        <f>IF('Barn - Back Rack'!H24="","",TRIM('Barn - Back Rack'!H24))</f>
        <v/>
      </c>
      <c r="E49" s="64" t="str">
        <f>IF($D49="","",'Barn - Back Rack'!I24&amp;"")</f>
        <v/>
      </c>
      <c r="F49" s="63">
        <f t="shared" si="0"/>
        <v>0</v>
      </c>
      <c r="G49" s="64" t="str">
        <f t="shared" si="1"/>
        <v/>
      </c>
      <c r="H49" s="64" t="str">
        <f t="shared" si="2"/>
        <v/>
      </c>
      <c r="I49" s="63">
        <f>IF($G49="",0,IF(COUNTIF($G$2:$G49,$G49)=1,1,0))</f>
        <v>0</v>
      </c>
      <c r="J49" s="63" t="str">
        <f t="shared" si="3"/>
        <v/>
      </c>
      <c r="K49" s="63" t="str">
        <f>IF($H49="","",COUNTIF($H$2:$H49,"?*"))</f>
        <v/>
      </c>
    </row>
    <row r="50" spans="1:11" x14ac:dyDescent="0.25">
      <c r="A50" s="63" t="s">
        <v>554</v>
      </c>
      <c r="B50" s="63" t="s">
        <v>604</v>
      </c>
      <c r="C50" s="63" t="s">
        <v>605</v>
      </c>
      <c r="D50" s="63" t="str">
        <f>IF('Barn - Back Rack'!J13="","",TRIM('Barn - Back Rack'!J13))</f>
        <v/>
      </c>
      <c r="E50" s="64"/>
      <c r="F50" s="63">
        <f>IF($D50="",0,IF(ISNUMBER('Barn - Back Rack'!K13),'Barn - Back Rack'!K13,1))</f>
        <v>0</v>
      </c>
      <c r="G50" s="64" t="str">
        <f t="shared" si="1"/>
        <v/>
      </c>
      <c r="H50" s="64" t="str">
        <f t="shared" si="2"/>
        <v/>
      </c>
      <c r="I50" s="63">
        <f>IF($G50="",0,IF(COUNTIF($G$2:$G50,$G50)=1,1,0))</f>
        <v>0</v>
      </c>
      <c r="J50" s="63" t="str">
        <f t="shared" si="3"/>
        <v/>
      </c>
      <c r="K50" s="63" t="str">
        <f>IF($H50="","",COUNTIF($H$2:$H50,"?*"))</f>
        <v/>
      </c>
    </row>
    <row r="51" spans="1:11" x14ac:dyDescent="0.25">
      <c r="A51" s="63" t="s">
        <v>554</v>
      </c>
      <c r="B51" s="63" t="s">
        <v>606</v>
      </c>
      <c r="C51" s="63" t="s">
        <v>605</v>
      </c>
      <c r="D51" s="63" t="str">
        <f>IF('Barn - Back Rack'!J14="","",TRIM('Barn - Back Rack'!J14))</f>
        <v/>
      </c>
      <c r="E51" s="64"/>
      <c r="F51" s="63">
        <f>IF($D51="",0,IF(ISNUMBER('Barn - Back Rack'!K14),'Barn - Back Rack'!K14,1))</f>
        <v>0</v>
      </c>
      <c r="G51" s="64" t="str">
        <f t="shared" si="1"/>
        <v/>
      </c>
      <c r="H51" s="64" t="str">
        <f t="shared" si="2"/>
        <v/>
      </c>
      <c r="I51" s="63">
        <f>IF($G51="",0,IF(COUNTIF($G$2:$G51,$G51)=1,1,0))</f>
        <v>0</v>
      </c>
      <c r="J51" s="63" t="str">
        <f t="shared" si="3"/>
        <v/>
      </c>
      <c r="K51" s="63" t="str">
        <f>IF($H51="","",COUNTIF($H$2:$H51,"?*"))</f>
        <v/>
      </c>
    </row>
    <row r="52" spans="1:11" x14ac:dyDescent="0.25">
      <c r="A52" s="63" t="s">
        <v>554</v>
      </c>
      <c r="B52" s="63" t="s">
        <v>607</v>
      </c>
      <c r="C52" s="63" t="s">
        <v>605</v>
      </c>
      <c r="D52" s="63" t="str">
        <f>IF('Barn - Back Rack'!J15="","",TRIM('Barn - Back Rack'!J15))</f>
        <v/>
      </c>
      <c r="E52" s="64"/>
      <c r="F52" s="63">
        <f>IF($D52="",0,IF(ISNUMBER('Barn - Back Rack'!K15),'Barn - Back Rack'!K15,1))</f>
        <v>0</v>
      </c>
      <c r="G52" s="64" t="str">
        <f t="shared" si="1"/>
        <v/>
      </c>
      <c r="H52" s="64" t="str">
        <f t="shared" si="2"/>
        <v/>
      </c>
      <c r="I52" s="63">
        <f>IF($G52="",0,IF(COUNTIF($G$2:$G52,$G52)=1,1,0))</f>
        <v>0</v>
      </c>
      <c r="J52" s="63" t="str">
        <f t="shared" si="3"/>
        <v/>
      </c>
      <c r="K52" s="63" t="str">
        <f>IF($H52="","",COUNTIF($H$2:$H52,"?*"))</f>
        <v/>
      </c>
    </row>
    <row r="53" spans="1:11" x14ac:dyDescent="0.25">
      <c r="A53" s="63" t="s">
        <v>554</v>
      </c>
      <c r="B53" s="63" t="s">
        <v>608</v>
      </c>
      <c r="C53" s="63" t="s">
        <v>605</v>
      </c>
      <c r="D53" s="63" t="str">
        <f>IF('Barn - Back Rack'!J16="","",TRIM('Barn - Back Rack'!J16))</f>
        <v/>
      </c>
      <c r="E53" s="64"/>
      <c r="F53" s="63">
        <f>IF($D53="",0,IF(ISNUMBER('Barn - Back Rack'!K16),'Barn - Back Rack'!K16,1))</f>
        <v>0</v>
      </c>
      <c r="G53" s="64" t="str">
        <f t="shared" si="1"/>
        <v/>
      </c>
      <c r="H53" s="64" t="str">
        <f t="shared" si="2"/>
        <v/>
      </c>
      <c r="I53" s="63">
        <f>IF($G53="",0,IF(COUNTIF($G$2:$G53,$G53)=1,1,0))</f>
        <v>0</v>
      </c>
      <c r="J53" s="63" t="str">
        <f t="shared" si="3"/>
        <v/>
      </c>
      <c r="K53" s="63" t="str">
        <f>IF($H53="","",COUNTIF($H$2:$H53,"?*"))</f>
        <v/>
      </c>
    </row>
    <row r="54" spans="1:11" x14ac:dyDescent="0.25">
      <c r="A54" s="63" t="s">
        <v>554</v>
      </c>
      <c r="B54" s="63" t="s">
        <v>609</v>
      </c>
      <c r="C54" s="63" t="s">
        <v>605</v>
      </c>
      <c r="D54" s="63" t="str">
        <f>IF('Barn - Back Rack'!J17="","",TRIM('Barn - Back Rack'!J17))</f>
        <v/>
      </c>
      <c r="E54" s="64"/>
      <c r="F54" s="63">
        <f>IF($D54="",0,IF(ISNUMBER('Barn - Back Rack'!K17),'Barn - Back Rack'!K17,1))</f>
        <v>0</v>
      </c>
      <c r="G54" s="64" t="str">
        <f t="shared" si="1"/>
        <v/>
      </c>
      <c r="H54" s="64" t="str">
        <f t="shared" si="2"/>
        <v/>
      </c>
      <c r="I54" s="63">
        <f>IF($G54="",0,IF(COUNTIF($G$2:$G54,$G54)=1,1,0))</f>
        <v>0</v>
      </c>
      <c r="J54" s="63" t="str">
        <f t="shared" si="3"/>
        <v/>
      </c>
      <c r="K54" s="63" t="str">
        <f>IF($H54="","",COUNTIF($H$2:$H54,"?*"))</f>
        <v/>
      </c>
    </row>
    <row r="55" spans="1:11" x14ac:dyDescent="0.25">
      <c r="A55" s="63" t="s">
        <v>554</v>
      </c>
      <c r="B55" s="63" t="s">
        <v>610</v>
      </c>
      <c r="C55" s="63" t="s">
        <v>605</v>
      </c>
      <c r="D55" s="63" t="str">
        <f>IF('Barn - Back Rack'!J18="","",TRIM('Barn - Back Rack'!J18))</f>
        <v/>
      </c>
      <c r="E55" s="64"/>
      <c r="F55" s="63">
        <f>IF($D55="",0,IF(ISNUMBER('Barn - Back Rack'!K18),'Barn - Back Rack'!K18,1))</f>
        <v>0</v>
      </c>
      <c r="G55" s="64" t="str">
        <f t="shared" si="1"/>
        <v/>
      </c>
      <c r="H55" s="64" t="str">
        <f t="shared" si="2"/>
        <v/>
      </c>
      <c r="I55" s="63">
        <f>IF($G55="",0,IF(COUNTIF($G$2:$G55,$G55)=1,1,0))</f>
        <v>0</v>
      </c>
      <c r="J55" s="63" t="str">
        <f t="shared" si="3"/>
        <v/>
      </c>
      <c r="K55" s="63" t="str">
        <f>IF($H55="","",COUNTIF($H$2:$H55,"?*"))</f>
        <v/>
      </c>
    </row>
    <row r="56" spans="1:11" x14ac:dyDescent="0.25">
      <c r="A56" s="63" t="s">
        <v>554</v>
      </c>
      <c r="B56" s="63" t="s">
        <v>611</v>
      </c>
      <c r="C56" s="63" t="s">
        <v>605</v>
      </c>
      <c r="D56" s="63" t="str">
        <f>IF('Barn - Back Rack'!J19="","",TRIM('Barn - Back Rack'!J19))</f>
        <v/>
      </c>
      <c r="E56" s="64"/>
      <c r="F56" s="63">
        <f>IF($D56="",0,IF(ISNUMBER('Barn - Back Rack'!K19),'Barn - Back Rack'!K19,1))</f>
        <v>0</v>
      </c>
      <c r="G56" s="64" t="str">
        <f t="shared" si="1"/>
        <v/>
      </c>
      <c r="H56" s="64" t="str">
        <f t="shared" si="2"/>
        <v/>
      </c>
      <c r="I56" s="63">
        <f>IF($G56="",0,IF(COUNTIF($G$2:$G56,$G56)=1,1,0))</f>
        <v>0</v>
      </c>
      <c r="J56" s="63" t="str">
        <f t="shared" si="3"/>
        <v/>
      </c>
      <c r="K56" s="63" t="str">
        <f>IF($H56="","",COUNTIF($H$2:$H56,"?*"))</f>
        <v/>
      </c>
    </row>
    <row r="57" spans="1:11" x14ac:dyDescent="0.25">
      <c r="A57" s="63" t="s">
        <v>554</v>
      </c>
      <c r="B57" s="63" t="s">
        <v>612</v>
      </c>
      <c r="C57" s="63" t="s">
        <v>605</v>
      </c>
      <c r="D57" s="63" t="str">
        <f>IF('Barn - Back Rack'!J20="","",TRIM('Barn - Back Rack'!J20))</f>
        <v/>
      </c>
      <c r="E57" s="64"/>
      <c r="F57" s="63">
        <f>IF($D57="",0,IF(ISNUMBER('Barn - Back Rack'!K20),'Barn - Back Rack'!K20,1))</f>
        <v>0</v>
      </c>
      <c r="G57" s="64" t="str">
        <f t="shared" si="1"/>
        <v/>
      </c>
      <c r="H57" s="64" t="str">
        <f t="shared" si="2"/>
        <v/>
      </c>
      <c r="I57" s="63">
        <f>IF($G57="",0,IF(COUNTIF($G$2:$G57,$G57)=1,1,0))</f>
        <v>0</v>
      </c>
      <c r="J57" s="63" t="str">
        <f t="shared" si="3"/>
        <v/>
      </c>
      <c r="K57" s="63" t="str">
        <f>IF($H57="","",COUNTIF($H$2:$H57,"?*"))</f>
        <v/>
      </c>
    </row>
    <row r="58" spans="1:11" x14ac:dyDescent="0.25">
      <c r="A58" s="63" t="s">
        <v>554</v>
      </c>
      <c r="B58" s="63" t="s">
        <v>613</v>
      </c>
      <c r="C58" s="63" t="s">
        <v>605</v>
      </c>
      <c r="D58" s="63" t="str">
        <f>IF('Barn - Back Rack'!J21="","",TRIM('Barn - Back Rack'!J21))</f>
        <v/>
      </c>
      <c r="E58" s="64"/>
      <c r="F58" s="63">
        <f>IF($D58="",0,IF(ISNUMBER('Barn - Back Rack'!K21),'Barn - Back Rack'!K21,1))</f>
        <v>0</v>
      </c>
      <c r="G58" s="64" t="str">
        <f t="shared" si="1"/>
        <v/>
      </c>
      <c r="H58" s="64" t="str">
        <f t="shared" si="2"/>
        <v/>
      </c>
      <c r="I58" s="63">
        <f>IF($G58="",0,IF(COUNTIF($G$2:$G58,$G58)=1,1,0))</f>
        <v>0</v>
      </c>
      <c r="J58" s="63" t="str">
        <f t="shared" si="3"/>
        <v/>
      </c>
      <c r="K58" s="63" t="str">
        <f>IF($H58="","",COUNTIF($H$2:$H58,"?*"))</f>
        <v/>
      </c>
    </row>
    <row r="59" spans="1:11" x14ac:dyDescent="0.25">
      <c r="A59" s="63" t="s">
        <v>554</v>
      </c>
      <c r="B59" s="63" t="s">
        <v>614</v>
      </c>
      <c r="C59" s="63" t="s">
        <v>605</v>
      </c>
      <c r="D59" s="63" t="str">
        <f>IF('Barn - Back Rack'!J22="","",TRIM('Barn - Back Rack'!J22))</f>
        <v/>
      </c>
      <c r="E59" s="64"/>
      <c r="F59" s="63">
        <f>IF($D59="",0,IF(ISNUMBER('Barn - Back Rack'!K22),'Barn - Back Rack'!K22,1))</f>
        <v>0</v>
      </c>
      <c r="G59" s="64" t="str">
        <f t="shared" si="1"/>
        <v/>
      </c>
      <c r="H59" s="64" t="str">
        <f t="shared" si="2"/>
        <v/>
      </c>
      <c r="I59" s="63">
        <f>IF($G59="",0,IF(COUNTIF($G$2:$G59,$G59)=1,1,0))</f>
        <v>0</v>
      </c>
      <c r="J59" s="63" t="str">
        <f t="shared" si="3"/>
        <v/>
      </c>
      <c r="K59" s="63" t="str">
        <f>IF($H59="","",COUNTIF($H$2:$H59,"?*"))</f>
        <v/>
      </c>
    </row>
    <row r="60" spans="1:11" x14ac:dyDescent="0.25">
      <c r="A60" s="63" t="s">
        <v>554</v>
      </c>
      <c r="B60" s="63" t="s">
        <v>615</v>
      </c>
      <c r="C60" s="63" t="s">
        <v>605</v>
      </c>
      <c r="D60" s="63" t="str">
        <f>IF('Barn - Back Rack'!J23="","",TRIM('Barn - Back Rack'!J23))</f>
        <v/>
      </c>
      <c r="E60" s="64"/>
      <c r="F60" s="63">
        <f>IF($D60="",0,IF(ISNUMBER('Barn - Back Rack'!K23),'Barn - Back Rack'!K23,1))</f>
        <v>0</v>
      </c>
      <c r="G60" s="64" t="str">
        <f t="shared" si="1"/>
        <v/>
      </c>
      <c r="H60" s="64" t="str">
        <f t="shared" si="2"/>
        <v/>
      </c>
      <c r="I60" s="63">
        <f>IF($G60="",0,IF(COUNTIF($G$2:$G60,$G60)=1,1,0))</f>
        <v>0</v>
      </c>
      <c r="J60" s="63" t="str">
        <f t="shared" si="3"/>
        <v/>
      </c>
      <c r="K60" s="63" t="str">
        <f>IF($H60="","",COUNTIF($H$2:$H60,"?*"))</f>
        <v/>
      </c>
    </row>
    <row r="61" spans="1:11" x14ac:dyDescent="0.25">
      <c r="A61" s="63" t="s">
        <v>554</v>
      </c>
      <c r="B61" s="63" t="s">
        <v>616</v>
      </c>
      <c r="C61" s="63" t="s">
        <v>605</v>
      </c>
      <c r="D61" s="63" t="str">
        <f>IF('Barn - Back Rack'!J24="","",TRIM('Barn - Back Rack'!J24))</f>
        <v/>
      </c>
      <c r="E61" s="64"/>
      <c r="F61" s="63">
        <f>IF($D61="",0,IF(ISNUMBER('Barn - Back Rack'!K24),'Barn - Back Rack'!K24,1))</f>
        <v>0</v>
      </c>
      <c r="G61" s="64" t="str">
        <f t="shared" si="1"/>
        <v/>
      </c>
      <c r="H61" s="64" t="str">
        <f t="shared" si="2"/>
        <v/>
      </c>
      <c r="I61" s="63">
        <f>IF($G61="",0,IF(COUNTIF($G$2:$G61,$G61)=1,1,0))</f>
        <v>0</v>
      </c>
      <c r="J61" s="63" t="str">
        <f t="shared" si="3"/>
        <v/>
      </c>
      <c r="K61" s="63" t="str">
        <f>IF($H61="","",COUNTIF($H$2:$H61,"?*"))</f>
        <v/>
      </c>
    </row>
    <row r="62" spans="1:11" x14ac:dyDescent="0.25">
      <c r="A62" s="63" t="s">
        <v>554</v>
      </c>
      <c r="B62" s="63" t="s">
        <v>617</v>
      </c>
      <c r="C62" s="63" t="s">
        <v>605</v>
      </c>
      <c r="D62" s="63" t="str">
        <f>IF('Barn - Back Rack'!L13="","",TRIM('Barn - Back Rack'!L13))</f>
        <v>Bunn TDO5</v>
      </c>
      <c r="E62" s="64"/>
      <c r="F62" s="65">
        <f>IF($D62="",0,IF(ISNUMBER('Barn - Back Rack'!M13),'Barn - Back Rack'!M13,1))</f>
        <v>3</v>
      </c>
      <c r="G62" s="64" t="str">
        <f t="shared" si="1"/>
        <v>Bunn TDO5</v>
      </c>
      <c r="H62" s="64" t="str">
        <f t="shared" si="2"/>
        <v/>
      </c>
      <c r="I62" s="63">
        <f>IF($G62="",0,IF(COUNTIF($G$2:$G62,$G62)=1,1,0))</f>
        <v>1</v>
      </c>
      <c r="J62" s="63">
        <f t="shared" si="3"/>
        <v>34</v>
      </c>
      <c r="K62" s="63" t="str">
        <f>IF($H62="","",COUNTIF($H$2:$H62,"?*"))</f>
        <v/>
      </c>
    </row>
    <row r="63" spans="1:11" x14ac:dyDescent="0.25">
      <c r="A63" s="63" t="s">
        <v>554</v>
      </c>
      <c r="B63" s="63" t="s">
        <v>618</v>
      </c>
      <c r="C63" s="63" t="s">
        <v>605</v>
      </c>
      <c r="D63" s="63" t="str">
        <f>IF('Barn - Back Rack'!L14="","",TRIM('Barn - Back Rack'!L14))</f>
        <v>Bunn TDO4</v>
      </c>
      <c r="E63" s="64"/>
      <c r="F63" s="65">
        <f>IF($D63="",0,IF(ISNUMBER('Barn - Back Rack'!M14),'Barn - Back Rack'!M14,1))</f>
        <v>6</v>
      </c>
      <c r="G63" s="64" t="str">
        <f t="shared" si="1"/>
        <v>Bunn TDO4</v>
      </c>
      <c r="H63" s="64" t="str">
        <f t="shared" si="2"/>
        <v/>
      </c>
      <c r="I63" s="63">
        <f>IF($G63="",0,IF(COUNTIF($G$2:$G63,$G63)=1,1,0))</f>
        <v>1</v>
      </c>
      <c r="J63" s="63">
        <f t="shared" si="3"/>
        <v>33</v>
      </c>
      <c r="K63" s="63" t="str">
        <f>IF($H63="","",COUNTIF($H$2:$H63,"?*"))</f>
        <v/>
      </c>
    </row>
    <row r="64" spans="1:11" x14ac:dyDescent="0.25">
      <c r="A64" s="63" t="s">
        <v>554</v>
      </c>
      <c r="B64" s="63" t="s">
        <v>619</v>
      </c>
      <c r="C64" s="63" t="s">
        <v>605</v>
      </c>
      <c r="D64" s="63" t="str">
        <f>IF('Barn - Back Rack'!L15="","",TRIM('Barn - Back Rack'!L15))</f>
        <v>Bunn TDO3.5LP</v>
      </c>
      <c r="E64" s="64"/>
      <c r="F64" s="65">
        <f>IF($D64="",0,IF(ISNUMBER('Barn - Back Rack'!M15),'Barn - Back Rack'!M15,1))</f>
        <v>1</v>
      </c>
      <c r="G64" s="64" t="str">
        <f t="shared" si="1"/>
        <v>Bunn TDO3.5LP</v>
      </c>
      <c r="H64" s="64" t="str">
        <f t="shared" si="2"/>
        <v/>
      </c>
      <c r="I64" s="63">
        <f>IF($G64="",0,IF(COUNTIF($G$2:$G64,$G64)=1,1,0))</f>
        <v>1</v>
      </c>
      <c r="J64" s="63">
        <f t="shared" si="3"/>
        <v>32</v>
      </c>
      <c r="K64" s="63" t="str">
        <f>IF($H64="","",COUNTIF($H$2:$H64,"?*"))</f>
        <v/>
      </c>
    </row>
    <row r="65" spans="1:11" x14ac:dyDescent="0.25">
      <c r="A65" s="63" t="s">
        <v>554</v>
      </c>
      <c r="B65" s="63" t="s">
        <v>620</v>
      </c>
      <c r="C65" s="63" t="s">
        <v>605</v>
      </c>
      <c r="D65" s="63" t="str">
        <f>IF('Barn - Back Rack'!L16="","",TRIM('Barn - Back Rack'!L16))</f>
        <v/>
      </c>
      <c r="E65" s="64"/>
      <c r="F65" s="63">
        <f>IF($D65="",0,IF(ISNUMBER('Barn - Back Rack'!M16),'Barn - Back Rack'!M16,1))</f>
        <v>0</v>
      </c>
      <c r="G65" s="64" t="str">
        <f t="shared" si="1"/>
        <v/>
      </c>
      <c r="H65" s="64" t="str">
        <f t="shared" si="2"/>
        <v/>
      </c>
      <c r="I65" s="63">
        <f>IF($G65="",0,IF(COUNTIF($G$2:$G65,$G65)=1,1,0))</f>
        <v>0</v>
      </c>
      <c r="J65" s="63" t="str">
        <f t="shared" si="3"/>
        <v/>
      </c>
      <c r="K65" s="63" t="str">
        <f>IF($H65="","",COUNTIF($H$2:$H65,"?*"))</f>
        <v/>
      </c>
    </row>
    <row r="66" spans="1:11" x14ac:dyDescent="0.25">
      <c r="A66" s="63" t="s">
        <v>554</v>
      </c>
      <c r="B66" s="63" t="s">
        <v>621</v>
      </c>
      <c r="C66" s="63" t="s">
        <v>605</v>
      </c>
      <c r="D66" s="63" t="str">
        <f>IF('Barn - Back Rack'!L17="","",TRIM('Barn - Back Rack'!L17))</f>
        <v/>
      </c>
      <c r="E66" s="64"/>
      <c r="F66" s="63">
        <f>IF($D66="",0,IF(ISNUMBER('Barn - Back Rack'!M17),'Barn - Back Rack'!M17,1))</f>
        <v>0</v>
      </c>
      <c r="G66" s="64" t="str">
        <f t="shared" ref="G66:G129" si="4">IF($D66="","",IF(ISNUMBER(FIND("(",$D66)),TRIM(LEFT($D66,FIND("(",$D66)-1)),$D66))</f>
        <v/>
      </c>
      <c r="H66" s="64" t="str">
        <f t="shared" ref="H66:H129" si="5">IF($D66="","",IF(ISNUMBER(FIND("(",$D66)),TRIM(SUBSTITUTE(MID($D66,FIND("(",$D66)+1,200),")","")),""))</f>
        <v/>
      </c>
      <c r="I66" s="63">
        <f>IF($G66="",0,IF(COUNTIF($G$2:$G66,$G66)=1,1,0))</f>
        <v>0</v>
      </c>
      <c r="J66" s="63" t="str">
        <f t="shared" ref="J66:J129" si="6">IF($I66=0,"",SUMPRODUCT(($I$2:$I$1513=1)*($G$2:$G$1513&lt;$G66))+1)</f>
        <v/>
      </c>
      <c r="K66" s="63" t="str">
        <f>IF($H66="","",COUNTIF($H$2:$H66,"?*"))</f>
        <v/>
      </c>
    </row>
    <row r="67" spans="1:11" x14ac:dyDescent="0.25">
      <c r="A67" s="63" t="s">
        <v>554</v>
      </c>
      <c r="B67" s="63" t="s">
        <v>622</v>
      </c>
      <c r="C67" s="63" t="s">
        <v>605</v>
      </c>
      <c r="D67" s="63" t="str">
        <f>IF('Barn - Back Rack'!L18="","",TRIM('Barn - Back Rack'!L18))</f>
        <v/>
      </c>
      <c r="E67" s="64"/>
      <c r="F67" s="63">
        <f>IF($D67="",0,IF(ISNUMBER('Barn - Back Rack'!M18),'Barn - Back Rack'!M18,1))</f>
        <v>0</v>
      </c>
      <c r="G67" s="64" t="str">
        <f t="shared" si="4"/>
        <v/>
      </c>
      <c r="H67" s="64" t="str">
        <f t="shared" si="5"/>
        <v/>
      </c>
      <c r="I67" s="63">
        <f>IF($G67="",0,IF(COUNTIF($G$2:$G67,$G67)=1,1,0))</f>
        <v>0</v>
      </c>
      <c r="J67" s="63" t="str">
        <f t="shared" si="6"/>
        <v/>
      </c>
      <c r="K67" s="63" t="str">
        <f>IF($H67="","",COUNTIF($H$2:$H67,"?*"))</f>
        <v/>
      </c>
    </row>
    <row r="68" spans="1:11" x14ac:dyDescent="0.25">
      <c r="A68" s="63" t="s">
        <v>554</v>
      </c>
      <c r="B68" s="63" t="s">
        <v>623</v>
      </c>
      <c r="C68" s="63" t="s">
        <v>605</v>
      </c>
      <c r="D68" s="63" t="str">
        <f>IF('Barn - Back Rack'!L19="","",TRIM('Barn - Back Rack'!L19))</f>
        <v/>
      </c>
      <c r="E68" s="64"/>
      <c r="F68" s="63">
        <f>IF($D68="",0,IF(ISNUMBER('Barn - Back Rack'!M19),'Barn - Back Rack'!M19,1))</f>
        <v>0</v>
      </c>
      <c r="G68" s="64" t="str">
        <f t="shared" si="4"/>
        <v/>
      </c>
      <c r="H68" s="64" t="str">
        <f t="shared" si="5"/>
        <v/>
      </c>
      <c r="I68" s="63">
        <f>IF($G68="",0,IF(COUNTIF($G$2:$G68,$G68)=1,1,0))</f>
        <v>0</v>
      </c>
      <c r="J68" s="63" t="str">
        <f t="shared" si="6"/>
        <v/>
      </c>
      <c r="K68" s="63" t="str">
        <f>IF($H68="","",COUNTIF($H$2:$H68,"?*"))</f>
        <v/>
      </c>
    </row>
    <row r="69" spans="1:11" x14ac:dyDescent="0.25">
      <c r="A69" s="63" t="s">
        <v>554</v>
      </c>
      <c r="B69" s="63" t="s">
        <v>624</v>
      </c>
      <c r="C69" s="63" t="s">
        <v>605</v>
      </c>
      <c r="D69" s="63" t="str">
        <f>IF('Barn - Back Rack'!L20="","",TRIM('Barn - Back Rack'!L20))</f>
        <v/>
      </c>
      <c r="E69" s="64"/>
      <c r="F69" s="63">
        <f>IF($D69="",0,IF(ISNUMBER('Barn - Back Rack'!M20),'Barn - Back Rack'!M20,1))</f>
        <v>0</v>
      </c>
      <c r="G69" s="64" t="str">
        <f t="shared" si="4"/>
        <v/>
      </c>
      <c r="H69" s="64" t="str">
        <f t="shared" si="5"/>
        <v/>
      </c>
      <c r="I69" s="63">
        <f>IF($G69="",0,IF(COUNTIF($G$2:$G69,$G69)=1,1,0))</f>
        <v>0</v>
      </c>
      <c r="J69" s="63" t="str">
        <f t="shared" si="6"/>
        <v/>
      </c>
      <c r="K69" s="63" t="str">
        <f>IF($H69="","",COUNTIF($H$2:$H69,"?*"))</f>
        <v/>
      </c>
    </row>
    <row r="70" spans="1:11" x14ac:dyDescent="0.25">
      <c r="A70" s="63" t="s">
        <v>554</v>
      </c>
      <c r="B70" s="63" t="s">
        <v>625</v>
      </c>
      <c r="C70" s="63" t="s">
        <v>605</v>
      </c>
      <c r="D70" s="63" t="str">
        <f>IF('Barn - Back Rack'!L21="","",TRIM('Barn - Back Rack'!L21))</f>
        <v/>
      </c>
      <c r="E70" s="64"/>
      <c r="F70" s="63">
        <f>IF($D70="",0,IF(ISNUMBER('Barn - Back Rack'!M21),'Barn - Back Rack'!M21,1))</f>
        <v>0</v>
      </c>
      <c r="G70" s="64" t="str">
        <f t="shared" si="4"/>
        <v/>
      </c>
      <c r="H70" s="64" t="str">
        <f t="shared" si="5"/>
        <v/>
      </c>
      <c r="I70" s="63">
        <f>IF($G70="",0,IF(COUNTIF($G$2:$G70,$G70)=1,1,0))</f>
        <v>0</v>
      </c>
      <c r="J70" s="63" t="str">
        <f t="shared" si="6"/>
        <v/>
      </c>
      <c r="K70" s="63" t="str">
        <f>IF($H70="","",COUNTIF($H$2:$H70,"?*"))</f>
        <v/>
      </c>
    </row>
    <row r="71" spans="1:11" x14ac:dyDescent="0.25">
      <c r="A71" s="63" t="s">
        <v>554</v>
      </c>
      <c r="B71" s="63" t="s">
        <v>626</v>
      </c>
      <c r="C71" s="63" t="s">
        <v>605</v>
      </c>
      <c r="D71" s="63" t="str">
        <f>IF('Barn - Back Rack'!L22="","",TRIM('Barn - Back Rack'!L22))</f>
        <v/>
      </c>
      <c r="E71" s="64"/>
      <c r="F71" s="63">
        <f>IF($D71="",0,IF(ISNUMBER('Barn - Back Rack'!M22),'Barn - Back Rack'!M22,1))</f>
        <v>0</v>
      </c>
      <c r="G71" s="64" t="str">
        <f t="shared" si="4"/>
        <v/>
      </c>
      <c r="H71" s="64" t="str">
        <f t="shared" si="5"/>
        <v/>
      </c>
      <c r="I71" s="63">
        <f>IF($G71="",0,IF(COUNTIF($G$2:$G71,$G71)=1,1,0))</f>
        <v>0</v>
      </c>
      <c r="J71" s="63" t="str">
        <f t="shared" si="6"/>
        <v/>
      </c>
      <c r="K71" s="63" t="str">
        <f>IF($H71="","",COUNTIF($H$2:$H71,"?*"))</f>
        <v/>
      </c>
    </row>
    <row r="72" spans="1:11" x14ac:dyDescent="0.25">
      <c r="A72" s="63" t="s">
        <v>554</v>
      </c>
      <c r="B72" s="63" t="s">
        <v>627</v>
      </c>
      <c r="C72" s="63" t="s">
        <v>605</v>
      </c>
      <c r="D72" s="63" t="str">
        <f>IF('Barn - Back Rack'!L23="","",TRIM('Barn - Back Rack'!L23))</f>
        <v/>
      </c>
      <c r="E72" s="64"/>
      <c r="F72" s="63">
        <f>IF($D72="",0,IF(ISNUMBER('Barn - Back Rack'!M23),'Barn - Back Rack'!M23,1))</f>
        <v>0</v>
      </c>
      <c r="G72" s="64" t="str">
        <f t="shared" si="4"/>
        <v/>
      </c>
      <c r="H72" s="64" t="str">
        <f t="shared" si="5"/>
        <v/>
      </c>
      <c r="I72" s="63">
        <f>IF($G72="",0,IF(COUNTIF($G$2:$G72,$G72)=1,1,0))</f>
        <v>0</v>
      </c>
      <c r="J72" s="63" t="str">
        <f t="shared" si="6"/>
        <v/>
      </c>
      <c r="K72" s="63" t="str">
        <f>IF($H72="","",COUNTIF($H$2:$H72,"?*"))</f>
        <v/>
      </c>
    </row>
    <row r="73" spans="1:11" x14ac:dyDescent="0.25">
      <c r="A73" s="63" t="s">
        <v>554</v>
      </c>
      <c r="B73" s="63" t="s">
        <v>628</v>
      </c>
      <c r="C73" s="63" t="s">
        <v>605</v>
      </c>
      <c r="D73" s="63" t="str">
        <f>IF('Barn - Back Rack'!L24="","",TRIM('Barn - Back Rack'!L24))</f>
        <v/>
      </c>
      <c r="E73" s="64"/>
      <c r="F73" s="63">
        <f>IF($D73="",0,IF(ISNUMBER('Barn - Back Rack'!M24),'Barn - Back Rack'!M24,1))</f>
        <v>0</v>
      </c>
      <c r="G73" s="64" t="str">
        <f t="shared" si="4"/>
        <v/>
      </c>
      <c r="H73" s="64" t="str">
        <f t="shared" si="5"/>
        <v/>
      </c>
      <c r="I73" s="63">
        <f>IF($G73="",0,IF(COUNTIF($G$2:$G73,$G73)=1,1,0))</f>
        <v>0</v>
      </c>
      <c r="J73" s="63" t="str">
        <f t="shared" si="6"/>
        <v/>
      </c>
      <c r="K73" s="63" t="str">
        <f>IF($H73="","",COUNTIF($H$2:$H73,"?*"))</f>
        <v/>
      </c>
    </row>
    <row r="74" spans="1:11" x14ac:dyDescent="0.25">
      <c r="A74" s="63" t="s">
        <v>554</v>
      </c>
      <c r="B74" s="63" t="s">
        <v>629</v>
      </c>
      <c r="C74" s="63" t="s">
        <v>556</v>
      </c>
      <c r="D74" s="63" t="str">
        <f>IF('Barn - Back Rack'!N13="","",TRIM('Barn - Back Rack'!N13))</f>
        <v/>
      </c>
      <c r="E74" s="64" t="str">
        <f>IF($D74="","",'Barn - Back Rack'!O13&amp;"")</f>
        <v/>
      </c>
      <c r="F74" s="63">
        <f t="shared" ref="F74:F105" si="7">IF($D74="",0,1)</f>
        <v>0</v>
      </c>
      <c r="G74" s="64" t="str">
        <f t="shared" si="4"/>
        <v/>
      </c>
      <c r="H74" s="64" t="str">
        <f t="shared" si="5"/>
        <v/>
      </c>
      <c r="I74" s="63">
        <f>IF($G74="",0,IF(COUNTIF($G$2:$G74,$G74)=1,1,0))</f>
        <v>0</v>
      </c>
      <c r="J74" s="63" t="str">
        <f t="shared" si="6"/>
        <v/>
      </c>
      <c r="K74" s="63" t="str">
        <f>IF($H74="","",COUNTIF($H$2:$H74,"?*"))</f>
        <v/>
      </c>
    </row>
    <row r="75" spans="1:11" x14ac:dyDescent="0.25">
      <c r="A75" s="63" t="s">
        <v>554</v>
      </c>
      <c r="B75" s="63" t="s">
        <v>630</v>
      </c>
      <c r="C75" s="63" t="s">
        <v>556</v>
      </c>
      <c r="D75" s="63" t="str">
        <f>IF('Barn - Back Rack'!N14="","",TRIM('Barn - Back Rack'!N14))</f>
        <v/>
      </c>
      <c r="E75" s="64" t="str">
        <f>IF($D75="","",'Barn - Back Rack'!O14&amp;"")</f>
        <v/>
      </c>
      <c r="F75" s="63">
        <f t="shared" si="7"/>
        <v>0</v>
      </c>
      <c r="G75" s="64" t="str">
        <f t="shared" si="4"/>
        <v/>
      </c>
      <c r="H75" s="64" t="str">
        <f t="shared" si="5"/>
        <v/>
      </c>
      <c r="I75" s="63">
        <f>IF($G75="",0,IF(COUNTIF($G$2:$G75,$G75)=1,1,0))</f>
        <v>0</v>
      </c>
      <c r="J75" s="63" t="str">
        <f t="shared" si="6"/>
        <v/>
      </c>
      <c r="K75" s="63" t="str">
        <f>IF($H75="","",COUNTIF($H$2:$H75,"?*"))</f>
        <v/>
      </c>
    </row>
    <row r="76" spans="1:11" x14ac:dyDescent="0.25">
      <c r="A76" s="63" t="s">
        <v>554</v>
      </c>
      <c r="B76" s="63" t="s">
        <v>631</v>
      </c>
      <c r="C76" s="63" t="s">
        <v>556</v>
      </c>
      <c r="D76" s="63" t="str">
        <f>IF('Barn - Back Rack'!N15="","",TRIM('Barn - Back Rack'!N15))</f>
        <v/>
      </c>
      <c r="E76" s="64" t="str">
        <f>IF($D76="","",'Barn - Back Rack'!O15&amp;"")</f>
        <v/>
      </c>
      <c r="F76" s="63">
        <f t="shared" si="7"/>
        <v>0</v>
      </c>
      <c r="G76" s="64" t="str">
        <f t="shared" si="4"/>
        <v/>
      </c>
      <c r="H76" s="64" t="str">
        <f t="shared" si="5"/>
        <v/>
      </c>
      <c r="I76" s="63">
        <f>IF($G76="",0,IF(COUNTIF($G$2:$G76,$G76)=1,1,0))</f>
        <v>0</v>
      </c>
      <c r="J76" s="63" t="str">
        <f t="shared" si="6"/>
        <v/>
      </c>
      <c r="K76" s="63" t="str">
        <f>IF($H76="","",COUNTIF($H$2:$H76,"?*"))</f>
        <v/>
      </c>
    </row>
    <row r="77" spans="1:11" x14ac:dyDescent="0.25">
      <c r="A77" s="63" t="s">
        <v>554</v>
      </c>
      <c r="B77" s="63" t="s">
        <v>632</v>
      </c>
      <c r="C77" s="63" t="s">
        <v>556</v>
      </c>
      <c r="D77" s="63" t="str">
        <f>IF('Barn - Back Rack'!N16="","",TRIM('Barn - Back Rack'!N16))</f>
        <v/>
      </c>
      <c r="E77" s="64" t="str">
        <f>IF($D77="","",'Barn - Back Rack'!O16&amp;"")</f>
        <v/>
      </c>
      <c r="F77" s="63">
        <f t="shared" si="7"/>
        <v>0</v>
      </c>
      <c r="G77" s="64" t="str">
        <f t="shared" si="4"/>
        <v/>
      </c>
      <c r="H77" s="64" t="str">
        <f t="shared" si="5"/>
        <v/>
      </c>
      <c r="I77" s="63">
        <f>IF($G77="",0,IF(COUNTIF($G$2:$G77,$G77)=1,1,0))</f>
        <v>0</v>
      </c>
      <c r="J77" s="63" t="str">
        <f t="shared" si="6"/>
        <v/>
      </c>
      <c r="K77" s="63" t="str">
        <f>IF($H77="","",COUNTIF($H$2:$H77,"?*"))</f>
        <v/>
      </c>
    </row>
    <row r="78" spans="1:11" x14ac:dyDescent="0.25">
      <c r="A78" s="63" t="s">
        <v>554</v>
      </c>
      <c r="B78" s="63" t="s">
        <v>633</v>
      </c>
      <c r="C78" s="63" t="s">
        <v>556</v>
      </c>
      <c r="D78" s="63" t="str">
        <f>IF('Barn - Back Rack'!N17="","",TRIM('Barn - Back Rack'!N17))</f>
        <v/>
      </c>
      <c r="E78" s="64" t="str">
        <f>IF($D78="","",'Barn - Back Rack'!O17&amp;"")</f>
        <v/>
      </c>
      <c r="F78" s="63">
        <f t="shared" si="7"/>
        <v>0</v>
      </c>
      <c r="G78" s="64" t="str">
        <f t="shared" si="4"/>
        <v/>
      </c>
      <c r="H78" s="64" t="str">
        <f t="shared" si="5"/>
        <v/>
      </c>
      <c r="I78" s="63">
        <f>IF($G78="",0,IF(COUNTIF($G$2:$G78,$G78)=1,1,0))</f>
        <v>0</v>
      </c>
      <c r="J78" s="63" t="str">
        <f t="shared" si="6"/>
        <v/>
      </c>
      <c r="K78" s="63" t="str">
        <f>IF($H78="","",COUNTIF($H$2:$H78,"?*"))</f>
        <v/>
      </c>
    </row>
    <row r="79" spans="1:11" x14ac:dyDescent="0.25">
      <c r="A79" s="63" t="s">
        <v>554</v>
      </c>
      <c r="B79" s="63" t="s">
        <v>634</v>
      </c>
      <c r="C79" s="63" t="s">
        <v>556</v>
      </c>
      <c r="D79" s="63" t="str">
        <f>IF('Barn - Back Rack'!N18="","",TRIM('Barn - Back Rack'!N18))</f>
        <v/>
      </c>
      <c r="E79" s="64" t="str">
        <f>IF($D79="","",'Barn - Back Rack'!O18&amp;"")</f>
        <v/>
      </c>
      <c r="F79" s="63">
        <f t="shared" si="7"/>
        <v>0</v>
      </c>
      <c r="G79" s="64" t="str">
        <f t="shared" si="4"/>
        <v/>
      </c>
      <c r="H79" s="64" t="str">
        <f t="shared" si="5"/>
        <v/>
      </c>
      <c r="I79" s="63">
        <f>IF($G79="",0,IF(COUNTIF($G$2:$G79,$G79)=1,1,0))</f>
        <v>0</v>
      </c>
      <c r="J79" s="63" t="str">
        <f t="shared" si="6"/>
        <v/>
      </c>
      <c r="K79" s="63" t="str">
        <f>IF($H79="","",COUNTIF($H$2:$H79,"?*"))</f>
        <v/>
      </c>
    </row>
    <row r="80" spans="1:11" x14ac:dyDescent="0.25">
      <c r="A80" s="63" t="s">
        <v>554</v>
      </c>
      <c r="B80" s="63" t="s">
        <v>635</v>
      </c>
      <c r="C80" s="63" t="s">
        <v>556</v>
      </c>
      <c r="D80" s="63" t="str">
        <f>IF('Barn - Back Rack'!N19="","",TRIM('Barn - Back Rack'!N19))</f>
        <v/>
      </c>
      <c r="E80" s="64" t="str">
        <f>IF($D80="","",'Barn - Back Rack'!O19&amp;"")</f>
        <v/>
      </c>
      <c r="F80" s="63">
        <f t="shared" si="7"/>
        <v>0</v>
      </c>
      <c r="G80" s="64" t="str">
        <f t="shared" si="4"/>
        <v/>
      </c>
      <c r="H80" s="64" t="str">
        <f t="shared" si="5"/>
        <v/>
      </c>
      <c r="I80" s="63">
        <f>IF($G80="",0,IF(COUNTIF($G$2:$G80,$G80)=1,1,0))</f>
        <v>0</v>
      </c>
      <c r="J80" s="63" t="str">
        <f t="shared" si="6"/>
        <v/>
      </c>
      <c r="K80" s="63" t="str">
        <f>IF($H80="","",COUNTIF($H$2:$H80,"?*"))</f>
        <v/>
      </c>
    </row>
    <row r="81" spans="1:11" x14ac:dyDescent="0.25">
      <c r="A81" s="63" t="s">
        <v>554</v>
      </c>
      <c r="B81" s="63" t="s">
        <v>636</v>
      </c>
      <c r="C81" s="63" t="s">
        <v>556</v>
      </c>
      <c r="D81" s="63" t="str">
        <f>IF('Barn - Back Rack'!N20="","",TRIM('Barn - Back Rack'!N20))</f>
        <v/>
      </c>
      <c r="E81" s="64" t="str">
        <f>IF($D81="","",'Barn - Back Rack'!O20&amp;"")</f>
        <v/>
      </c>
      <c r="F81" s="63">
        <f t="shared" si="7"/>
        <v>0</v>
      </c>
      <c r="G81" s="64" t="str">
        <f t="shared" si="4"/>
        <v/>
      </c>
      <c r="H81" s="64" t="str">
        <f t="shared" si="5"/>
        <v/>
      </c>
      <c r="I81" s="63">
        <f>IF($G81="",0,IF(COUNTIF($G$2:$G81,$G81)=1,1,0))</f>
        <v>0</v>
      </c>
      <c r="J81" s="63" t="str">
        <f t="shared" si="6"/>
        <v/>
      </c>
      <c r="K81" s="63" t="str">
        <f>IF($H81="","",COUNTIF($H$2:$H81,"?*"))</f>
        <v/>
      </c>
    </row>
    <row r="82" spans="1:11" x14ac:dyDescent="0.25">
      <c r="A82" s="63" t="s">
        <v>554</v>
      </c>
      <c r="B82" s="63" t="s">
        <v>637</v>
      </c>
      <c r="C82" s="63" t="s">
        <v>556</v>
      </c>
      <c r="D82" s="63" t="str">
        <f>IF('Barn - Back Rack'!N21="","",TRIM('Barn - Back Rack'!N21))</f>
        <v/>
      </c>
      <c r="E82" s="64" t="str">
        <f>IF($D82="","",'Barn - Back Rack'!O21&amp;"")</f>
        <v/>
      </c>
      <c r="F82" s="63">
        <f t="shared" si="7"/>
        <v>0</v>
      </c>
      <c r="G82" s="64" t="str">
        <f t="shared" si="4"/>
        <v/>
      </c>
      <c r="H82" s="64" t="str">
        <f t="shared" si="5"/>
        <v/>
      </c>
      <c r="I82" s="63">
        <f>IF($G82="",0,IF(COUNTIF($G$2:$G82,$G82)=1,1,0))</f>
        <v>0</v>
      </c>
      <c r="J82" s="63" t="str">
        <f t="shared" si="6"/>
        <v/>
      </c>
      <c r="K82" s="63" t="str">
        <f>IF($H82="","",COUNTIF($H$2:$H82,"?*"))</f>
        <v/>
      </c>
    </row>
    <row r="83" spans="1:11" x14ac:dyDescent="0.25">
      <c r="A83" s="63" t="s">
        <v>554</v>
      </c>
      <c r="B83" s="63" t="s">
        <v>638</v>
      </c>
      <c r="C83" s="63" t="s">
        <v>556</v>
      </c>
      <c r="D83" s="63" t="str">
        <f>IF('Barn - Back Rack'!N22="","",TRIM('Barn - Back Rack'!N22))</f>
        <v/>
      </c>
      <c r="E83" s="64" t="str">
        <f>IF($D83="","",'Barn - Back Rack'!O22&amp;"")</f>
        <v/>
      </c>
      <c r="F83" s="63">
        <f t="shared" si="7"/>
        <v>0</v>
      </c>
      <c r="G83" s="64" t="str">
        <f t="shared" si="4"/>
        <v/>
      </c>
      <c r="H83" s="64" t="str">
        <f t="shared" si="5"/>
        <v/>
      </c>
      <c r="I83" s="63">
        <f>IF($G83="",0,IF(COUNTIF($G$2:$G83,$G83)=1,1,0))</f>
        <v>0</v>
      </c>
      <c r="J83" s="63" t="str">
        <f t="shared" si="6"/>
        <v/>
      </c>
      <c r="K83" s="63" t="str">
        <f>IF($H83="","",COUNTIF($H$2:$H83,"?*"))</f>
        <v/>
      </c>
    </row>
    <row r="84" spans="1:11" x14ac:dyDescent="0.25">
      <c r="A84" s="63" t="s">
        <v>554</v>
      </c>
      <c r="B84" s="63" t="s">
        <v>639</v>
      </c>
      <c r="C84" s="63" t="s">
        <v>556</v>
      </c>
      <c r="D84" s="63" t="str">
        <f>IF('Barn - Back Rack'!N23="","",TRIM('Barn - Back Rack'!N23))</f>
        <v/>
      </c>
      <c r="E84" s="64" t="str">
        <f>IF($D84="","",'Barn - Back Rack'!O23&amp;"")</f>
        <v/>
      </c>
      <c r="F84" s="63">
        <f t="shared" si="7"/>
        <v>0</v>
      </c>
      <c r="G84" s="64" t="str">
        <f t="shared" si="4"/>
        <v/>
      </c>
      <c r="H84" s="64" t="str">
        <f t="shared" si="5"/>
        <v/>
      </c>
      <c r="I84" s="63">
        <f>IF($G84="",0,IF(COUNTIF($G$2:$G84,$G84)=1,1,0))</f>
        <v>0</v>
      </c>
      <c r="J84" s="63" t="str">
        <f t="shared" si="6"/>
        <v/>
      </c>
      <c r="K84" s="63" t="str">
        <f>IF($H84="","",COUNTIF($H$2:$H84,"?*"))</f>
        <v/>
      </c>
    </row>
    <row r="85" spans="1:11" x14ac:dyDescent="0.25">
      <c r="A85" s="63" t="s">
        <v>554</v>
      </c>
      <c r="B85" s="63" t="s">
        <v>640</v>
      </c>
      <c r="C85" s="63" t="s">
        <v>556</v>
      </c>
      <c r="D85" s="63" t="str">
        <f>IF('Barn - Back Rack'!N24="","",TRIM('Barn - Back Rack'!N24))</f>
        <v/>
      </c>
      <c r="E85" s="64" t="str">
        <f>IF($D85="","",'Barn - Back Rack'!O24&amp;"")</f>
        <v/>
      </c>
      <c r="F85" s="63">
        <f t="shared" si="7"/>
        <v>0</v>
      </c>
      <c r="G85" s="64" t="str">
        <f t="shared" si="4"/>
        <v/>
      </c>
      <c r="H85" s="64" t="str">
        <f t="shared" si="5"/>
        <v/>
      </c>
      <c r="I85" s="63">
        <f>IF($G85="",0,IF(COUNTIF($G$2:$G85,$G85)=1,1,0))</f>
        <v>0</v>
      </c>
      <c r="J85" s="63" t="str">
        <f t="shared" si="6"/>
        <v/>
      </c>
      <c r="K85" s="63" t="str">
        <f>IF($H85="","",COUNTIF($H$2:$H85,"?*"))</f>
        <v/>
      </c>
    </row>
    <row r="86" spans="1:11" x14ac:dyDescent="0.25">
      <c r="A86" s="63" t="s">
        <v>554</v>
      </c>
      <c r="B86" s="63" t="s">
        <v>641</v>
      </c>
      <c r="C86" s="63" t="s">
        <v>556</v>
      </c>
      <c r="D86" s="63" t="str">
        <f>IF('Barn - Back Rack'!P13="","",TRIM('Barn - Back Rack'!P13))</f>
        <v>Eversys Cameo c'2m</v>
      </c>
      <c r="E86" s="64" t="str">
        <f>IF($D86="","",'Barn - Back Rack'!Q13&amp;"")</f>
        <v>0183330226105C0012</v>
      </c>
      <c r="F86" s="63">
        <f t="shared" si="7"/>
        <v>1</v>
      </c>
      <c r="G86" s="64" t="str">
        <f t="shared" si="4"/>
        <v>Eversys Cameo c'2m</v>
      </c>
      <c r="H86" s="64" t="str">
        <f t="shared" si="5"/>
        <v/>
      </c>
      <c r="I86" s="63">
        <f>IF($G86="",0,IF(COUNTIF($G$2:$G86,$G86)=1,1,0))</f>
        <v>1</v>
      </c>
      <c r="J86" s="63">
        <f t="shared" si="6"/>
        <v>38</v>
      </c>
      <c r="K86" s="63" t="str">
        <f>IF($H86="","",COUNTIF($H$2:$H86,"?*"))</f>
        <v/>
      </c>
    </row>
    <row r="87" spans="1:11" x14ac:dyDescent="0.25">
      <c r="A87" s="63" t="s">
        <v>554</v>
      </c>
      <c r="B87" s="63" t="s">
        <v>642</v>
      </c>
      <c r="C87" s="63" t="s">
        <v>556</v>
      </c>
      <c r="D87" s="63" t="str">
        <f>IF('Barn - Back Rack'!P14="","",TRIM('Barn - Back Rack'!P14))</f>
        <v>Eversys c'Fridge Beside</v>
      </c>
      <c r="E87" s="64" t="str">
        <f>IF($D87="","",'Barn - Back Rack'!Q14&amp;"")</f>
        <v>0107460025057C0021</v>
      </c>
      <c r="F87" s="63">
        <f t="shared" si="7"/>
        <v>1</v>
      </c>
      <c r="G87" s="64" t="str">
        <f t="shared" si="4"/>
        <v>Eversys c'Fridge Beside</v>
      </c>
      <c r="H87" s="64" t="str">
        <f t="shared" si="5"/>
        <v/>
      </c>
      <c r="I87" s="63">
        <f>IF($G87="",0,IF(COUNTIF($G$2:$G87,$G87)=1,1,0))</f>
        <v>1</v>
      </c>
      <c r="J87" s="63">
        <f t="shared" si="6"/>
        <v>40</v>
      </c>
      <c r="K87" s="63" t="str">
        <f>IF($H87="","",COUNTIF($H$2:$H87,"?*"))</f>
        <v/>
      </c>
    </row>
    <row r="88" spans="1:11" x14ac:dyDescent="0.25">
      <c r="A88" s="63" t="s">
        <v>554</v>
      </c>
      <c r="B88" s="63" t="s">
        <v>643</v>
      </c>
      <c r="C88" s="63" t="s">
        <v>556</v>
      </c>
      <c r="D88" s="63" t="str">
        <f>IF('Barn - Back Rack'!P15="","",TRIM('Barn - Back Rack'!P15))</f>
        <v/>
      </c>
      <c r="E88" s="64" t="str">
        <f>IF($D88="","",'Barn - Back Rack'!Q15&amp;"")</f>
        <v/>
      </c>
      <c r="F88" s="63">
        <f t="shared" si="7"/>
        <v>0</v>
      </c>
      <c r="G88" s="64" t="str">
        <f t="shared" si="4"/>
        <v/>
      </c>
      <c r="H88" s="64" t="str">
        <f t="shared" si="5"/>
        <v/>
      </c>
      <c r="I88" s="63">
        <f>IF($G88="",0,IF(COUNTIF($G$2:$G88,$G88)=1,1,0))</f>
        <v>0</v>
      </c>
      <c r="J88" s="63" t="str">
        <f t="shared" si="6"/>
        <v/>
      </c>
      <c r="K88" s="63" t="str">
        <f>IF($H88="","",COUNTIF($H$2:$H88,"?*"))</f>
        <v/>
      </c>
    </row>
    <row r="89" spans="1:11" x14ac:dyDescent="0.25">
      <c r="A89" s="63" t="s">
        <v>554</v>
      </c>
      <c r="B89" s="63" t="s">
        <v>644</v>
      </c>
      <c r="C89" s="63" t="s">
        <v>556</v>
      </c>
      <c r="D89" s="63" t="str">
        <f>IF('Barn - Back Rack'!P16="","",TRIM('Barn - Back Rack'!P16))</f>
        <v/>
      </c>
      <c r="E89" s="64" t="str">
        <f>IF($D89="","",'Barn - Back Rack'!Q16&amp;"")</f>
        <v/>
      </c>
      <c r="F89" s="63">
        <f t="shared" si="7"/>
        <v>0</v>
      </c>
      <c r="G89" s="64" t="str">
        <f t="shared" si="4"/>
        <v/>
      </c>
      <c r="H89" s="64" t="str">
        <f t="shared" si="5"/>
        <v/>
      </c>
      <c r="I89" s="63">
        <f>IF($G89="",0,IF(COUNTIF($G$2:$G89,$G89)=1,1,0))</f>
        <v>0</v>
      </c>
      <c r="J89" s="63" t="str">
        <f t="shared" si="6"/>
        <v/>
      </c>
      <c r="K89" s="63" t="str">
        <f>IF($H89="","",COUNTIF($H$2:$H89,"?*"))</f>
        <v/>
      </c>
    </row>
    <row r="90" spans="1:11" x14ac:dyDescent="0.25">
      <c r="A90" s="63" t="s">
        <v>554</v>
      </c>
      <c r="B90" s="63" t="s">
        <v>645</v>
      </c>
      <c r="C90" s="63" t="s">
        <v>556</v>
      </c>
      <c r="D90" s="63" t="str">
        <f>IF('Barn - Back Rack'!P17="","",TRIM('Barn - Back Rack'!P17))</f>
        <v/>
      </c>
      <c r="E90" s="64" t="str">
        <f>IF($D90="","",'Barn - Back Rack'!Q17&amp;"")</f>
        <v/>
      </c>
      <c r="F90" s="63">
        <f t="shared" si="7"/>
        <v>0</v>
      </c>
      <c r="G90" s="64" t="str">
        <f t="shared" si="4"/>
        <v/>
      </c>
      <c r="H90" s="64" t="str">
        <f t="shared" si="5"/>
        <v/>
      </c>
      <c r="I90" s="63">
        <f>IF($G90="",0,IF(COUNTIF($G$2:$G90,$G90)=1,1,0))</f>
        <v>0</v>
      </c>
      <c r="J90" s="63" t="str">
        <f t="shared" si="6"/>
        <v/>
      </c>
      <c r="K90" s="63" t="str">
        <f>IF($H90="","",COUNTIF($H$2:$H90,"?*"))</f>
        <v/>
      </c>
    </row>
    <row r="91" spans="1:11" x14ac:dyDescent="0.25">
      <c r="A91" s="63" t="s">
        <v>554</v>
      </c>
      <c r="B91" s="63" t="s">
        <v>646</v>
      </c>
      <c r="C91" s="63" t="s">
        <v>556</v>
      </c>
      <c r="D91" s="63" t="str">
        <f>IF('Barn - Back Rack'!P18="","",TRIM('Barn - Back Rack'!P18))</f>
        <v/>
      </c>
      <c r="E91" s="64" t="str">
        <f>IF($D91="","",'Barn - Back Rack'!Q18&amp;"")</f>
        <v/>
      </c>
      <c r="F91" s="63">
        <f t="shared" si="7"/>
        <v>0</v>
      </c>
      <c r="G91" s="64" t="str">
        <f t="shared" si="4"/>
        <v/>
      </c>
      <c r="H91" s="64" t="str">
        <f t="shared" si="5"/>
        <v/>
      </c>
      <c r="I91" s="63">
        <f>IF($G91="",0,IF(COUNTIF($G$2:$G91,$G91)=1,1,0))</f>
        <v>0</v>
      </c>
      <c r="J91" s="63" t="str">
        <f t="shared" si="6"/>
        <v/>
      </c>
      <c r="K91" s="63" t="str">
        <f>IF($H91="","",COUNTIF($H$2:$H91,"?*"))</f>
        <v/>
      </c>
    </row>
    <row r="92" spans="1:11" x14ac:dyDescent="0.25">
      <c r="A92" s="63" t="s">
        <v>554</v>
      </c>
      <c r="B92" s="63" t="s">
        <v>647</v>
      </c>
      <c r="C92" s="63" t="s">
        <v>556</v>
      </c>
      <c r="D92" s="63" t="str">
        <f>IF('Barn - Back Rack'!P19="","",TRIM('Barn - Back Rack'!P19))</f>
        <v/>
      </c>
      <c r="E92" s="64" t="str">
        <f>IF($D92="","",'Barn - Back Rack'!Q19&amp;"")</f>
        <v/>
      </c>
      <c r="F92" s="63">
        <f t="shared" si="7"/>
        <v>0</v>
      </c>
      <c r="G92" s="64" t="str">
        <f t="shared" si="4"/>
        <v/>
      </c>
      <c r="H92" s="64" t="str">
        <f t="shared" si="5"/>
        <v/>
      </c>
      <c r="I92" s="63">
        <f>IF($G92="",0,IF(COUNTIF($G$2:$G92,$G92)=1,1,0))</f>
        <v>0</v>
      </c>
      <c r="J92" s="63" t="str">
        <f t="shared" si="6"/>
        <v/>
      </c>
      <c r="K92" s="63" t="str">
        <f>IF($H92="","",COUNTIF($H$2:$H92,"?*"))</f>
        <v/>
      </c>
    </row>
    <row r="93" spans="1:11" x14ac:dyDescent="0.25">
      <c r="A93" s="63" t="s">
        <v>554</v>
      </c>
      <c r="B93" s="63" t="s">
        <v>648</v>
      </c>
      <c r="C93" s="63" t="s">
        <v>556</v>
      </c>
      <c r="D93" s="63" t="str">
        <f>IF('Barn - Back Rack'!P20="","",TRIM('Barn - Back Rack'!P20))</f>
        <v/>
      </c>
      <c r="E93" s="64" t="str">
        <f>IF($D93="","",'Barn - Back Rack'!Q20&amp;"")</f>
        <v/>
      </c>
      <c r="F93" s="63">
        <f t="shared" si="7"/>
        <v>0</v>
      </c>
      <c r="G93" s="64" t="str">
        <f t="shared" si="4"/>
        <v/>
      </c>
      <c r="H93" s="64" t="str">
        <f t="shared" si="5"/>
        <v/>
      </c>
      <c r="I93" s="63">
        <f>IF($G93="",0,IF(COUNTIF($G$2:$G93,$G93)=1,1,0))</f>
        <v>0</v>
      </c>
      <c r="J93" s="63" t="str">
        <f t="shared" si="6"/>
        <v/>
      </c>
      <c r="K93" s="63" t="str">
        <f>IF($H93="","",COUNTIF($H$2:$H93,"?*"))</f>
        <v/>
      </c>
    </row>
    <row r="94" spans="1:11" x14ac:dyDescent="0.25">
      <c r="A94" s="63" t="s">
        <v>554</v>
      </c>
      <c r="B94" s="63" t="s">
        <v>649</v>
      </c>
      <c r="C94" s="63" t="s">
        <v>556</v>
      </c>
      <c r="D94" s="63" t="str">
        <f>IF('Barn - Back Rack'!P21="","",TRIM('Barn - Back Rack'!P21))</f>
        <v/>
      </c>
      <c r="E94" s="64" t="str">
        <f>IF($D94="","",'Barn - Back Rack'!Q21&amp;"")</f>
        <v/>
      </c>
      <c r="F94" s="63">
        <f t="shared" si="7"/>
        <v>0</v>
      </c>
      <c r="G94" s="64" t="str">
        <f t="shared" si="4"/>
        <v/>
      </c>
      <c r="H94" s="64" t="str">
        <f t="shared" si="5"/>
        <v/>
      </c>
      <c r="I94" s="63">
        <f>IF($G94="",0,IF(COUNTIF($G$2:$G94,$G94)=1,1,0))</f>
        <v>0</v>
      </c>
      <c r="J94" s="63" t="str">
        <f t="shared" si="6"/>
        <v/>
      </c>
      <c r="K94" s="63" t="str">
        <f>IF($H94="","",COUNTIF($H$2:$H94,"?*"))</f>
        <v/>
      </c>
    </row>
    <row r="95" spans="1:11" x14ac:dyDescent="0.25">
      <c r="A95" s="63" t="s">
        <v>554</v>
      </c>
      <c r="B95" s="63" t="s">
        <v>650</v>
      </c>
      <c r="C95" s="63" t="s">
        <v>556</v>
      </c>
      <c r="D95" s="63" t="str">
        <f>IF('Barn - Back Rack'!P22="","",TRIM('Barn - Back Rack'!P22))</f>
        <v/>
      </c>
      <c r="E95" s="64" t="str">
        <f>IF($D95="","",'Barn - Back Rack'!Q22&amp;"")</f>
        <v/>
      </c>
      <c r="F95" s="63">
        <f t="shared" si="7"/>
        <v>0</v>
      </c>
      <c r="G95" s="64" t="str">
        <f t="shared" si="4"/>
        <v/>
      </c>
      <c r="H95" s="64" t="str">
        <f t="shared" si="5"/>
        <v/>
      </c>
      <c r="I95" s="63">
        <f>IF($G95="",0,IF(COUNTIF($G$2:$G95,$G95)=1,1,0))</f>
        <v>0</v>
      </c>
      <c r="J95" s="63" t="str">
        <f t="shared" si="6"/>
        <v/>
      </c>
      <c r="K95" s="63" t="str">
        <f>IF($H95="","",COUNTIF($H$2:$H95,"?*"))</f>
        <v/>
      </c>
    </row>
    <row r="96" spans="1:11" x14ac:dyDescent="0.25">
      <c r="A96" s="63" t="s">
        <v>554</v>
      </c>
      <c r="B96" s="63" t="s">
        <v>651</v>
      </c>
      <c r="C96" s="63" t="s">
        <v>556</v>
      </c>
      <c r="D96" s="63" t="str">
        <f>IF('Barn - Back Rack'!P23="","",TRIM('Barn - Back Rack'!P23))</f>
        <v/>
      </c>
      <c r="E96" s="64" t="str">
        <f>IF($D96="","",'Barn - Back Rack'!Q23&amp;"")</f>
        <v/>
      </c>
      <c r="F96" s="63">
        <f t="shared" si="7"/>
        <v>0</v>
      </c>
      <c r="G96" s="64" t="str">
        <f t="shared" si="4"/>
        <v/>
      </c>
      <c r="H96" s="64" t="str">
        <f t="shared" si="5"/>
        <v/>
      </c>
      <c r="I96" s="63">
        <f>IF($G96="",0,IF(COUNTIF($G$2:$G96,$G96)=1,1,0))</f>
        <v>0</v>
      </c>
      <c r="J96" s="63" t="str">
        <f t="shared" si="6"/>
        <v/>
      </c>
      <c r="K96" s="63" t="str">
        <f>IF($H96="","",COUNTIF($H$2:$H96,"?*"))</f>
        <v/>
      </c>
    </row>
    <row r="97" spans="1:11" x14ac:dyDescent="0.25">
      <c r="A97" s="63" t="s">
        <v>554</v>
      </c>
      <c r="B97" s="63" t="s">
        <v>652</v>
      </c>
      <c r="C97" s="63" t="s">
        <v>556</v>
      </c>
      <c r="D97" s="63" t="str">
        <f>IF('Barn - Back Rack'!P24="","",TRIM('Barn - Back Rack'!P24))</f>
        <v/>
      </c>
      <c r="E97" s="64" t="str">
        <f>IF($D97="","",'Barn - Back Rack'!Q24&amp;"")</f>
        <v/>
      </c>
      <c r="F97" s="63">
        <f t="shared" si="7"/>
        <v>0</v>
      </c>
      <c r="G97" s="64" t="str">
        <f t="shared" si="4"/>
        <v/>
      </c>
      <c r="H97" s="64" t="str">
        <f t="shared" si="5"/>
        <v/>
      </c>
      <c r="I97" s="63">
        <f>IF($G97="",0,IF(COUNTIF($G$2:$G97,$G97)=1,1,0))</f>
        <v>0</v>
      </c>
      <c r="J97" s="63" t="str">
        <f t="shared" si="6"/>
        <v/>
      </c>
      <c r="K97" s="63" t="str">
        <f>IF($H97="","",COUNTIF($H$2:$H97,"?*"))</f>
        <v/>
      </c>
    </row>
    <row r="98" spans="1:11" x14ac:dyDescent="0.25">
      <c r="A98" s="63" t="s">
        <v>554</v>
      </c>
      <c r="B98" s="63" t="s">
        <v>653</v>
      </c>
      <c r="C98" s="63" t="s">
        <v>556</v>
      </c>
      <c r="D98" s="63" t="str">
        <f>IF('Barn - Back Rack'!R13="","",TRIM('Barn - Back Rack'!R13))</f>
        <v>Bunn G9-2T</v>
      </c>
      <c r="E98" s="64" t="str">
        <f>IF($D98="","",'Barn - Back Rack'!S13&amp;"")</f>
        <v>G951020201</v>
      </c>
      <c r="F98" s="63">
        <f t="shared" si="7"/>
        <v>1</v>
      </c>
      <c r="G98" s="64" t="str">
        <f t="shared" si="4"/>
        <v>Bunn G9-2T</v>
      </c>
      <c r="H98" s="64" t="str">
        <f t="shared" si="5"/>
        <v/>
      </c>
      <c r="I98" s="63">
        <f>IF($G98="",0,IF(COUNTIF($G$2:$G98,$G98)=1,1,0))</f>
        <v>1</v>
      </c>
      <c r="J98" s="63">
        <f t="shared" si="6"/>
        <v>17</v>
      </c>
      <c r="K98" s="63" t="str">
        <f>IF($H98="","",COUNTIF($H$2:$H98,"?*"))</f>
        <v/>
      </c>
    </row>
    <row r="99" spans="1:11" x14ac:dyDescent="0.25">
      <c r="A99" s="63" t="s">
        <v>554</v>
      </c>
      <c r="B99" s="63" t="s">
        <v>654</v>
      </c>
      <c r="C99" s="63" t="s">
        <v>556</v>
      </c>
      <c r="D99" s="63" t="str">
        <f>IF('Barn - Back Rack'!R14="","",TRIM('Barn - Back Rack'!R14))</f>
        <v>Bunn G9-2T</v>
      </c>
      <c r="E99" s="64" t="str">
        <f>IF($D99="","",'Barn - Back Rack'!S14&amp;"")</f>
        <v>G900064646</v>
      </c>
      <c r="F99" s="63">
        <f t="shared" si="7"/>
        <v>1</v>
      </c>
      <c r="G99" s="64" t="str">
        <f t="shared" si="4"/>
        <v>Bunn G9-2T</v>
      </c>
      <c r="H99" s="64" t="str">
        <f t="shared" si="5"/>
        <v/>
      </c>
      <c r="I99" s="63">
        <f>IF($G99="",0,IF(COUNTIF($G$2:$G99,$G99)=1,1,0))</f>
        <v>0</v>
      </c>
      <c r="J99" s="63" t="str">
        <f t="shared" si="6"/>
        <v/>
      </c>
      <c r="K99" s="63" t="str">
        <f>IF($H99="","",COUNTIF($H$2:$H99,"?*"))</f>
        <v/>
      </c>
    </row>
    <row r="100" spans="1:11" x14ac:dyDescent="0.25">
      <c r="A100" s="63" t="s">
        <v>554</v>
      </c>
      <c r="B100" s="63" t="s">
        <v>655</v>
      </c>
      <c r="C100" s="63" t="s">
        <v>556</v>
      </c>
      <c r="D100" s="63" t="str">
        <f>IF('Barn - Back Rack'!R15="","",TRIM('Barn - Back Rack'!R15))</f>
        <v>Bunn G9-2T</v>
      </c>
      <c r="E100" s="64" t="str">
        <f>IF($D100="","",'Barn - Back Rack'!S15&amp;"")</f>
        <v>N/A</v>
      </c>
      <c r="F100" s="63">
        <f t="shared" si="7"/>
        <v>1</v>
      </c>
      <c r="G100" s="64" t="str">
        <f t="shared" si="4"/>
        <v>Bunn G9-2T</v>
      </c>
      <c r="H100" s="64" t="str">
        <f t="shared" si="5"/>
        <v/>
      </c>
      <c r="I100" s="63">
        <f>IF($G100="",0,IF(COUNTIF($G$2:$G100,$G100)=1,1,0))</f>
        <v>0</v>
      </c>
      <c r="J100" s="63" t="str">
        <f t="shared" si="6"/>
        <v/>
      </c>
      <c r="K100" s="63" t="str">
        <f>IF($H100="","",COUNTIF($H$2:$H100,"?*"))</f>
        <v/>
      </c>
    </row>
    <row r="101" spans="1:11" x14ac:dyDescent="0.25">
      <c r="A101" s="63" t="s">
        <v>554</v>
      </c>
      <c r="B101" s="63" t="s">
        <v>656</v>
      </c>
      <c r="C101" s="63" t="s">
        <v>556</v>
      </c>
      <c r="D101" s="63" t="str">
        <f>IF('Barn - Back Rack'!R16="","",TRIM('Barn - Back Rack'!R16))</f>
        <v>Bunn G9-2T</v>
      </c>
      <c r="E101" s="64" t="str">
        <f>IF($D101="","",'Barn - Back Rack'!S16&amp;"")</f>
        <v>N/A</v>
      </c>
      <c r="F101" s="63">
        <f t="shared" si="7"/>
        <v>1</v>
      </c>
      <c r="G101" s="64" t="str">
        <f t="shared" si="4"/>
        <v>Bunn G9-2T</v>
      </c>
      <c r="H101" s="64" t="str">
        <f t="shared" si="5"/>
        <v/>
      </c>
      <c r="I101" s="63">
        <f>IF($G101="",0,IF(COUNTIF($G$2:$G101,$G101)=1,1,0))</f>
        <v>0</v>
      </c>
      <c r="J101" s="63" t="str">
        <f t="shared" si="6"/>
        <v/>
      </c>
      <c r="K101" s="63" t="str">
        <f>IF($H101="","",COUNTIF($H$2:$H101,"?*"))</f>
        <v/>
      </c>
    </row>
    <row r="102" spans="1:11" x14ac:dyDescent="0.25">
      <c r="A102" s="63" t="s">
        <v>554</v>
      </c>
      <c r="B102" s="63" t="s">
        <v>657</v>
      </c>
      <c r="C102" s="63" t="s">
        <v>556</v>
      </c>
      <c r="D102" s="63" t="str">
        <f>IF('Barn - Back Rack'!R17="","",TRIM('Barn - Back Rack'!R17))</f>
        <v>Bunn G9-2T</v>
      </c>
      <c r="E102" s="64" t="str">
        <f>IF($D102="","",'Barn - Back Rack'!S17&amp;"")</f>
        <v>G900047807</v>
      </c>
      <c r="F102" s="63">
        <f t="shared" si="7"/>
        <v>1</v>
      </c>
      <c r="G102" s="64" t="str">
        <f t="shared" si="4"/>
        <v>Bunn G9-2T</v>
      </c>
      <c r="H102" s="64" t="str">
        <f t="shared" si="5"/>
        <v/>
      </c>
      <c r="I102" s="63">
        <f>IF($G102="",0,IF(COUNTIF($G$2:$G102,$G102)=1,1,0))</f>
        <v>0</v>
      </c>
      <c r="J102" s="63" t="str">
        <f t="shared" si="6"/>
        <v/>
      </c>
      <c r="K102" s="63" t="str">
        <f>IF($H102="","",COUNTIF($H$2:$H102,"?*"))</f>
        <v/>
      </c>
    </row>
    <row r="103" spans="1:11" x14ac:dyDescent="0.25">
      <c r="A103" s="63" t="s">
        <v>554</v>
      </c>
      <c r="B103" s="63" t="s">
        <v>658</v>
      </c>
      <c r="C103" s="63" t="s">
        <v>556</v>
      </c>
      <c r="D103" s="63" t="str">
        <f>IF('Barn - Back Rack'!R18="","",TRIM('Barn - Back Rack'!R18))</f>
        <v>Bunn G9-2T</v>
      </c>
      <c r="E103" s="64" t="str">
        <f>IF($D103="","",'Barn - Back Rack'!S18&amp;"")</f>
        <v>G900032562</v>
      </c>
      <c r="F103" s="63">
        <f t="shared" si="7"/>
        <v>1</v>
      </c>
      <c r="G103" s="64" t="str">
        <f t="shared" si="4"/>
        <v>Bunn G9-2T</v>
      </c>
      <c r="H103" s="64" t="str">
        <f t="shared" si="5"/>
        <v/>
      </c>
      <c r="I103" s="63">
        <f>IF($G103="",0,IF(COUNTIF($G$2:$G103,$G103)=1,1,0))</f>
        <v>0</v>
      </c>
      <c r="J103" s="63" t="str">
        <f t="shared" si="6"/>
        <v/>
      </c>
      <c r="K103" s="63" t="str">
        <f>IF($H103="","",COUNTIF($H$2:$H103,"?*"))</f>
        <v/>
      </c>
    </row>
    <row r="104" spans="1:11" x14ac:dyDescent="0.25">
      <c r="A104" s="63" t="s">
        <v>554</v>
      </c>
      <c r="B104" s="63" t="s">
        <v>659</v>
      </c>
      <c r="C104" s="63" t="s">
        <v>556</v>
      </c>
      <c r="D104" s="63" t="str">
        <f>IF('Barn - Back Rack'!R19="","",TRIM('Barn - Back Rack'!R19))</f>
        <v>Bunn G9-2T</v>
      </c>
      <c r="E104" s="64" t="str">
        <f>IF($D104="","",'Barn - Back Rack'!S19&amp;"")</f>
        <v>G900005989</v>
      </c>
      <c r="F104" s="63">
        <f t="shared" si="7"/>
        <v>1</v>
      </c>
      <c r="G104" s="64" t="str">
        <f t="shared" si="4"/>
        <v>Bunn G9-2T</v>
      </c>
      <c r="H104" s="64" t="str">
        <f t="shared" si="5"/>
        <v/>
      </c>
      <c r="I104" s="63">
        <f>IF($G104="",0,IF(COUNTIF($G$2:$G104,$G104)=1,1,0))</f>
        <v>0</v>
      </c>
      <c r="J104" s="63" t="str">
        <f t="shared" si="6"/>
        <v/>
      </c>
      <c r="K104" s="63" t="str">
        <f>IF($H104="","",COUNTIF($H$2:$H104,"?*"))</f>
        <v/>
      </c>
    </row>
    <row r="105" spans="1:11" x14ac:dyDescent="0.25">
      <c r="A105" s="63" t="s">
        <v>554</v>
      </c>
      <c r="B105" s="63" t="s">
        <v>660</v>
      </c>
      <c r="C105" s="63" t="s">
        <v>556</v>
      </c>
      <c r="D105" s="63" t="str">
        <f>IF('Barn - Back Rack'!R20="","",TRIM('Barn - Back Rack'!R20))</f>
        <v>Bunn G9-2T</v>
      </c>
      <c r="E105" s="64" t="str">
        <f>IF($D105="","",'Barn - Back Rack'!S20&amp;"")</f>
        <v>G900046418</v>
      </c>
      <c r="F105" s="63">
        <f t="shared" si="7"/>
        <v>1</v>
      </c>
      <c r="G105" s="64" t="str">
        <f t="shared" si="4"/>
        <v>Bunn G9-2T</v>
      </c>
      <c r="H105" s="64" t="str">
        <f t="shared" si="5"/>
        <v/>
      </c>
      <c r="I105" s="63">
        <f>IF($G105="",0,IF(COUNTIF($G$2:$G105,$G105)=1,1,0))</f>
        <v>0</v>
      </c>
      <c r="J105" s="63" t="str">
        <f t="shared" si="6"/>
        <v/>
      </c>
      <c r="K105" s="63" t="str">
        <f>IF($H105="","",COUNTIF($H$2:$H105,"?*"))</f>
        <v/>
      </c>
    </row>
    <row r="106" spans="1:11" x14ac:dyDescent="0.25">
      <c r="A106" s="63" t="s">
        <v>554</v>
      </c>
      <c r="B106" s="63" t="s">
        <v>661</v>
      </c>
      <c r="C106" s="63" t="s">
        <v>556</v>
      </c>
      <c r="D106" s="63" t="str">
        <f>IF('Barn - Back Rack'!R21="","",TRIM('Barn - Back Rack'!R21))</f>
        <v>Bunn G9-2T</v>
      </c>
      <c r="E106" s="64" t="str">
        <f>IF($D106="","",'Barn - Back Rack'!S21&amp;"")</f>
        <v>G900040890</v>
      </c>
      <c r="F106" s="63">
        <f t="shared" ref="F106:F137" si="8">IF($D106="",0,1)</f>
        <v>1</v>
      </c>
      <c r="G106" s="64" t="str">
        <f t="shared" si="4"/>
        <v>Bunn G9-2T</v>
      </c>
      <c r="H106" s="64" t="str">
        <f t="shared" si="5"/>
        <v/>
      </c>
      <c r="I106" s="63">
        <f>IF($G106="",0,IF(COUNTIF($G$2:$G106,$G106)=1,1,0))</f>
        <v>0</v>
      </c>
      <c r="J106" s="63" t="str">
        <f t="shared" si="6"/>
        <v/>
      </c>
      <c r="K106" s="63" t="str">
        <f>IF($H106="","",COUNTIF($H$2:$H106,"?*"))</f>
        <v/>
      </c>
    </row>
    <row r="107" spans="1:11" x14ac:dyDescent="0.25">
      <c r="A107" s="63" t="s">
        <v>554</v>
      </c>
      <c r="B107" s="63" t="s">
        <v>662</v>
      </c>
      <c r="C107" s="63" t="s">
        <v>556</v>
      </c>
      <c r="D107" s="63" t="str">
        <f>IF('Barn - Back Rack'!R22="","",TRIM('Barn - Back Rack'!R22))</f>
        <v>Bunn G9-2T</v>
      </c>
      <c r="E107" s="64" t="str">
        <f>IF($D107="","",'Barn - Back Rack'!S22&amp;"")</f>
        <v>N/A</v>
      </c>
      <c r="F107" s="63">
        <f t="shared" si="8"/>
        <v>1</v>
      </c>
      <c r="G107" s="64" t="str">
        <f t="shared" si="4"/>
        <v>Bunn G9-2T</v>
      </c>
      <c r="H107" s="64" t="str">
        <f t="shared" si="5"/>
        <v/>
      </c>
      <c r="I107" s="63">
        <f>IF($G107="",0,IF(COUNTIF($G$2:$G107,$G107)=1,1,0))</f>
        <v>0</v>
      </c>
      <c r="J107" s="63" t="str">
        <f t="shared" si="6"/>
        <v/>
      </c>
      <c r="K107" s="63" t="str">
        <f>IF($H107="","",COUNTIF($H$2:$H107,"?*"))</f>
        <v/>
      </c>
    </row>
    <row r="108" spans="1:11" x14ac:dyDescent="0.25">
      <c r="A108" s="63" t="s">
        <v>554</v>
      </c>
      <c r="B108" s="63" t="s">
        <v>663</v>
      </c>
      <c r="C108" s="63" t="s">
        <v>556</v>
      </c>
      <c r="D108" s="63" t="str">
        <f>IF('Barn - Back Rack'!R23="","",TRIM('Barn - Back Rack'!R23))</f>
        <v/>
      </c>
      <c r="E108" s="64" t="str">
        <f>IF($D108="","",'Barn - Back Rack'!S23&amp;"")</f>
        <v/>
      </c>
      <c r="F108" s="63">
        <f t="shared" si="8"/>
        <v>0</v>
      </c>
      <c r="G108" s="64" t="str">
        <f t="shared" si="4"/>
        <v/>
      </c>
      <c r="H108" s="64" t="str">
        <f t="shared" si="5"/>
        <v/>
      </c>
      <c r="I108" s="63">
        <f>IF($G108="",0,IF(COUNTIF($G$2:$G108,$G108)=1,1,0))</f>
        <v>0</v>
      </c>
      <c r="J108" s="63" t="str">
        <f t="shared" si="6"/>
        <v/>
      </c>
      <c r="K108" s="63" t="str">
        <f>IF($H108="","",COUNTIF($H$2:$H108,"?*"))</f>
        <v/>
      </c>
    </row>
    <row r="109" spans="1:11" x14ac:dyDescent="0.25">
      <c r="A109" s="63" t="s">
        <v>554</v>
      </c>
      <c r="B109" s="63" t="s">
        <v>664</v>
      </c>
      <c r="C109" s="63" t="s">
        <v>556</v>
      </c>
      <c r="D109" s="63" t="str">
        <f>IF('Barn - Back Rack'!R24="","",TRIM('Barn - Back Rack'!R24))</f>
        <v/>
      </c>
      <c r="E109" s="64" t="str">
        <f>IF($D109="","",'Barn - Back Rack'!S24&amp;"")</f>
        <v/>
      </c>
      <c r="F109" s="63">
        <f t="shared" si="8"/>
        <v>0</v>
      </c>
      <c r="G109" s="64" t="str">
        <f t="shared" si="4"/>
        <v/>
      </c>
      <c r="H109" s="64" t="str">
        <f t="shared" si="5"/>
        <v/>
      </c>
      <c r="I109" s="63">
        <f>IF($G109="",0,IF(COUNTIF($G$2:$G109,$G109)=1,1,0))</f>
        <v>0</v>
      </c>
      <c r="J109" s="63" t="str">
        <f t="shared" si="6"/>
        <v/>
      </c>
      <c r="K109" s="63" t="str">
        <f>IF($H109="","",COUNTIF($H$2:$H109,"?*"))</f>
        <v/>
      </c>
    </row>
    <row r="110" spans="1:11" x14ac:dyDescent="0.25">
      <c r="A110" s="63" t="s">
        <v>554</v>
      </c>
      <c r="B110" s="63" t="s">
        <v>665</v>
      </c>
      <c r="C110" s="63" t="s">
        <v>556</v>
      </c>
      <c r="D110" s="63" t="str">
        <f>IF('Barn - Back Rack'!T13="","",TRIM('Barn - Back Rack'!T13))</f>
        <v/>
      </c>
      <c r="E110" s="64" t="str">
        <f>IF($D110="","",'Barn - Back Rack'!U13&amp;"")</f>
        <v/>
      </c>
      <c r="F110" s="63">
        <f t="shared" si="8"/>
        <v>0</v>
      </c>
      <c r="G110" s="64" t="str">
        <f t="shared" si="4"/>
        <v/>
      </c>
      <c r="H110" s="64" t="str">
        <f t="shared" si="5"/>
        <v/>
      </c>
      <c r="I110" s="63">
        <f>IF($G110="",0,IF(COUNTIF($G$2:$G110,$G110)=1,1,0))</f>
        <v>0</v>
      </c>
      <c r="J110" s="63" t="str">
        <f t="shared" si="6"/>
        <v/>
      </c>
      <c r="K110" s="63" t="str">
        <f>IF($H110="","",COUNTIF($H$2:$H110,"?*"))</f>
        <v/>
      </c>
    </row>
    <row r="111" spans="1:11" x14ac:dyDescent="0.25">
      <c r="A111" s="63" t="s">
        <v>554</v>
      </c>
      <c r="B111" s="63" t="s">
        <v>666</v>
      </c>
      <c r="C111" s="63" t="s">
        <v>556</v>
      </c>
      <c r="D111" s="63" t="str">
        <f>IF('Barn - Back Rack'!T14="","",TRIM('Barn - Back Rack'!T14))</f>
        <v/>
      </c>
      <c r="E111" s="64" t="str">
        <f>IF($D111="","",'Barn - Back Rack'!U14&amp;"")</f>
        <v/>
      </c>
      <c r="F111" s="63">
        <f t="shared" si="8"/>
        <v>0</v>
      </c>
      <c r="G111" s="64" t="str">
        <f t="shared" si="4"/>
        <v/>
      </c>
      <c r="H111" s="64" t="str">
        <f t="shared" si="5"/>
        <v/>
      </c>
      <c r="I111" s="63">
        <f>IF($G111="",0,IF(COUNTIF($G$2:$G111,$G111)=1,1,0))</f>
        <v>0</v>
      </c>
      <c r="J111" s="63" t="str">
        <f t="shared" si="6"/>
        <v/>
      </c>
      <c r="K111" s="63" t="str">
        <f>IF($H111="","",COUNTIF($H$2:$H111,"?*"))</f>
        <v/>
      </c>
    </row>
    <row r="112" spans="1:11" x14ac:dyDescent="0.25">
      <c r="A112" s="63" t="s">
        <v>554</v>
      </c>
      <c r="B112" s="63" t="s">
        <v>667</v>
      </c>
      <c r="C112" s="63" t="s">
        <v>556</v>
      </c>
      <c r="D112" s="63" t="str">
        <f>IF('Barn - Back Rack'!T15="","",TRIM('Barn - Back Rack'!T15))</f>
        <v/>
      </c>
      <c r="E112" s="64" t="str">
        <f>IF($D112="","",'Barn - Back Rack'!U15&amp;"")</f>
        <v/>
      </c>
      <c r="F112" s="63">
        <f t="shared" si="8"/>
        <v>0</v>
      </c>
      <c r="G112" s="64" t="str">
        <f t="shared" si="4"/>
        <v/>
      </c>
      <c r="H112" s="64" t="str">
        <f t="shared" si="5"/>
        <v/>
      </c>
      <c r="I112" s="63">
        <f>IF($G112="",0,IF(COUNTIF($G$2:$G112,$G112)=1,1,0))</f>
        <v>0</v>
      </c>
      <c r="J112" s="63" t="str">
        <f t="shared" si="6"/>
        <v/>
      </c>
      <c r="K112" s="63" t="str">
        <f>IF($H112="","",COUNTIF($H$2:$H112,"?*"))</f>
        <v/>
      </c>
    </row>
    <row r="113" spans="1:11" x14ac:dyDescent="0.25">
      <c r="A113" s="63" t="s">
        <v>554</v>
      </c>
      <c r="B113" s="63" t="s">
        <v>668</v>
      </c>
      <c r="C113" s="63" t="s">
        <v>556</v>
      </c>
      <c r="D113" s="63" t="str">
        <f>IF('Barn - Back Rack'!T16="","",TRIM('Barn - Back Rack'!T16))</f>
        <v/>
      </c>
      <c r="E113" s="64" t="str">
        <f>IF($D113="","",'Barn - Back Rack'!U16&amp;"")</f>
        <v/>
      </c>
      <c r="F113" s="63">
        <f t="shared" si="8"/>
        <v>0</v>
      </c>
      <c r="G113" s="64" t="str">
        <f t="shared" si="4"/>
        <v/>
      </c>
      <c r="H113" s="64" t="str">
        <f t="shared" si="5"/>
        <v/>
      </c>
      <c r="I113" s="63">
        <f>IF($G113="",0,IF(COUNTIF($G$2:$G113,$G113)=1,1,0))</f>
        <v>0</v>
      </c>
      <c r="J113" s="63" t="str">
        <f t="shared" si="6"/>
        <v/>
      </c>
      <c r="K113" s="63" t="str">
        <f>IF($H113="","",COUNTIF($H$2:$H113,"?*"))</f>
        <v/>
      </c>
    </row>
    <row r="114" spans="1:11" x14ac:dyDescent="0.25">
      <c r="A114" s="63" t="s">
        <v>554</v>
      </c>
      <c r="B114" s="63" t="s">
        <v>669</v>
      </c>
      <c r="C114" s="63" t="s">
        <v>556</v>
      </c>
      <c r="D114" s="63" t="str">
        <f>IF('Barn - Back Rack'!T17="","",TRIM('Barn - Back Rack'!T17))</f>
        <v/>
      </c>
      <c r="E114" s="64" t="str">
        <f>IF($D114="","",'Barn - Back Rack'!U17&amp;"")</f>
        <v/>
      </c>
      <c r="F114" s="63">
        <f t="shared" si="8"/>
        <v>0</v>
      </c>
      <c r="G114" s="64" t="str">
        <f t="shared" si="4"/>
        <v/>
      </c>
      <c r="H114" s="64" t="str">
        <f t="shared" si="5"/>
        <v/>
      </c>
      <c r="I114" s="63">
        <f>IF($G114="",0,IF(COUNTIF($G$2:$G114,$G114)=1,1,0))</f>
        <v>0</v>
      </c>
      <c r="J114" s="63" t="str">
        <f t="shared" si="6"/>
        <v/>
      </c>
      <c r="K114" s="63" t="str">
        <f>IF($H114="","",COUNTIF($H$2:$H114,"?*"))</f>
        <v/>
      </c>
    </row>
    <row r="115" spans="1:11" x14ac:dyDescent="0.25">
      <c r="A115" s="63" t="s">
        <v>554</v>
      </c>
      <c r="B115" s="63" t="s">
        <v>670</v>
      </c>
      <c r="C115" s="63" t="s">
        <v>556</v>
      </c>
      <c r="D115" s="63" t="str">
        <f>IF('Barn - Back Rack'!T18="","",TRIM('Barn - Back Rack'!T18))</f>
        <v/>
      </c>
      <c r="E115" s="64" t="str">
        <f>IF($D115="","",'Barn - Back Rack'!U18&amp;"")</f>
        <v/>
      </c>
      <c r="F115" s="63">
        <f t="shared" si="8"/>
        <v>0</v>
      </c>
      <c r="G115" s="64" t="str">
        <f t="shared" si="4"/>
        <v/>
      </c>
      <c r="H115" s="64" t="str">
        <f t="shared" si="5"/>
        <v/>
      </c>
      <c r="I115" s="63">
        <f>IF($G115="",0,IF(COUNTIF($G$2:$G115,$G115)=1,1,0))</f>
        <v>0</v>
      </c>
      <c r="J115" s="63" t="str">
        <f t="shared" si="6"/>
        <v/>
      </c>
      <c r="K115" s="63" t="str">
        <f>IF($H115="","",COUNTIF($H$2:$H115,"?*"))</f>
        <v/>
      </c>
    </row>
    <row r="116" spans="1:11" x14ac:dyDescent="0.25">
      <c r="A116" s="63" t="s">
        <v>554</v>
      </c>
      <c r="B116" s="63" t="s">
        <v>671</v>
      </c>
      <c r="C116" s="63" t="s">
        <v>556</v>
      </c>
      <c r="D116" s="63" t="str">
        <f>IF('Barn - Back Rack'!T19="","",TRIM('Barn - Back Rack'!T19))</f>
        <v/>
      </c>
      <c r="E116" s="64" t="str">
        <f>IF($D116="","",'Barn - Back Rack'!U19&amp;"")</f>
        <v/>
      </c>
      <c r="F116" s="63">
        <f t="shared" si="8"/>
        <v>0</v>
      </c>
      <c r="G116" s="64" t="str">
        <f t="shared" si="4"/>
        <v/>
      </c>
      <c r="H116" s="64" t="str">
        <f t="shared" si="5"/>
        <v/>
      </c>
      <c r="I116" s="63">
        <f>IF($G116="",0,IF(COUNTIF($G$2:$G116,$G116)=1,1,0))</f>
        <v>0</v>
      </c>
      <c r="J116" s="63" t="str">
        <f t="shared" si="6"/>
        <v/>
      </c>
      <c r="K116" s="63" t="str">
        <f>IF($H116="","",COUNTIF($H$2:$H116,"?*"))</f>
        <v/>
      </c>
    </row>
    <row r="117" spans="1:11" x14ac:dyDescent="0.25">
      <c r="A117" s="63" t="s">
        <v>554</v>
      </c>
      <c r="B117" s="63" t="s">
        <v>672</v>
      </c>
      <c r="C117" s="63" t="s">
        <v>556</v>
      </c>
      <c r="D117" s="63" t="str">
        <f>IF('Barn - Back Rack'!T20="","",TRIM('Barn - Back Rack'!T20))</f>
        <v/>
      </c>
      <c r="E117" s="64" t="str">
        <f>IF($D117="","",'Barn - Back Rack'!U20&amp;"")</f>
        <v/>
      </c>
      <c r="F117" s="63">
        <f t="shared" si="8"/>
        <v>0</v>
      </c>
      <c r="G117" s="64" t="str">
        <f t="shared" si="4"/>
        <v/>
      </c>
      <c r="H117" s="64" t="str">
        <f t="shared" si="5"/>
        <v/>
      </c>
      <c r="I117" s="63">
        <f>IF($G117="",0,IF(COUNTIF($G$2:$G117,$G117)=1,1,0))</f>
        <v>0</v>
      </c>
      <c r="J117" s="63" t="str">
        <f t="shared" si="6"/>
        <v/>
      </c>
      <c r="K117" s="63" t="str">
        <f>IF($H117="","",COUNTIF($H$2:$H117,"?*"))</f>
        <v/>
      </c>
    </row>
    <row r="118" spans="1:11" x14ac:dyDescent="0.25">
      <c r="A118" s="63" t="s">
        <v>554</v>
      </c>
      <c r="B118" s="63" t="s">
        <v>673</v>
      </c>
      <c r="C118" s="63" t="s">
        <v>556</v>
      </c>
      <c r="D118" s="63" t="str">
        <f>IF('Barn - Back Rack'!T21="","",TRIM('Barn - Back Rack'!T21))</f>
        <v/>
      </c>
      <c r="E118" s="64" t="str">
        <f>IF($D118="","",'Barn - Back Rack'!U21&amp;"")</f>
        <v/>
      </c>
      <c r="F118" s="63">
        <f t="shared" si="8"/>
        <v>0</v>
      </c>
      <c r="G118" s="64" t="str">
        <f t="shared" si="4"/>
        <v/>
      </c>
      <c r="H118" s="64" t="str">
        <f t="shared" si="5"/>
        <v/>
      </c>
      <c r="I118" s="63">
        <f>IF($G118="",0,IF(COUNTIF($G$2:$G118,$G118)=1,1,0))</f>
        <v>0</v>
      </c>
      <c r="J118" s="63" t="str">
        <f t="shared" si="6"/>
        <v/>
      </c>
      <c r="K118" s="63" t="str">
        <f>IF($H118="","",COUNTIF($H$2:$H118,"?*"))</f>
        <v/>
      </c>
    </row>
    <row r="119" spans="1:11" x14ac:dyDescent="0.25">
      <c r="A119" s="63" t="s">
        <v>554</v>
      </c>
      <c r="B119" s="63" t="s">
        <v>674</v>
      </c>
      <c r="C119" s="63" t="s">
        <v>556</v>
      </c>
      <c r="D119" s="63" t="str">
        <f>IF('Barn - Back Rack'!T22="","",TRIM('Barn - Back Rack'!T22))</f>
        <v/>
      </c>
      <c r="E119" s="64" t="str">
        <f>IF($D119="","",'Barn - Back Rack'!U22&amp;"")</f>
        <v/>
      </c>
      <c r="F119" s="63">
        <f t="shared" si="8"/>
        <v>0</v>
      </c>
      <c r="G119" s="64" t="str">
        <f t="shared" si="4"/>
        <v/>
      </c>
      <c r="H119" s="64" t="str">
        <f t="shared" si="5"/>
        <v/>
      </c>
      <c r="I119" s="63">
        <f>IF($G119="",0,IF(COUNTIF($G$2:$G119,$G119)=1,1,0))</f>
        <v>0</v>
      </c>
      <c r="J119" s="63" t="str">
        <f t="shared" si="6"/>
        <v/>
      </c>
      <c r="K119" s="63" t="str">
        <f>IF($H119="","",COUNTIF($H$2:$H119,"?*"))</f>
        <v/>
      </c>
    </row>
    <row r="120" spans="1:11" x14ac:dyDescent="0.25">
      <c r="A120" s="63" t="s">
        <v>554</v>
      </c>
      <c r="B120" s="63" t="s">
        <v>675</v>
      </c>
      <c r="C120" s="63" t="s">
        <v>556</v>
      </c>
      <c r="D120" s="63" t="str">
        <f>IF('Barn - Back Rack'!T23="","",TRIM('Barn - Back Rack'!T23))</f>
        <v/>
      </c>
      <c r="E120" s="64" t="str">
        <f>IF($D120="","",'Barn - Back Rack'!U23&amp;"")</f>
        <v/>
      </c>
      <c r="F120" s="63">
        <f t="shared" si="8"/>
        <v>0</v>
      </c>
      <c r="G120" s="64" t="str">
        <f t="shared" si="4"/>
        <v/>
      </c>
      <c r="H120" s="64" t="str">
        <f t="shared" si="5"/>
        <v/>
      </c>
      <c r="I120" s="63">
        <f>IF($G120="",0,IF(COUNTIF($G$2:$G120,$G120)=1,1,0))</f>
        <v>0</v>
      </c>
      <c r="J120" s="63" t="str">
        <f t="shared" si="6"/>
        <v/>
      </c>
      <c r="K120" s="63" t="str">
        <f>IF($H120="","",COUNTIF($H$2:$H120,"?*"))</f>
        <v/>
      </c>
    </row>
    <row r="121" spans="1:11" x14ac:dyDescent="0.25">
      <c r="A121" s="63" t="s">
        <v>554</v>
      </c>
      <c r="B121" s="63" t="s">
        <v>676</v>
      </c>
      <c r="C121" s="63" t="s">
        <v>556</v>
      </c>
      <c r="D121" s="63" t="str">
        <f>IF('Barn - Back Rack'!T24="","",TRIM('Barn - Back Rack'!T24))</f>
        <v/>
      </c>
      <c r="E121" s="64" t="str">
        <f>IF($D121="","",'Barn - Back Rack'!U24&amp;"")</f>
        <v/>
      </c>
      <c r="F121" s="63">
        <f t="shared" si="8"/>
        <v>0</v>
      </c>
      <c r="G121" s="64" t="str">
        <f t="shared" si="4"/>
        <v/>
      </c>
      <c r="H121" s="64" t="str">
        <f t="shared" si="5"/>
        <v/>
      </c>
      <c r="I121" s="63">
        <f>IF($G121="",0,IF(COUNTIF($G$2:$G121,$G121)=1,1,0))</f>
        <v>0</v>
      </c>
      <c r="J121" s="63" t="str">
        <f t="shared" si="6"/>
        <v/>
      </c>
      <c r="K121" s="63" t="str">
        <f>IF($H121="","",COUNTIF($H$2:$H121,"?*"))</f>
        <v/>
      </c>
    </row>
    <row r="122" spans="1:11" x14ac:dyDescent="0.25">
      <c r="A122" s="63" t="s">
        <v>554</v>
      </c>
      <c r="B122" s="63" t="s">
        <v>677</v>
      </c>
      <c r="C122" s="63" t="s">
        <v>556</v>
      </c>
      <c r="D122" s="63" t="str">
        <f>IF('Barn - Back Rack'!V13="","",TRIM('Barn - Back Rack'!V13))</f>
        <v/>
      </c>
      <c r="E122" s="64" t="str">
        <f>IF($D122="","",'Barn - Back Rack'!W13&amp;"")</f>
        <v/>
      </c>
      <c r="F122" s="63">
        <f t="shared" si="8"/>
        <v>0</v>
      </c>
      <c r="G122" s="64" t="str">
        <f t="shared" si="4"/>
        <v/>
      </c>
      <c r="H122" s="64" t="str">
        <f t="shared" si="5"/>
        <v/>
      </c>
      <c r="I122" s="63">
        <f>IF($G122="",0,IF(COUNTIF($G$2:$G122,$G122)=1,1,0))</f>
        <v>0</v>
      </c>
      <c r="J122" s="63" t="str">
        <f t="shared" si="6"/>
        <v/>
      </c>
      <c r="K122" s="63" t="str">
        <f>IF($H122="","",COUNTIF($H$2:$H122,"?*"))</f>
        <v/>
      </c>
    </row>
    <row r="123" spans="1:11" x14ac:dyDescent="0.25">
      <c r="A123" s="63" t="s">
        <v>554</v>
      </c>
      <c r="B123" s="63" t="s">
        <v>678</v>
      </c>
      <c r="C123" s="63" t="s">
        <v>556</v>
      </c>
      <c r="D123" s="63" t="str">
        <f>IF('Barn - Back Rack'!V14="","",TRIM('Barn - Back Rack'!V14))</f>
        <v/>
      </c>
      <c r="E123" s="64" t="str">
        <f>IF($D123="","",'Barn - Back Rack'!W14&amp;"")</f>
        <v/>
      </c>
      <c r="F123" s="63">
        <f t="shared" si="8"/>
        <v>0</v>
      </c>
      <c r="G123" s="64" t="str">
        <f t="shared" si="4"/>
        <v/>
      </c>
      <c r="H123" s="64" t="str">
        <f t="shared" si="5"/>
        <v/>
      </c>
      <c r="I123" s="63">
        <f>IF($G123="",0,IF(COUNTIF($G$2:$G123,$G123)=1,1,0))</f>
        <v>0</v>
      </c>
      <c r="J123" s="63" t="str">
        <f t="shared" si="6"/>
        <v/>
      </c>
      <c r="K123" s="63" t="str">
        <f>IF($H123="","",COUNTIF($H$2:$H123,"?*"))</f>
        <v/>
      </c>
    </row>
    <row r="124" spans="1:11" x14ac:dyDescent="0.25">
      <c r="A124" s="63" t="s">
        <v>554</v>
      </c>
      <c r="B124" s="63" t="s">
        <v>679</v>
      </c>
      <c r="C124" s="63" t="s">
        <v>556</v>
      </c>
      <c r="D124" s="63" t="str">
        <f>IF('Barn - Back Rack'!V15="","",TRIM('Barn - Back Rack'!V15))</f>
        <v/>
      </c>
      <c r="E124" s="64" t="str">
        <f>IF($D124="","",'Barn - Back Rack'!W15&amp;"")</f>
        <v/>
      </c>
      <c r="F124" s="63">
        <f t="shared" si="8"/>
        <v>0</v>
      </c>
      <c r="G124" s="64" t="str">
        <f t="shared" si="4"/>
        <v/>
      </c>
      <c r="H124" s="64" t="str">
        <f t="shared" si="5"/>
        <v/>
      </c>
      <c r="I124" s="63">
        <f>IF($G124="",0,IF(COUNTIF($G$2:$G124,$G124)=1,1,0))</f>
        <v>0</v>
      </c>
      <c r="J124" s="63" t="str">
        <f t="shared" si="6"/>
        <v/>
      </c>
      <c r="K124" s="63" t="str">
        <f>IF($H124="","",COUNTIF($H$2:$H124,"?*"))</f>
        <v/>
      </c>
    </row>
    <row r="125" spans="1:11" x14ac:dyDescent="0.25">
      <c r="A125" s="63" t="s">
        <v>554</v>
      </c>
      <c r="B125" s="63" t="s">
        <v>680</v>
      </c>
      <c r="C125" s="63" t="s">
        <v>556</v>
      </c>
      <c r="D125" s="63" t="str">
        <f>IF('Barn - Back Rack'!V16="","",TRIM('Barn - Back Rack'!V16))</f>
        <v/>
      </c>
      <c r="E125" s="64" t="str">
        <f>IF($D125="","",'Barn - Back Rack'!W16&amp;"")</f>
        <v/>
      </c>
      <c r="F125" s="63">
        <f t="shared" si="8"/>
        <v>0</v>
      </c>
      <c r="G125" s="64" t="str">
        <f t="shared" si="4"/>
        <v/>
      </c>
      <c r="H125" s="64" t="str">
        <f t="shared" si="5"/>
        <v/>
      </c>
      <c r="I125" s="63">
        <f>IF($G125="",0,IF(COUNTIF($G$2:$G125,$G125)=1,1,0))</f>
        <v>0</v>
      </c>
      <c r="J125" s="63" t="str">
        <f t="shared" si="6"/>
        <v/>
      </c>
      <c r="K125" s="63" t="str">
        <f>IF($H125="","",COUNTIF($H$2:$H125,"?*"))</f>
        <v/>
      </c>
    </row>
    <row r="126" spans="1:11" x14ac:dyDescent="0.25">
      <c r="A126" s="63" t="s">
        <v>554</v>
      </c>
      <c r="B126" s="63" t="s">
        <v>681</v>
      </c>
      <c r="C126" s="63" t="s">
        <v>556</v>
      </c>
      <c r="D126" s="63" t="str">
        <f>IF('Barn - Back Rack'!V17="","",TRIM('Barn - Back Rack'!V17))</f>
        <v/>
      </c>
      <c r="E126" s="64" t="str">
        <f>IF($D126="","",'Barn - Back Rack'!W17&amp;"")</f>
        <v/>
      </c>
      <c r="F126" s="63">
        <f t="shared" si="8"/>
        <v>0</v>
      </c>
      <c r="G126" s="64" t="str">
        <f t="shared" si="4"/>
        <v/>
      </c>
      <c r="H126" s="64" t="str">
        <f t="shared" si="5"/>
        <v/>
      </c>
      <c r="I126" s="63">
        <f>IF($G126="",0,IF(COUNTIF($G$2:$G126,$G126)=1,1,0))</f>
        <v>0</v>
      </c>
      <c r="J126" s="63" t="str">
        <f t="shared" si="6"/>
        <v/>
      </c>
      <c r="K126" s="63" t="str">
        <f>IF($H126="","",COUNTIF($H$2:$H126,"?*"))</f>
        <v/>
      </c>
    </row>
    <row r="127" spans="1:11" x14ac:dyDescent="0.25">
      <c r="A127" s="63" t="s">
        <v>554</v>
      </c>
      <c r="B127" s="63" t="s">
        <v>682</v>
      </c>
      <c r="C127" s="63" t="s">
        <v>556</v>
      </c>
      <c r="D127" s="63" t="str">
        <f>IF('Barn - Back Rack'!V18="","",TRIM('Barn - Back Rack'!V18))</f>
        <v/>
      </c>
      <c r="E127" s="64" t="str">
        <f>IF($D127="","",'Barn - Back Rack'!W18&amp;"")</f>
        <v/>
      </c>
      <c r="F127" s="63">
        <f t="shared" si="8"/>
        <v>0</v>
      </c>
      <c r="G127" s="64" t="str">
        <f t="shared" si="4"/>
        <v/>
      </c>
      <c r="H127" s="64" t="str">
        <f t="shared" si="5"/>
        <v/>
      </c>
      <c r="I127" s="63">
        <f>IF($G127="",0,IF(COUNTIF($G$2:$G127,$G127)=1,1,0))</f>
        <v>0</v>
      </c>
      <c r="J127" s="63" t="str">
        <f t="shared" si="6"/>
        <v/>
      </c>
      <c r="K127" s="63" t="str">
        <f>IF($H127="","",COUNTIF($H$2:$H127,"?*"))</f>
        <v/>
      </c>
    </row>
    <row r="128" spans="1:11" x14ac:dyDescent="0.25">
      <c r="A128" s="63" t="s">
        <v>554</v>
      </c>
      <c r="B128" s="63" t="s">
        <v>683</v>
      </c>
      <c r="C128" s="63" t="s">
        <v>556</v>
      </c>
      <c r="D128" s="63" t="str">
        <f>IF('Barn - Back Rack'!V19="","",TRIM('Barn - Back Rack'!V19))</f>
        <v/>
      </c>
      <c r="E128" s="64" t="str">
        <f>IF($D128="","",'Barn - Back Rack'!W19&amp;"")</f>
        <v/>
      </c>
      <c r="F128" s="63">
        <f t="shared" si="8"/>
        <v>0</v>
      </c>
      <c r="G128" s="64" t="str">
        <f t="shared" si="4"/>
        <v/>
      </c>
      <c r="H128" s="64" t="str">
        <f t="shared" si="5"/>
        <v/>
      </c>
      <c r="I128" s="63">
        <f>IF($G128="",0,IF(COUNTIF($G$2:$G128,$G128)=1,1,0))</f>
        <v>0</v>
      </c>
      <c r="J128" s="63" t="str">
        <f t="shared" si="6"/>
        <v/>
      </c>
      <c r="K128" s="63" t="str">
        <f>IF($H128="","",COUNTIF($H$2:$H128,"?*"))</f>
        <v/>
      </c>
    </row>
    <row r="129" spans="1:11" x14ac:dyDescent="0.25">
      <c r="A129" s="63" t="s">
        <v>554</v>
      </c>
      <c r="B129" s="63" t="s">
        <v>684</v>
      </c>
      <c r="C129" s="63" t="s">
        <v>556</v>
      </c>
      <c r="D129" s="63" t="str">
        <f>IF('Barn - Back Rack'!V20="","",TRIM('Barn - Back Rack'!V20))</f>
        <v/>
      </c>
      <c r="E129" s="64" t="str">
        <f>IF($D129="","",'Barn - Back Rack'!W20&amp;"")</f>
        <v/>
      </c>
      <c r="F129" s="63">
        <f t="shared" si="8"/>
        <v>0</v>
      </c>
      <c r="G129" s="64" t="str">
        <f t="shared" si="4"/>
        <v/>
      </c>
      <c r="H129" s="64" t="str">
        <f t="shared" si="5"/>
        <v/>
      </c>
      <c r="I129" s="63">
        <f>IF($G129="",0,IF(COUNTIF($G$2:$G129,$G129)=1,1,0))</f>
        <v>0</v>
      </c>
      <c r="J129" s="63" t="str">
        <f t="shared" si="6"/>
        <v/>
      </c>
      <c r="K129" s="63" t="str">
        <f>IF($H129="","",COUNTIF($H$2:$H129,"?*"))</f>
        <v/>
      </c>
    </row>
    <row r="130" spans="1:11" x14ac:dyDescent="0.25">
      <c r="A130" s="63" t="s">
        <v>554</v>
      </c>
      <c r="B130" s="63" t="s">
        <v>685</v>
      </c>
      <c r="C130" s="63" t="s">
        <v>556</v>
      </c>
      <c r="D130" s="63" t="str">
        <f>IF('Barn - Back Rack'!V21="","",TRIM('Barn - Back Rack'!V21))</f>
        <v/>
      </c>
      <c r="E130" s="64" t="str">
        <f>IF($D130="","",'Barn - Back Rack'!W21&amp;"")</f>
        <v/>
      </c>
      <c r="F130" s="63">
        <f t="shared" si="8"/>
        <v>0</v>
      </c>
      <c r="G130" s="64" t="str">
        <f t="shared" ref="G130:G193" si="9">IF($D130="","",IF(ISNUMBER(FIND("(",$D130)),TRIM(LEFT($D130,FIND("(",$D130)-1)),$D130))</f>
        <v/>
      </c>
      <c r="H130" s="64" t="str">
        <f t="shared" ref="H130:H193" si="10">IF($D130="","",IF(ISNUMBER(FIND("(",$D130)),TRIM(SUBSTITUTE(MID($D130,FIND("(",$D130)+1,200),")","")),""))</f>
        <v/>
      </c>
      <c r="I130" s="63">
        <f>IF($G130="",0,IF(COUNTIF($G$2:$G130,$G130)=1,1,0))</f>
        <v>0</v>
      </c>
      <c r="J130" s="63" t="str">
        <f t="shared" ref="J130:J193" si="11">IF($I130=0,"",SUMPRODUCT(($I$2:$I$1513=1)*($G$2:$G$1513&lt;$G130))+1)</f>
        <v/>
      </c>
      <c r="K130" s="63" t="str">
        <f>IF($H130="","",COUNTIF($H$2:$H130,"?*"))</f>
        <v/>
      </c>
    </row>
    <row r="131" spans="1:11" x14ac:dyDescent="0.25">
      <c r="A131" s="63" t="s">
        <v>554</v>
      </c>
      <c r="B131" s="63" t="s">
        <v>686</v>
      </c>
      <c r="C131" s="63" t="s">
        <v>556</v>
      </c>
      <c r="D131" s="63" t="str">
        <f>IF('Barn - Back Rack'!V22="","",TRIM('Barn - Back Rack'!V22))</f>
        <v/>
      </c>
      <c r="E131" s="64" t="str">
        <f>IF($D131="","",'Barn - Back Rack'!W22&amp;"")</f>
        <v/>
      </c>
      <c r="F131" s="63">
        <f t="shared" si="8"/>
        <v>0</v>
      </c>
      <c r="G131" s="64" t="str">
        <f t="shared" si="9"/>
        <v/>
      </c>
      <c r="H131" s="64" t="str">
        <f t="shared" si="10"/>
        <v/>
      </c>
      <c r="I131" s="63">
        <f>IF($G131="",0,IF(COUNTIF($G$2:$G131,$G131)=1,1,0))</f>
        <v>0</v>
      </c>
      <c r="J131" s="63" t="str">
        <f t="shared" si="11"/>
        <v/>
      </c>
      <c r="K131" s="63" t="str">
        <f>IF($H131="","",COUNTIF($H$2:$H131,"?*"))</f>
        <v/>
      </c>
    </row>
    <row r="132" spans="1:11" x14ac:dyDescent="0.25">
      <c r="A132" s="63" t="s">
        <v>554</v>
      </c>
      <c r="B132" s="63" t="s">
        <v>687</v>
      </c>
      <c r="C132" s="63" t="s">
        <v>556</v>
      </c>
      <c r="D132" s="63" t="str">
        <f>IF('Barn - Back Rack'!V23="","",TRIM('Barn - Back Rack'!V23))</f>
        <v/>
      </c>
      <c r="E132" s="64" t="str">
        <f>IF($D132="","",'Barn - Back Rack'!W23&amp;"")</f>
        <v/>
      </c>
      <c r="F132" s="63">
        <f t="shared" si="8"/>
        <v>0</v>
      </c>
      <c r="G132" s="64" t="str">
        <f t="shared" si="9"/>
        <v/>
      </c>
      <c r="H132" s="64" t="str">
        <f t="shared" si="10"/>
        <v/>
      </c>
      <c r="I132" s="63">
        <f>IF($G132="",0,IF(COUNTIF($G$2:$G132,$G132)=1,1,0))</f>
        <v>0</v>
      </c>
      <c r="J132" s="63" t="str">
        <f t="shared" si="11"/>
        <v/>
      </c>
      <c r="K132" s="63" t="str">
        <f>IF($H132="","",COUNTIF($H$2:$H132,"?*"))</f>
        <v/>
      </c>
    </row>
    <row r="133" spans="1:11" x14ac:dyDescent="0.25">
      <c r="A133" s="63" t="s">
        <v>554</v>
      </c>
      <c r="B133" s="63" t="s">
        <v>688</v>
      </c>
      <c r="C133" s="63" t="s">
        <v>556</v>
      </c>
      <c r="D133" s="63" t="str">
        <f>IF('Barn - Back Rack'!V24="","",TRIM('Barn - Back Rack'!V24))</f>
        <v/>
      </c>
      <c r="E133" s="64" t="str">
        <f>IF($D133="","",'Barn - Back Rack'!W24&amp;"")</f>
        <v/>
      </c>
      <c r="F133" s="63">
        <f t="shared" si="8"/>
        <v>0</v>
      </c>
      <c r="G133" s="64" t="str">
        <f t="shared" si="9"/>
        <v/>
      </c>
      <c r="H133" s="64" t="str">
        <f t="shared" si="10"/>
        <v/>
      </c>
      <c r="I133" s="63">
        <f>IF($G133="",0,IF(COUNTIF($G$2:$G133,$G133)=1,1,0))</f>
        <v>0</v>
      </c>
      <c r="J133" s="63" t="str">
        <f t="shared" si="11"/>
        <v/>
      </c>
      <c r="K133" s="63" t="str">
        <f>IF($H133="","",COUNTIF($H$2:$H133,"?*"))</f>
        <v/>
      </c>
    </row>
    <row r="134" spans="1:11" x14ac:dyDescent="0.25">
      <c r="A134" s="63" t="s">
        <v>554</v>
      </c>
      <c r="B134" s="63" t="s">
        <v>689</v>
      </c>
      <c r="C134" s="63" t="s">
        <v>556</v>
      </c>
      <c r="D134" s="63" t="str">
        <f>IF('Barn - Back Rack'!X13="","",TRIM('Barn - Back Rack'!X13))</f>
        <v/>
      </c>
      <c r="E134" s="64" t="str">
        <f>IF($D134="","",'Barn - Back Rack'!Y13&amp;"")</f>
        <v/>
      </c>
      <c r="F134" s="63">
        <f t="shared" si="8"/>
        <v>0</v>
      </c>
      <c r="G134" s="64" t="str">
        <f t="shared" si="9"/>
        <v/>
      </c>
      <c r="H134" s="64" t="str">
        <f t="shared" si="10"/>
        <v/>
      </c>
      <c r="I134" s="63">
        <f>IF($G134="",0,IF(COUNTIF($G$2:$G134,$G134)=1,1,0))</f>
        <v>0</v>
      </c>
      <c r="J134" s="63" t="str">
        <f t="shared" si="11"/>
        <v/>
      </c>
      <c r="K134" s="63" t="str">
        <f>IF($H134="","",COUNTIF($H$2:$H134,"?*"))</f>
        <v/>
      </c>
    </row>
    <row r="135" spans="1:11" x14ac:dyDescent="0.25">
      <c r="A135" s="63" t="s">
        <v>554</v>
      </c>
      <c r="B135" s="63" t="s">
        <v>690</v>
      </c>
      <c r="C135" s="63" t="s">
        <v>556</v>
      </c>
      <c r="D135" s="63" t="str">
        <f>IF('Barn - Back Rack'!X14="","",TRIM('Barn - Back Rack'!X14))</f>
        <v/>
      </c>
      <c r="E135" s="64" t="str">
        <f>IF($D135="","",'Barn - Back Rack'!Y14&amp;"")</f>
        <v/>
      </c>
      <c r="F135" s="63">
        <f t="shared" si="8"/>
        <v>0</v>
      </c>
      <c r="G135" s="64" t="str">
        <f t="shared" si="9"/>
        <v/>
      </c>
      <c r="H135" s="64" t="str">
        <f t="shared" si="10"/>
        <v/>
      </c>
      <c r="I135" s="63">
        <f>IF($G135="",0,IF(COUNTIF($G$2:$G135,$G135)=1,1,0))</f>
        <v>0</v>
      </c>
      <c r="J135" s="63" t="str">
        <f t="shared" si="11"/>
        <v/>
      </c>
      <c r="K135" s="63" t="str">
        <f>IF($H135="","",COUNTIF($H$2:$H135,"?*"))</f>
        <v/>
      </c>
    </row>
    <row r="136" spans="1:11" x14ac:dyDescent="0.25">
      <c r="A136" s="63" t="s">
        <v>554</v>
      </c>
      <c r="B136" s="63" t="s">
        <v>691</v>
      </c>
      <c r="C136" s="63" t="s">
        <v>556</v>
      </c>
      <c r="D136" s="63" t="str">
        <f>IF('Barn - Back Rack'!X15="","",TRIM('Barn - Back Rack'!X15))</f>
        <v/>
      </c>
      <c r="E136" s="64" t="str">
        <f>IF($D136="","",'Barn - Back Rack'!Y15&amp;"")</f>
        <v/>
      </c>
      <c r="F136" s="63">
        <f t="shared" si="8"/>
        <v>0</v>
      </c>
      <c r="G136" s="64" t="str">
        <f t="shared" si="9"/>
        <v/>
      </c>
      <c r="H136" s="64" t="str">
        <f t="shared" si="10"/>
        <v/>
      </c>
      <c r="I136" s="63">
        <f>IF($G136="",0,IF(COUNTIF($G$2:$G136,$G136)=1,1,0))</f>
        <v>0</v>
      </c>
      <c r="J136" s="63" t="str">
        <f t="shared" si="11"/>
        <v/>
      </c>
      <c r="K136" s="63" t="str">
        <f>IF($H136="","",COUNTIF($H$2:$H136,"?*"))</f>
        <v/>
      </c>
    </row>
    <row r="137" spans="1:11" x14ac:dyDescent="0.25">
      <c r="A137" s="63" t="s">
        <v>554</v>
      </c>
      <c r="B137" s="63" t="s">
        <v>692</v>
      </c>
      <c r="C137" s="63" t="s">
        <v>556</v>
      </c>
      <c r="D137" s="63" t="str">
        <f>IF('Barn - Back Rack'!X16="","",TRIM('Barn - Back Rack'!X16))</f>
        <v/>
      </c>
      <c r="E137" s="64" t="str">
        <f>IF($D137="","",'Barn - Back Rack'!Y16&amp;"")</f>
        <v/>
      </c>
      <c r="F137" s="63">
        <f t="shared" si="8"/>
        <v>0</v>
      </c>
      <c r="G137" s="64" t="str">
        <f t="shared" si="9"/>
        <v/>
      </c>
      <c r="H137" s="64" t="str">
        <f t="shared" si="10"/>
        <v/>
      </c>
      <c r="I137" s="63">
        <f>IF($G137="",0,IF(COUNTIF($G$2:$G137,$G137)=1,1,0))</f>
        <v>0</v>
      </c>
      <c r="J137" s="63" t="str">
        <f t="shared" si="11"/>
        <v/>
      </c>
      <c r="K137" s="63" t="str">
        <f>IF($H137="","",COUNTIF($H$2:$H137,"?*"))</f>
        <v/>
      </c>
    </row>
    <row r="138" spans="1:11" x14ac:dyDescent="0.25">
      <c r="A138" s="63" t="s">
        <v>554</v>
      </c>
      <c r="B138" s="63" t="s">
        <v>693</v>
      </c>
      <c r="C138" s="63" t="s">
        <v>556</v>
      </c>
      <c r="D138" s="63" t="str">
        <f>IF('Barn - Back Rack'!X17="","",TRIM('Barn - Back Rack'!X17))</f>
        <v/>
      </c>
      <c r="E138" s="64" t="str">
        <f>IF($D138="","",'Barn - Back Rack'!Y17&amp;"")</f>
        <v/>
      </c>
      <c r="F138" s="63">
        <f t="shared" ref="F138:F169" si="12">IF($D138="",0,1)</f>
        <v>0</v>
      </c>
      <c r="G138" s="64" t="str">
        <f t="shared" si="9"/>
        <v/>
      </c>
      <c r="H138" s="64" t="str">
        <f t="shared" si="10"/>
        <v/>
      </c>
      <c r="I138" s="63">
        <f>IF($G138="",0,IF(COUNTIF($G$2:$G138,$G138)=1,1,0))</f>
        <v>0</v>
      </c>
      <c r="J138" s="63" t="str">
        <f t="shared" si="11"/>
        <v/>
      </c>
      <c r="K138" s="63" t="str">
        <f>IF($H138="","",COUNTIF($H$2:$H138,"?*"))</f>
        <v/>
      </c>
    </row>
    <row r="139" spans="1:11" x14ac:dyDescent="0.25">
      <c r="A139" s="63" t="s">
        <v>554</v>
      </c>
      <c r="B139" s="63" t="s">
        <v>694</v>
      </c>
      <c r="C139" s="63" t="s">
        <v>556</v>
      </c>
      <c r="D139" s="63" t="str">
        <f>IF('Barn - Back Rack'!X18="","",TRIM('Barn - Back Rack'!X18))</f>
        <v/>
      </c>
      <c r="E139" s="64" t="str">
        <f>IF($D139="","",'Barn - Back Rack'!Y18&amp;"")</f>
        <v/>
      </c>
      <c r="F139" s="63">
        <f t="shared" si="12"/>
        <v>0</v>
      </c>
      <c r="G139" s="64" t="str">
        <f t="shared" si="9"/>
        <v/>
      </c>
      <c r="H139" s="64" t="str">
        <f t="shared" si="10"/>
        <v/>
      </c>
      <c r="I139" s="63">
        <f>IF($G139="",0,IF(COUNTIF($G$2:$G139,$G139)=1,1,0))</f>
        <v>0</v>
      </c>
      <c r="J139" s="63" t="str">
        <f t="shared" si="11"/>
        <v/>
      </c>
      <c r="K139" s="63" t="str">
        <f>IF($H139="","",COUNTIF($H$2:$H139,"?*"))</f>
        <v/>
      </c>
    </row>
    <row r="140" spans="1:11" x14ac:dyDescent="0.25">
      <c r="A140" s="63" t="s">
        <v>554</v>
      </c>
      <c r="B140" s="63" t="s">
        <v>695</v>
      </c>
      <c r="C140" s="63" t="s">
        <v>556</v>
      </c>
      <c r="D140" s="63" t="str">
        <f>IF('Barn - Back Rack'!X19="","",TRIM('Barn - Back Rack'!X19))</f>
        <v/>
      </c>
      <c r="E140" s="64" t="str">
        <f>IF($D140="","",'Barn - Back Rack'!Y19&amp;"")</f>
        <v/>
      </c>
      <c r="F140" s="63">
        <f t="shared" si="12"/>
        <v>0</v>
      </c>
      <c r="G140" s="64" t="str">
        <f t="shared" si="9"/>
        <v/>
      </c>
      <c r="H140" s="64" t="str">
        <f t="shared" si="10"/>
        <v/>
      </c>
      <c r="I140" s="63">
        <f>IF($G140="",0,IF(COUNTIF($G$2:$G140,$G140)=1,1,0))</f>
        <v>0</v>
      </c>
      <c r="J140" s="63" t="str">
        <f t="shared" si="11"/>
        <v/>
      </c>
      <c r="K140" s="63" t="str">
        <f>IF($H140="","",COUNTIF($H$2:$H140,"?*"))</f>
        <v/>
      </c>
    </row>
    <row r="141" spans="1:11" x14ac:dyDescent="0.25">
      <c r="A141" s="63" t="s">
        <v>554</v>
      </c>
      <c r="B141" s="63" t="s">
        <v>696</v>
      </c>
      <c r="C141" s="63" t="s">
        <v>556</v>
      </c>
      <c r="D141" s="63" t="str">
        <f>IF('Barn - Back Rack'!X20="","",TRIM('Barn - Back Rack'!X20))</f>
        <v/>
      </c>
      <c r="E141" s="64" t="str">
        <f>IF($D141="","",'Barn - Back Rack'!Y20&amp;"")</f>
        <v/>
      </c>
      <c r="F141" s="63">
        <f t="shared" si="12"/>
        <v>0</v>
      </c>
      <c r="G141" s="64" t="str">
        <f t="shared" si="9"/>
        <v/>
      </c>
      <c r="H141" s="64" t="str">
        <f t="shared" si="10"/>
        <v/>
      </c>
      <c r="I141" s="63">
        <f>IF($G141="",0,IF(COUNTIF($G$2:$G141,$G141)=1,1,0))</f>
        <v>0</v>
      </c>
      <c r="J141" s="63" t="str">
        <f t="shared" si="11"/>
        <v/>
      </c>
      <c r="K141" s="63" t="str">
        <f>IF($H141="","",COUNTIF($H$2:$H141,"?*"))</f>
        <v/>
      </c>
    </row>
    <row r="142" spans="1:11" x14ac:dyDescent="0.25">
      <c r="A142" s="63" t="s">
        <v>554</v>
      </c>
      <c r="B142" s="63" t="s">
        <v>697</v>
      </c>
      <c r="C142" s="63" t="s">
        <v>556</v>
      </c>
      <c r="D142" s="63" t="str">
        <f>IF('Barn - Back Rack'!X21="","",TRIM('Barn - Back Rack'!X21))</f>
        <v/>
      </c>
      <c r="E142" s="64" t="str">
        <f>IF($D142="","",'Barn - Back Rack'!Y21&amp;"")</f>
        <v/>
      </c>
      <c r="F142" s="63">
        <f t="shared" si="12"/>
        <v>0</v>
      </c>
      <c r="G142" s="64" t="str">
        <f t="shared" si="9"/>
        <v/>
      </c>
      <c r="H142" s="64" t="str">
        <f t="shared" si="10"/>
        <v/>
      </c>
      <c r="I142" s="63">
        <f>IF($G142="",0,IF(COUNTIF($G$2:$G142,$G142)=1,1,0))</f>
        <v>0</v>
      </c>
      <c r="J142" s="63" t="str">
        <f t="shared" si="11"/>
        <v/>
      </c>
      <c r="K142" s="63" t="str">
        <f>IF($H142="","",COUNTIF($H$2:$H142,"?*"))</f>
        <v/>
      </c>
    </row>
    <row r="143" spans="1:11" x14ac:dyDescent="0.25">
      <c r="A143" s="63" t="s">
        <v>554</v>
      </c>
      <c r="B143" s="63" t="s">
        <v>698</v>
      </c>
      <c r="C143" s="63" t="s">
        <v>556</v>
      </c>
      <c r="D143" s="63" t="str">
        <f>IF('Barn - Back Rack'!X22="","",TRIM('Barn - Back Rack'!X22))</f>
        <v/>
      </c>
      <c r="E143" s="64" t="str">
        <f>IF($D143="","",'Barn - Back Rack'!Y22&amp;"")</f>
        <v/>
      </c>
      <c r="F143" s="63">
        <f t="shared" si="12"/>
        <v>0</v>
      </c>
      <c r="G143" s="64" t="str">
        <f t="shared" si="9"/>
        <v/>
      </c>
      <c r="H143" s="64" t="str">
        <f t="shared" si="10"/>
        <v/>
      </c>
      <c r="I143" s="63">
        <f>IF($G143="",0,IF(COUNTIF($G$2:$G143,$G143)=1,1,0))</f>
        <v>0</v>
      </c>
      <c r="J143" s="63" t="str">
        <f t="shared" si="11"/>
        <v/>
      </c>
      <c r="K143" s="63" t="str">
        <f>IF($H143="","",COUNTIF($H$2:$H143,"?*"))</f>
        <v/>
      </c>
    </row>
    <row r="144" spans="1:11" x14ac:dyDescent="0.25">
      <c r="A144" s="63" t="s">
        <v>554</v>
      </c>
      <c r="B144" s="63" t="s">
        <v>699</v>
      </c>
      <c r="C144" s="63" t="s">
        <v>556</v>
      </c>
      <c r="D144" s="63" t="str">
        <f>IF('Barn - Back Rack'!X23="","",TRIM('Barn - Back Rack'!X23))</f>
        <v/>
      </c>
      <c r="E144" s="64" t="str">
        <f>IF($D144="","",'Barn - Back Rack'!Y23&amp;"")</f>
        <v/>
      </c>
      <c r="F144" s="63">
        <f t="shared" si="12"/>
        <v>0</v>
      </c>
      <c r="G144" s="64" t="str">
        <f t="shared" si="9"/>
        <v/>
      </c>
      <c r="H144" s="64" t="str">
        <f t="shared" si="10"/>
        <v/>
      </c>
      <c r="I144" s="63">
        <f>IF($G144="",0,IF(COUNTIF($G$2:$G144,$G144)=1,1,0))</f>
        <v>0</v>
      </c>
      <c r="J144" s="63" t="str">
        <f t="shared" si="11"/>
        <v/>
      </c>
      <c r="K144" s="63" t="str">
        <f>IF($H144="","",COUNTIF($H$2:$H144,"?*"))</f>
        <v/>
      </c>
    </row>
    <row r="145" spans="1:11" x14ac:dyDescent="0.25">
      <c r="A145" s="63" t="s">
        <v>554</v>
      </c>
      <c r="B145" s="63" t="s">
        <v>700</v>
      </c>
      <c r="C145" s="63" t="s">
        <v>556</v>
      </c>
      <c r="D145" s="63" t="str">
        <f>IF('Barn - Back Rack'!X24="","",TRIM('Barn - Back Rack'!X24))</f>
        <v/>
      </c>
      <c r="E145" s="64" t="str">
        <f>IF($D145="","",'Barn - Back Rack'!Y24&amp;"")</f>
        <v/>
      </c>
      <c r="F145" s="63">
        <f t="shared" si="12"/>
        <v>0</v>
      </c>
      <c r="G145" s="64" t="str">
        <f t="shared" si="9"/>
        <v/>
      </c>
      <c r="H145" s="64" t="str">
        <f t="shared" si="10"/>
        <v/>
      </c>
      <c r="I145" s="63">
        <f>IF($G145="",0,IF(COUNTIF($G$2:$G145,$G145)=1,1,0))</f>
        <v>0</v>
      </c>
      <c r="J145" s="63" t="str">
        <f t="shared" si="11"/>
        <v/>
      </c>
      <c r="K145" s="63" t="str">
        <f>IF($H145="","",COUNTIF($H$2:$H145,"?*"))</f>
        <v/>
      </c>
    </row>
    <row r="146" spans="1:11" x14ac:dyDescent="0.25">
      <c r="A146" s="63" t="s">
        <v>554</v>
      </c>
      <c r="B146" s="63" t="s">
        <v>701</v>
      </c>
      <c r="C146" s="63" t="s">
        <v>556</v>
      </c>
      <c r="D146" s="63" t="str">
        <f>IF('Barn - Back Rack'!Z13="","",TRIM('Barn - Back Rack'!Z13))</f>
        <v>Bunn CWTF-APS Twin</v>
      </c>
      <c r="E146" s="64" t="str">
        <f>IF($D146="","",'Barn - Back Rack'!AA13&amp;"")</f>
        <v>N/A</v>
      </c>
      <c r="F146" s="63">
        <f t="shared" si="12"/>
        <v>1</v>
      </c>
      <c r="G146" s="64" t="str">
        <f t="shared" si="9"/>
        <v>Bunn CWTF-APS Twin</v>
      </c>
      <c r="H146" s="64" t="str">
        <f t="shared" si="10"/>
        <v/>
      </c>
      <c r="I146" s="63">
        <f>IF($G146="",0,IF(COUNTIF($G$2:$G146,$G146)=1,1,0))</f>
        <v>1</v>
      </c>
      <c r="J146" s="63">
        <f t="shared" si="11"/>
        <v>8</v>
      </c>
      <c r="K146" s="63" t="str">
        <f>IF($H146="","",COUNTIF($H$2:$H146,"?*"))</f>
        <v/>
      </c>
    </row>
    <row r="147" spans="1:11" x14ac:dyDescent="0.25">
      <c r="A147" s="63" t="s">
        <v>554</v>
      </c>
      <c r="B147" s="63" t="s">
        <v>702</v>
      </c>
      <c r="C147" s="63" t="s">
        <v>556</v>
      </c>
      <c r="D147" s="63" t="str">
        <f>IF('Barn - Back Rack'!Z14="","",TRIM('Barn - Back Rack'!Z14))</f>
        <v>Bunn CWTF-APS Twin</v>
      </c>
      <c r="E147" s="64" t="str">
        <f>IF($D147="","",'Barn - Back Rack'!AA14&amp;"")</f>
        <v>N/A</v>
      </c>
      <c r="F147" s="63">
        <f t="shared" si="12"/>
        <v>1</v>
      </c>
      <c r="G147" s="64" t="str">
        <f t="shared" si="9"/>
        <v>Bunn CWTF-APS Twin</v>
      </c>
      <c r="H147" s="64" t="str">
        <f t="shared" si="10"/>
        <v/>
      </c>
      <c r="I147" s="63">
        <f>IF($G147="",0,IF(COUNTIF($G$2:$G147,$G147)=1,1,0))</f>
        <v>0</v>
      </c>
      <c r="J147" s="63" t="str">
        <f t="shared" si="11"/>
        <v/>
      </c>
      <c r="K147" s="63" t="str">
        <f>IF($H147="","",COUNTIF($H$2:$H147,"?*"))</f>
        <v/>
      </c>
    </row>
    <row r="148" spans="1:11" x14ac:dyDescent="0.25">
      <c r="A148" s="63" t="s">
        <v>554</v>
      </c>
      <c r="B148" s="63" t="s">
        <v>703</v>
      </c>
      <c r="C148" s="63" t="s">
        <v>556</v>
      </c>
      <c r="D148" s="63" t="str">
        <f>IF('Barn - Back Rack'!Z15="","",TRIM('Barn - Back Rack'!Z15))</f>
        <v>Bunn CWTF-TC Twin</v>
      </c>
      <c r="E148" s="64" t="str">
        <f>IF($D148="","",'Barn - Back Rack'!AA15&amp;"")</f>
        <v>TWIN063686</v>
      </c>
      <c r="F148" s="63">
        <f t="shared" si="12"/>
        <v>1</v>
      </c>
      <c r="G148" s="64" t="str">
        <f t="shared" si="9"/>
        <v>Bunn CWTF-TC Twin</v>
      </c>
      <c r="H148" s="64" t="str">
        <f t="shared" si="10"/>
        <v/>
      </c>
      <c r="I148" s="63">
        <f>IF($G148="",0,IF(COUNTIF($G$2:$G148,$G148)=1,1,0))</f>
        <v>1</v>
      </c>
      <c r="J148" s="63">
        <f t="shared" si="11"/>
        <v>9</v>
      </c>
      <c r="K148" s="63" t="str">
        <f>IF($H148="","",COUNTIF($H$2:$H148,"?*"))</f>
        <v/>
      </c>
    </row>
    <row r="149" spans="1:11" x14ac:dyDescent="0.25">
      <c r="A149" s="63" t="s">
        <v>554</v>
      </c>
      <c r="B149" s="63" t="s">
        <v>704</v>
      </c>
      <c r="C149" s="63" t="s">
        <v>556</v>
      </c>
      <c r="D149" s="63" t="str">
        <f>IF('Barn - Back Rack'!Z16="","",TRIM('Barn - Back Rack'!Z16))</f>
        <v>Bunn CWTF-TC Twin</v>
      </c>
      <c r="E149" s="64" t="str">
        <f>IF($D149="","",'Barn - Back Rack'!AA16&amp;"")</f>
        <v>TWIN063695</v>
      </c>
      <c r="F149" s="63">
        <f t="shared" si="12"/>
        <v>1</v>
      </c>
      <c r="G149" s="64" t="str">
        <f t="shared" si="9"/>
        <v>Bunn CWTF-TC Twin</v>
      </c>
      <c r="H149" s="64" t="str">
        <f t="shared" si="10"/>
        <v/>
      </c>
      <c r="I149" s="63">
        <f>IF($G149="",0,IF(COUNTIF($G$2:$G149,$G149)=1,1,0))</f>
        <v>0</v>
      </c>
      <c r="J149" s="63" t="str">
        <f t="shared" si="11"/>
        <v/>
      </c>
      <c r="K149" s="63" t="str">
        <f>IF($H149="","",COUNTIF($H$2:$H149,"?*"))</f>
        <v/>
      </c>
    </row>
    <row r="150" spans="1:11" x14ac:dyDescent="0.25">
      <c r="A150" s="63" t="s">
        <v>554</v>
      </c>
      <c r="B150" s="63" t="s">
        <v>705</v>
      </c>
      <c r="C150" s="63" t="s">
        <v>556</v>
      </c>
      <c r="D150" s="63" t="str">
        <f>IF('Barn - Back Rack'!Z17="","",TRIM('Barn - Back Rack'!Z17))</f>
        <v/>
      </c>
      <c r="E150" s="64" t="str">
        <f>IF($D150="","",'Barn - Back Rack'!AA17&amp;"")</f>
        <v/>
      </c>
      <c r="F150" s="63">
        <f t="shared" si="12"/>
        <v>0</v>
      </c>
      <c r="G150" s="64" t="str">
        <f t="shared" si="9"/>
        <v/>
      </c>
      <c r="H150" s="64" t="str">
        <f t="shared" si="10"/>
        <v/>
      </c>
      <c r="I150" s="63">
        <f>IF($G150="",0,IF(COUNTIF($G$2:$G150,$G150)=1,1,0))</f>
        <v>0</v>
      </c>
      <c r="J150" s="63" t="str">
        <f t="shared" si="11"/>
        <v/>
      </c>
      <c r="K150" s="63" t="str">
        <f>IF($H150="","",COUNTIF($H$2:$H150,"?*"))</f>
        <v/>
      </c>
    </row>
    <row r="151" spans="1:11" x14ac:dyDescent="0.25">
      <c r="A151" s="63" t="s">
        <v>554</v>
      </c>
      <c r="B151" s="63" t="s">
        <v>706</v>
      </c>
      <c r="C151" s="63" t="s">
        <v>556</v>
      </c>
      <c r="D151" s="63" t="str">
        <f>IF('Barn - Back Rack'!Z18="","",TRIM('Barn - Back Rack'!Z18))</f>
        <v/>
      </c>
      <c r="E151" s="64" t="str">
        <f>IF($D151="","",'Barn - Back Rack'!AA18&amp;"")</f>
        <v/>
      </c>
      <c r="F151" s="63">
        <f t="shared" si="12"/>
        <v>0</v>
      </c>
      <c r="G151" s="64" t="str">
        <f t="shared" si="9"/>
        <v/>
      </c>
      <c r="H151" s="64" t="str">
        <f t="shared" si="10"/>
        <v/>
      </c>
      <c r="I151" s="63">
        <f>IF($G151="",0,IF(COUNTIF($G$2:$G151,$G151)=1,1,0))</f>
        <v>0</v>
      </c>
      <c r="J151" s="63" t="str">
        <f t="shared" si="11"/>
        <v/>
      </c>
      <c r="K151" s="63" t="str">
        <f>IF($H151="","",COUNTIF($H$2:$H151,"?*"))</f>
        <v/>
      </c>
    </row>
    <row r="152" spans="1:11" x14ac:dyDescent="0.25">
      <c r="A152" s="63" t="s">
        <v>554</v>
      </c>
      <c r="B152" s="63" t="s">
        <v>707</v>
      </c>
      <c r="C152" s="63" t="s">
        <v>556</v>
      </c>
      <c r="D152" s="63" t="str">
        <f>IF('Barn - Back Rack'!Z19="","",TRIM('Barn - Back Rack'!Z19))</f>
        <v/>
      </c>
      <c r="E152" s="64" t="str">
        <f>IF($D152="","",'Barn - Back Rack'!AA19&amp;"")</f>
        <v/>
      </c>
      <c r="F152" s="63">
        <f t="shared" si="12"/>
        <v>0</v>
      </c>
      <c r="G152" s="64" t="str">
        <f t="shared" si="9"/>
        <v/>
      </c>
      <c r="H152" s="64" t="str">
        <f t="shared" si="10"/>
        <v/>
      </c>
      <c r="I152" s="63">
        <f>IF($G152="",0,IF(COUNTIF($G$2:$G152,$G152)=1,1,0))</f>
        <v>0</v>
      </c>
      <c r="J152" s="63" t="str">
        <f t="shared" si="11"/>
        <v/>
      </c>
      <c r="K152" s="63" t="str">
        <f>IF($H152="","",COUNTIF($H$2:$H152,"?*"))</f>
        <v/>
      </c>
    </row>
    <row r="153" spans="1:11" x14ac:dyDescent="0.25">
      <c r="A153" s="63" t="s">
        <v>554</v>
      </c>
      <c r="B153" s="63" t="s">
        <v>708</v>
      </c>
      <c r="C153" s="63" t="s">
        <v>556</v>
      </c>
      <c r="D153" s="63" t="str">
        <f>IF('Barn - Back Rack'!Z20="","",TRIM('Barn - Back Rack'!Z20))</f>
        <v/>
      </c>
      <c r="E153" s="64" t="str">
        <f>IF($D153="","",'Barn - Back Rack'!AA20&amp;"")</f>
        <v/>
      </c>
      <c r="F153" s="63">
        <f t="shared" si="12"/>
        <v>0</v>
      </c>
      <c r="G153" s="64" t="str">
        <f t="shared" si="9"/>
        <v/>
      </c>
      <c r="H153" s="64" t="str">
        <f t="shared" si="10"/>
        <v/>
      </c>
      <c r="I153" s="63">
        <f>IF($G153="",0,IF(COUNTIF($G$2:$G153,$G153)=1,1,0))</f>
        <v>0</v>
      </c>
      <c r="J153" s="63" t="str">
        <f t="shared" si="11"/>
        <v/>
      </c>
      <c r="K153" s="63" t="str">
        <f>IF($H153="","",COUNTIF($H$2:$H153,"?*"))</f>
        <v/>
      </c>
    </row>
    <row r="154" spans="1:11" x14ac:dyDescent="0.25">
      <c r="A154" s="63" t="s">
        <v>554</v>
      </c>
      <c r="B154" s="63" t="s">
        <v>709</v>
      </c>
      <c r="C154" s="63" t="s">
        <v>556</v>
      </c>
      <c r="D154" s="63" t="str">
        <f>IF('Barn - Back Rack'!Z21="","",TRIM('Barn - Back Rack'!Z21))</f>
        <v/>
      </c>
      <c r="E154" s="64" t="str">
        <f>IF($D154="","",'Barn - Back Rack'!AA21&amp;"")</f>
        <v/>
      </c>
      <c r="F154" s="63">
        <f t="shared" si="12"/>
        <v>0</v>
      </c>
      <c r="G154" s="64" t="str">
        <f t="shared" si="9"/>
        <v/>
      </c>
      <c r="H154" s="64" t="str">
        <f t="shared" si="10"/>
        <v/>
      </c>
      <c r="I154" s="63">
        <f>IF($G154="",0,IF(COUNTIF($G$2:$G154,$G154)=1,1,0))</f>
        <v>0</v>
      </c>
      <c r="J154" s="63" t="str">
        <f t="shared" si="11"/>
        <v/>
      </c>
      <c r="K154" s="63" t="str">
        <f>IF($H154="","",COUNTIF($H$2:$H154,"?*"))</f>
        <v/>
      </c>
    </row>
    <row r="155" spans="1:11" x14ac:dyDescent="0.25">
      <c r="A155" s="63" t="s">
        <v>554</v>
      </c>
      <c r="B155" s="63" t="s">
        <v>710</v>
      </c>
      <c r="C155" s="63" t="s">
        <v>556</v>
      </c>
      <c r="D155" s="63" t="str">
        <f>IF('Barn - Back Rack'!Z22="","",TRIM('Barn - Back Rack'!Z22))</f>
        <v/>
      </c>
      <c r="E155" s="64" t="str">
        <f>IF($D155="","",'Barn - Back Rack'!AA22&amp;"")</f>
        <v/>
      </c>
      <c r="F155" s="63">
        <f t="shared" si="12"/>
        <v>0</v>
      </c>
      <c r="G155" s="64" t="str">
        <f t="shared" si="9"/>
        <v/>
      </c>
      <c r="H155" s="64" t="str">
        <f t="shared" si="10"/>
        <v/>
      </c>
      <c r="I155" s="63">
        <f>IF($G155="",0,IF(COUNTIF($G$2:$G155,$G155)=1,1,0))</f>
        <v>0</v>
      </c>
      <c r="J155" s="63" t="str">
        <f t="shared" si="11"/>
        <v/>
      </c>
      <c r="K155" s="63" t="str">
        <f>IF($H155="","",COUNTIF($H$2:$H155,"?*"))</f>
        <v/>
      </c>
    </row>
    <row r="156" spans="1:11" x14ac:dyDescent="0.25">
      <c r="A156" s="63" t="s">
        <v>554</v>
      </c>
      <c r="B156" s="63" t="s">
        <v>711</v>
      </c>
      <c r="C156" s="63" t="s">
        <v>556</v>
      </c>
      <c r="D156" s="63" t="str">
        <f>IF('Barn - Back Rack'!Z23="","",TRIM('Barn - Back Rack'!Z23))</f>
        <v/>
      </c>
      <c r="E156" s="64" t="str">
        <f>IF($D156="","",'Barn - Back Rack'!AA23&amp;"")</f>
        <v/>
      </c>
      <c r="F156" s="63">
        <f t="shared" si="12"/>
        <v>0</v>
      </c>
      <c r="G156" s="64" t="str">
        <f t="shared" si="9"/>
        <v/>
      </c>
      <c r="H156" s="64" t="str">
        <f t="shared" si="10"/>
        <v/>
      </c>
      <c r="I156" s="63">
        <f>IF($G156="",0,IF(COUNTIF($G$2:$G156,$G156)=1,1,0))</f>
        <v>0</v>
      </c>
      <c r="J156" s="63" t="str">
        <f t="shared" si="11"/>
        <v/>
      </c>
      <c r="K156" s="63" t="str">
        <f>IF($H156="","",COUNTIF($H$2:$H156,"?*"))</f>
        <v/>
      </c>
    </row>
    <row r="157" spans="1:11" x14ac:dyDescent="0.25">
      <c r="A157" s="63" t="s">
        <v>554</v>
      </c>
      <c r="B157" s="63" t="s">
        <v>712</v>
      </c>
      <c r="C157" s="63" t="s">
        <v>556</v>
      </c>
      <c r="D157" s="63" t="str">
        <f>IF('Barn - Back Rack'!Z24="","",TRIM('Barn - Back Rack'!Z24))</f>
        <v/>
      </c>
      <c r="E157" s="64" t="str">
        <f>IF($D157="","",'Barn - Back Rack'!AA24&amp;"")</f>
        <v/>
      </c>
      <c r="F157" s="63">
        <f t="shared" si="12"/>
        <v>0</v>
      </c>
      <c r="G157" s="64" t="str">
        <f t="shared" si="9"/>
        <v/>
      </c>
      <c r="H157" s="64" t="str">
        <f t="shared" si="10"/>
        <v/>
      </c>
      <c r="I157" s="63">
        <f>IF($G157="",0,IF(COUNTIF($G$2:$G157,$G157)=1,1,0))</f>
        <v>0</v>
      </c>
      <c r="J157" s="63" t="str">
        <f t="shared" si="11"/>
        <v/>
      </c>
      <c r="K157" s="63" t="str">
        <f>IF($H157="","",COUNTIF($H$2:$H157,"?*"))</f>
        <v/>
      </c>
    </row>
    <row r="158" spans="1:11" x14ac:dyDescent="0.25">
      <c r="A158" s="63" t="s">
        <v>554</v>
      </c>
      <c r="B158" s="63" t="s">
        <v>713</v>
      </c>
      <c r="C158" s="63" t="s">
        <v>556</v>
      </c>
      <c r="D158" s="63" t="str">
        <f>IF('Barn - Back Rack'!AB13="","",TRIM('Barn - Back Rack'!AB13))</f>
        <v/>
      </c>
      <c r="E158" s="64" t="str">
        <f>IF($D158="","",'Barn - Back Rack'!AC13&amp;"")</f>
        <v/>
      </c>
      <c r="F158" s="63">
        <f t="shared" si="12"/>
        <v>0</v>
      </c>
      <c r="G158" s="64" t="str">
        <f t="shared" si="9"/>
        <v/>
      </c>
      <c r="H158" s="64" t="str">
        <f t="shared" si="10"/>
        <v/>
      </c>
      <c r="I158" s="63">
        <f>IF($G158="",0,IF(COUNTIF($G$2:$G158,$G158)=1,1,0))</f>
        <v>0</v>
      </c>
      <c r="J158" s="63" t="str">
        <f t="shared" si="11"/>
        <v/>
      </c>
      <c r="K158" s="63" t="str">
        <f>IF($H158="","",COUNTIF($H$2:$H158,"?*"))</f>
        <v/>
      </c>
    </row>
    <row r="159" spans="1:11" x14ac:dyDescent="0.25">
      <c r="A159" s="63" t="s">
        <v>554</v>
      </c>
      <c r="B159" s="63" t="s">
        <v>714</v>
      </c>
      <c r="C159" s="63" t="s">
        <v>556</v>
      </c>
      <c r="D159" s="63" t="str">
        <f>IF('Barn - Back Rack'!AB14="","",TRIM('Barn - Back Rack'!AB14))</f>
        <v/>
      </c>
      <c r="E159" s="64" t="str">
        <f>IF($D159="","",'Barn - Back Rack'!AC14&amp;"")</f>
        <v/>
      </c>
      <c r="F159" s="63">
        <f t="shared" si="12"/>
        <v>0</v>
      </c>
      <c r="G159" s="64" t="str">
        <f t="shared" si="9"/>
        <v/>
      </c>
      <c r="H159" s="64" t="str">
        <f t="shared" si="10"/>
        <v/>
      </c>
      <c r="I159" s="63">
        <f>IF($G159="",0,IF(COUNTIF($G$2:$G159,$G159)=1,1,0))</f>
        <v>0</v>
      </c>
      <c r="J159" s="63" t="str">
        <f t="shared" si="11"/>
        <v/>
      </c>
      <c r="K159" s="63" t="str">
        <f>IF($H159="","",COUNTIF($H$2:$H159,"?*"))</f>
        <v/>
      </c>
    </row>
    <row r="160" spans="1:11" x14ac:dyDescent="0.25">
      <c r="A160" s="63" t="s">
        <v>554</v>
      </c>
      <c r="B160" s="63" t="s">
        <v>715</v>
      </c>
      <c r="C160" s="63" t="s">
        <v>556</v>
      </c>
      <c r="D160" s="63" t="str">
        <f>IF('Barn - Back Rack'!AB15="","",TRIM('Barn - Back Rack'!AB15))</f>
        <v/>
      </c>
      <c r="E160" s="64" t="str">
        <f>IF($D160="","",'Barn - Back Rack'!AC15&amp;"")</f>
        <v/>
      </c>
      <c r="F160" s="63">
        <f t="shared" si="12"/>
        <v>0</v>
      </c>
      <c r="G160" s="64" t="str">
        <f t="shared" si="9"/>
        <v/>
      </c>
      <c r="H160" s="64" t="str">
        <f t="shared" si="10"/>
        <v/>
      </c>
      <c r="I160" s="63">
        <f>IF($G160="",0,IF(COUNTIF($G$2:$G160,$G160)=1,1,0))</f>
        <v>0</v>
      </c>
      <c r="J160" s="63" t="str">
        <f t="shared" si="11"/>
        <v/>
      </c>
      <c r="K160" s="63" t="str">
        <f>IF($H160="","",COUNTIF($H$2:$H160,"?*"))</f>
        <v/>
      </c>
    </row>
    <row r="161" spans="1:11" x14ac:dyDescent="0.25">
      <c r="A161" s="63" t="s">
        <v>554</v>
      </c>
      <c r="B161" s="63" t="s">
        <v>716</v>
      </c>
      <c r="C161" s="63" t="s">
        <v>556</v>
      </c>
      <c r="D161" s="63" t="str">
        <f>IF('Barn - Back Rack'!AB16="","",TRIM('Barn - Back Rack'!AB16))</f>
        <v/>
      </c>
      <c r="E161" s="64" t="str">
        <f>IF($D161="","",'Barn - Back Rack'!AC16&amp;"")</f>
        <v/>
      </c>
      <c r="F161" s="63">
        <f t="shared" si="12"/>
        <v>0</v>
      </c>
      <c r="G161" s="64" t="str">
        <f t="shared" si="9"/>
        <v/>
      </c>
      <c r="H161" s="64" t="str">
        <f t="shared" si="10"/>
        <v/>
      </c>
      <c r="I161" s="63">
        <f>IF($G161="",0,IF(COUNTIF($G$2:$G161,$G161)=1,1,0))</f>
        <v>0</v>
      </c>
      <c r="J161" s="63" t="str">
        <f t="shared" si="11"/>
        <v/>
      </c>
      <c r="K161" s="63" t="str">
        <f>IF($H161="","",COUNTIF($H$2:$H161,"?*"))</f>
        <v/>
      </c>
    </row>
    <row r="162" spans="1:11" x14ac:dyDescent="0.25">
      <c r="A162" s="63" t="s">
        <v>554</v>
      </c>
      <c r="B162" s="63" t="s">
        <v>717</v>
      </c>
      <c r="C162" s="63" t="s">
        <v>556</v>
      </c>
      <c r="D162" s="63" t="str">
        <f>IF('Barn - Back Rack'!AB17="","",TRIM('Barn - Back Rack'!AB17))</f>
        <v/>
      </c>
      <c r="E162" s="64" t="str">
        <f>IF($D162="","",'Barn - Back Rack'!AC17&amp;"")</f>
        <v/>
      </c>
      <c r="F162" s="63">
        <f t="shared" si="12"/>
        <v>0</v>
      </c>
      <c r="G162" s="64" t="str">
        <f t="shared" si="9"/>
        <v/>
      </c>
      <c r="H162" s="64" t="str">
        <f t="shared" si="10"/>
        <v/>
      </c>
      <c r="I162" s="63">
        <f>IF($G162="",0,IF(COUNTIF($G$2:$G162,$G162)=1,1,0))</f>
        <v>0</v>
      </c>
      <c r="J162" s="63" t="str">
        <f t="shared" si="11"/>
        <v/>
      </c>
      <c r="K162" s="63" t="str">
        <f>IF($H162="","",COUNTIF($H$2:$H162,"?*"))</f>
        <v/>
      </c>
    </row>
    <row r="163" spans="1:11" x14ac:dyDescent="0.25">
      <c r="A163" s="63" t="s">
        <v>554</v>
      </c>
      <c r="B163" s="63" t="s">
        <v>718</v>
      </c>
      <c r="C163" s="63" t="s">
        <v>556</v>
      </c>
      <c r="D163" s="63" t="str">
        <f>IF('Barn - Back Rack'!AB18="","",TRIM('Barn - Back Rack'!AB18))</f>
        <v/>
      </c>
      <c r="E163" s="64" t="str">
        <f>IF($D163="","",'Barn - Back Rack'!AC18&amp;"")</f>
        <v/>
      </c>
      <c r="F163" s="63">
        <f t="shared" si="12"/>
        <v>0</v>
      </c>
      <c r="G163" s="64" t="str">
        <f t="shared" si="9"/>
        <v/>
      </c>
      <c r="H163" s="64" t="str">
        <f t="shared" si="10"/>
        <v/>
      </c>
      <c r="I163" s="63">
        <f>IF($G163="",0,IF(COUNTIF($G$2:$G163,$G163)=1,1,0))</f>
        <v>0</v>
      </c>
      <c r="J163" s="63" t="str">
        <f t="shared" si="11"/>
        <v/>
      </c>
      <c r="K163" s="63" t="str">
        <f>IF($H163="","",COUNTIF($H$2:$H163,"?*"))</f>
        <v/>
      </c>
    </row>
    <row r="164" spans="1:11" x14ac:dyDescent="0.25">
      <c r="A164" s="63" t="s">
        <v>554</v>
      </c>
      <c r="B164" s="63" t="s">
        <v>719</v>
      </c>
      <c r="C164" s="63" t="s">
        <v>556</v>
      </c>
      <c r="D164" s="63" t="str">
        <f>IF('Barn - Back Rack'!AB19="","",TRIM('Barn - Back Rack'!AB19))</f>
        <v/>
      </c>
      <c r="E164" s="64" t="str">
        <f>IF($D164="","",'Barn - Back Rack'!AC19&amp;"")</f>
        <v/>
      </c>
      <c r="F164" s="63">
        <f t="shared" si="12"/>
        <v>0</v>
      </c>
      <c r="G164" s="64" t="str">
        <f t="shared" si="9"/>
        <v/>
      </c>
      <c r="H164" s="64" t="str">
        <f t="shared" si="10"/>
        <v/>
      </c>
      <c r="I164" s="63">
        <f>IF($G164="",0,IF(COUNTIF($G$2:$G164,$G164)=1,1,0))</f>
        <v>0</v>
      </c>
      <c r="J164" s="63" t="str">
        <f t="shared" si="11"/>
        <v/>
      </c>
      <c r="K164" s="63" t="str">
        <f>IF($H164="","",COUNTIF($H$2:$H164,"?*"))</f>
        <v/>
      </c>
    </row>
    <row r="165" spans="1:11" x14ac:dyDescent="0.25">
      <c r="A165" s="63" t="s">
        <v>554</v>
      </c>
      <c r="B165" s="63" t="s">
        <v>720</v>
      </c>
      <c r="C165" s="63" t="s">
        <v>556</v>
      </c>
      <c r="D165" s="63" t="str">
        <f>IF('Barn - Back Rack'!AB20="","",TRIM('Barn - Back Rack'!AB20))</f>
        <v/>
      </c>
      <c r="E165" s="64" t="str">
        <f>IF($D165="","",'Barn - Back Rack'!AC20&amp;"")</f>
        <v/>
      </c>
      <c r="F165" s="63">
        <f t="shared" si="12"/>
        <v>0</v>
      </c>
      <c r="G165" s="64" t="str">
        <f t="shared" si="9"/>
        <v/>
      </c>
      <c r="H165" s="64" t="str">
        <f t="shared" si="10"/>
        <v/>
      </c>
      <c r="I165" s="63">
        <f>IF($G165="",0,IF(COUNTIF($G$2:$G165,$G165)=1,1,0))</f>
        <v>0</v>
      </c>
      <c r="J165" s="63" t="str">
        <f t="shared" si="11"/>
        <v/>
      </c>
      <c r="K165" s="63" t="str">
        <f>IF($H165="","",COUNTIF($H$2:$H165,"?*"))</f>
        <v/>
      </c>
    </row>
    <row r="166" spans="1:11" x14ac:dyDescent="0.25">
      <c r="A166" s="63" t="s">
        <v>554</v>
      </c>
      <c r="B166" s="63" t="s">
        <v>721</v>
      </c>
      <c r="C166" s="63" t="s">
        <v>556</v>
      </c>
      <c r="D166" s="63" t="str">
        <f>IF('Barn - Back Rack'!AB21="","",TRIM('Barn - Back Rack'!AB21))</f>
        <v/>
      </c>
      <c r="E166" s="64" t="str">
        <f>IF($D166="","",'Barn - Back Rack'!AC21&amp;"")</f>
        <v/>
      </c>
      <c r="F166" s="63">
        <f t="shared" si="12"/>
        <v>0</v>
      </c>
      <c r="G166" s="64" t="str">
        <f t="shared" si="9"/>
        <v/>
      </c>
      <c r="H166" s="64" t="str">
        <f t="shared" si="10"/>
        <v/>
      </c>
      <c r="I166" s="63">
        <f>IF($G166="",0,IF(COUNTIF($G$2:$G166,$G166)=1,1,0))</f>
        <v>0</v>
      </c>
      <c r="J166" s="63" t="str">
        <f t="shared" si="11"/>
        <v/>
      </c>
      <c r="K166" s="63" t="str">
        <f>IF($H166="","",COUNTIF($H$2:$H166,"?*"))</f>
        <v/>
      </c>
    </row>
    <row r="167" spans="1:11" x14ac:dyDescent="0.25">
      <c r="A167" s="63" t="s">
        <v>554</v>
      </c>
      <c r="B167" s="63" t="s">
        <v>722</v>
      </c>
      <c r="C167" s="63" t="s">
        <v>556</v>
      </c>
      <c r="D167" s="63" t="str">
        <f>IF('Barn - Back Rack'!AB22="","",TRIM('Barn - Back Rack'!AB22))</f>
        <v/>
      </c>
      <c r="E167" s="64" t="str">
        <f>IF($D167="","",'Barn - Back Rack'!AC22&amp;"")</f>
        <v/>
      </c>
      <c r="F167" s="63">
        <f t="shared" si="12"/>
        <v>0</v>
      </c>
      <c r="G167" s="64" t="str">
        <f t="shared" si="9"/>
        <v/>
      </c>
      <c r="H167" s="64" t="str">
        <f t="shared" si="10"/>
        <v/>
      </c>
      <c r="I167" s="63">
        <f>IF($G167="",0,IF(COUNTIF($G$2:$G167,$G167)=1,1,0))</f>
        <v>0</v>
      </c>
      <c r="J167" s="63" t="str">
        <f t="shared" si="11"/>
        <v/>
      </c>
      <c r="K167" s="63" t="str">
        <f>IF($H167="","",COUNTIF($H$2:$H167,"?*"))</f>
        <v/>
      </c>
    </row>
    <row r="168" spans="1:11" x14ac:dyDescent="0.25">
      <c r="A168" s="63" t="s">
        <v>554</v>
      </c>
      <c r="B168" s="63" t="s">
        <v>723</v>
      </c>
      <c r="C168" s="63" t="s">
        <v>556</v>
      </c>
      <c r="D168" s="63" t="str">
        <f>IF('Barn - Back Rack'!AB23="","",TRIM('Barn - Back Rack'!AB23))</f>
        <v/>
      </c>
      <c r="E168" s="64" t="str">
        <f>IF($D168="","",'Barn - Back Rack'!AC23&amp;"")</f>
        <v/>
      </c>
      <c r="F168" s="63">
        <f t="shared" si="12"/>
        <v>0</v>
      </c>
      <c r="G168" s="64" t="str">
        <f t="shared" si="9"/>
        <v/>
      </c>
      <c r="H168" s="64" t="str">
        <f t="shared" si="10"/>
        <v/>
      </c>
      <c r="I168" s="63">
        <f>IF($G168="",0,IF(COUNTIF($G$2:$G168,$G168)=1,1,0))</f>
        <v>0</v>
      </c>
      <c r="J168" s="63" t="str">
        <f t="shared" si="11"/>
        <v/>
      </c>
      <c r="K168" s="63" t="str">
        <f>IF($H168="","",COUNTIF($H$2:$H168,"?*"))</f>
        <v/>
      </c>
    </row>
    <row r="169" spans="1:11" x14ac:dyDescent="0.25">
      <c r="A169" s="63" t="s">
        <v>554</v>
      </c>
      <c r="B169" s="63" t="s">
        <v>724</v>
      </c>
      <c r="C169" s="63" t="s">
        <v>556</v>
      </c>
      <c r="D169" s="63" t="str">
        <f>IF('Barn - Back Rack'!AB24="","",TRIM('Barn - Back Rack'!AB24))</f>
        <v/>
      </c>
      <c r="E169" s="64" t="str">
        <f>IF($D169="","",'Barn - Back Rack'!AC24&amp;"")</f>
        <v/>
      </c>
      <c r="F169" s="63">
        <f t="shared" si="12"/>
        <v>0</v>
      </c>
      <c r="G169" s="64" t="str">
        <f t="shared" si="9"/>
        <v/>
      </c>
      <c r="H169" s="64" t="str">
        <f t="shared" si="10"/>
        <v/>
      </c>
      <c r="I169" s="63">
        <f>IF($G169="",0,IF(COUNTIF($G$2:$G169,$G169)=1,1,0))</f>
        <v>0</v>
      </c>
      <c r="J169" s="63" t="str">
        <f t="shared" si="11"/>
        <v/>
      </c>
      <c r="K169" s="63" t="str">
        <f>IF($H169="","",COUNTIF($H$2:$H169,"?*"))</f>
        <v/>
      </c>
    </row>
    <row r="170" spans="1:11" x14ac:dyDescent="0.25">
      <c r="A170" s="63" t="s">
        <v>554</v>
      </c>
      <c r="B170" s="63" t="s">
        <v>725</v>
      </c>
      <c r="C170" s="63" t="s">
        <v>556</v>
      </c>
      <c r="D170" s="63" t="str">
        <f>IF('Barn - Back Rack'!AD13="","",TRIM('Barn - Back Rack'!AD13))</f>
        <v>Fetco 51H</v>
      </c>
      <c r="E170" s="64" t="str">
        <f>IF($D170="","",'Barn - Back Rack'!AE13&amp;"")</f>
        <v>2996502A</v>
      </c>
      <c r="F170" s="63">
        <f t="shared" ref="F170:F201" si="13">IF($D170="",0,1)</f>
        <v>1</v>
      </c>
      <c r="G170" s="64" t="str">
        <f t="shared" si="9"/>
        <v>Fetco 51H</v>
      </c>
      <c r="H170" s="64" t="str">
        <f t="shared" si="10"/>
        <v/>
      </c>
      <c r="I170" s="63">
        <f>IF($G170="",0,IF(COUNTIF($G$2:$G170,$G170)=1,1,0))</f>
        <v>1</v>
      </c>
      <c r="J170" s="63">
        <f t="shared" si="11"/>
        <v>55</v>
      </c>
      <c r="K170" s="63" t="str">
        <f>IF($H170="","",COUNTIF($H$2:$H170,"?*"))</f>
        <v/>
      </c>
    </row>
    <row r="171" spans="1:11" x14ac:dyDescent="0.25">
      <c r="A171" s="63" t="s">
        <v>554</v>
      </c>
      <c r="B171" s="63" t="s">
        <v>726</v>
      </c>
      <c r="C171" s="63" t="s">
        <v>556</v>
      </c>
      <c r="D171" s="63" t="str">
        <f>IF('Barn - Back Rack'!AD14="","",TRIM('Barn - Back Rack'!AD14))</f>
        <v>Fetco 51H</v>
      </c>
      <c r="E171" s="64" t="str">
        <f>IF($D171="","",'Barn - Back Rack'!AE14&amp;"")</f>
        <v>3158401</v>
      </c>
      <c r="F171" s="63">
        <f t="shared" si="13"/>
        <v>1</v>
      </c>
      <c r="G171" s="64" t="str">
        <f t="shared" si="9"/>
        <v>Fetco 51H</v>
      </c>
      <c r="H171" s="64" t="str">
        <f t="shared" si="10"/>
        <v/>
      </c>
      <c r="I171" s="63">
        <f>IF($G171="",0,IF(COUNTIF($G$2:$G171,$G171)=1,1,0))</f>
        <v>0</v>
      </c>
      <c r="J171" s="63" t="str">
        <f t="shared" si="11"/>
        <v/>
      </c>
      <c r="K171" s="63" t="str">
        <f>IF($H171="","",COUNTIF($H$2:$H171,"?*"))</f>
        <v/>
      </c>
    </row>
    <row r="172" spans="1:11" x14ac:dyDescent="0.25">
      <c r="A172" s="63" t="s">
        <v>554</v>
      </c>
      <c r="B172" s="63" t="s">
        <v>727</v>
      </c>
      <c r="C172" s="63" t="s">
        <v>556</v>
      </c>
      <c r="D172" s="63" t="str">
        <f>IF('Barn - Back Rack'!AD15="","",TRIM('Barn - Back Rack'!AD15))</f>
        <v>Fetco 51H</v>
      </c>
      <c r="E172" s="64" t="str">
        <f>IF($D172="","",'Barn - Back Rack'!AE15&amp;"")</f>
        <v>6948299</v>
      </c>
      <c r="F172" s="63">
        <f t="shared" si="13"/>
        <v>1</v>
      </c>
      <c r="G172" s="64" t="str">
        <f t="shared" si="9"/>
        <v>Fetco 51H</v>
      </c>
      <c r="H172" s="64" t="str">
        <f t="shared" si="10"/>
        <v/>
      </c>
      <c r="I172" s="63">
        <f>IF($G172="",0,IF(COUNTIF($G$2:$G172,$G172)=1,1,0))</f>
        <v>0</v>
      </c>
      <c r="J172" s="63" t="str">
        <f t="shared" si="11"/>
        <v/>
      </c>
      <c r="K172" s="63" t="str">
        <f>IF($H172="","",COUNTIF($H$2:$H172,"?*"))</f>
        <v/>
      </c>
    </row>
    <row r="173" spans="1:11" x14ac:dyDescent="0.25">
      <c r="A173" s="63" t="s">
        <v>554</v>
      </c>
      <c r="B173" s="63" t="s">
        <v>728</v>
      </c>
      <c r="C173" s="63" t="s">
        <v>556</v>
      </c>
      <c r="D173" s="63" t="str">
        <f>IF('Barn - Back Rack'!AD16="","",TRIM('Barn - Back Rack'!AD16))</f>
        <v>Fetco 51H</v>
      </c>
      <c r="E173" s="64" t="str">
        <f>IF($D173="","",'Barn - Back Rack'!AE16&amp;"")</f>
        <v>07955803A</v>
      </c>
      <c r="F173" s="63">
        <f t="shared" si="13"/>
        <v>1</v>
      </c>
      <c r="G173" s="64" t="str">
        <f t="shared" si="9"/>
        <v>Fetco 51H</v>
      </c>
      <c r="H173" s="64" t="str">
        <f t="shared" si="10"/>
        <v/>
      </c>
      <c r="I173" s="63">
        <f>IF($G173="",0,IF(COUNTIF($G$2:$G173,$G173)=1,1,0))</f>
        <v>0</v>
      </c>
      <c r="J173" s="63" t="str">
        <f t="shared" si="11"/>
        <v/>
      </c>
      <c r="K173" s="63" t="str">
        <f>IF($H173="","",COUNTIF($H$2:$H173,"?*"))</f>
        <v/>
      </c>
    </row>
    <row r="174" spans="1:11" x14ac:dyDescent="0.25">
      <c r="A174" s="63" t="s">
        <v>554</v>
      </c>
      <c r="B174" s="63" t="s">
        <v>729</v>
      </c>
      <c r="C174" s="63" t="s">
        <v>556</v>
      </c>
      <c r="D174" s="63" t="str">
        <f>IF('Barn - Back Rack'!AD17="","",TRIM('Barn - Back Rack'!AD17))</f>
        <v>Fetco 51H</v>
      </c>
      <c r="E174" s="64" t="str">
        <f>IF($D174="","",'Barn - Back Rack'!AE17&amp;"")</f>
        <v>20250416</v>
      </c>
      <c r="F174" s="63">
        <f t="shared" si="13"/>
        <v>1</v>
      </c>
      <c r="G174" s="64" t="str">
        <f t="shared" si="9"/>
        <v>Fetco 51H</v>
      </c>
      <c r="H174" s="64" t="str">
        <f t="shared" si="10"/>
        <v/>
      </c>
      <c r="I174" s="63">
        <f>IF($G174="",0,IF(COUNTIF($G$2:$G174,$G174)=1,1,0))</f>
        <v>0</v>
      </c>
      <c r="J174" s="63" t="str">
        <f t="shared" si="11"/>
        <v/>
      </c>
      <c r="K174" s="63" t="str">
        <f>IF($H174="","",COUNTIF($H$2:$H174,"?*"))</f>
        <v/>
      </c>
    </row>
    <row r="175" spans="1:11" x14ac:dyDescent="0.25">
      <c r="A175" s="63" t="s">
        <v>554</v>
      </c>
      <c r="B175" s="63" t="s">
        <v>730</v>
      </c>
      <c r="C175" s="63" t="s">
        <v>556</v>
      </c>
      <c r="D175" s="63" t="str">
        <f>IF('Barn - Back Rack'!AD18="","",TRIM('Barn - Back Rack'!AD18))</f>
        <v>Fetco 51H</v>
      </c>
      <c r="E175" s="64" t="str">
        <f>IF($D175="","",'Barn - Back Rack'!AE18&amp;"")</f>
        <v>11365402A</v>
      </c>
      <c r="F175" s="63">
        <f t="shared" si="13"/>
        <v>1</v>
      </c>
      <c r="G175" s="64" t="str">
        <f t="shared" si="9"/>
        <v>Fetco 51H</v>
      </c>
      <c r="H175" s="64" t="str">
        <f t="shared" si="10"/>
        <v/>
      </c>
      <c r="I175" s="63">
        <f>IF($G175="",0,IF(COUNTIF($G$2:$G175,$G175)=1,1,0))</f>
        <v>0</v>
      </c>
      <c r="J175" s="63" t="str">
        <f t="shared" si="11"/>
        <v/>
      </c>
      <c r="K175" s="63" t="str">
        <f>IF($H175="","",COUNTIF($H$2:$H175,"?*"))</f>
        <v/>
      </c>
    </row>
    <row r="176" spans="1:11" x14ac:dyDescent="0.25">
      <c r="A176" s="63" t="s">
        <v>554</v>
      </c>
      <c r="B176" s="63" t="s">
        <v>731</v>
      </c>
      <c r="C176" s="63" t="s">
        <v>556</v>
      </c>
      <c r="D176" s="63" t="str">
        <f>IF('Barn - Back Rack'!AD19="","",TRIM('Barn - Back Rack'!AD19))</f>
        <v/>
      </c>
      <c r="E176" s="64" t="str">
        <f>IF($D176="","",'Barn - Back Rack'!AE19&amp;"")</f>
        <v/>
      </c>
      <c r="F176" s="63">
        <f t="shared" si="13"/>
        <v>0</v>
      </c>
      <c r="G176" s="64" t="str">
        <f t="shared" si="9"/>
        <v/>
      </c>
      <c r="H176" s="64" t="str">
        <f t="shared" si="10"/>
        <v/>
      </c>
      <c r="I176" s="63">
        <f>IF($G176="",0,IF(COUNTIF($G$2:$G176,$G176)=1,1,0))</f>
        <v>0</v>
      </c>
      <c r="J176" s="63" t="str">
        <f t="shared" si="11"/>
        <v/>
      </c>
      <c r="K176" s="63" t="str">
        <f>IF($H176="","",COUNTIF($H$2:$H176,"?*"))</f>
        <v/>
      </c>
    </row>
    <row r="177" spans="1:11" x14ac:dyDescent="0.25">
      <c r="A177" s="63" t="s">
        <v>554</v>
      </c>
      <c r="B177" s="63" t="s">
        <v>732</v>
      </c>
      <c r="C177" s="63" t="s">
        <v>556</v>
      </c>
      <c r="D177" s="63" t="str">
        <f>IF('Barn - Back Rack'!AD20="","",TRIM('Barn - Back Rack'!AD20))</f>
        <v/>
      </c>
      <c r="E177" s="64" t="str">
        <f>IF($D177="","",'Barn - Back Rack'!AE20&amp;"")</f>
        <v/>
      </c>
      <c r="F177" s="63">
        <f t="shared" si="13"/>
        <v>0</v>
      </c>
      <c r="G177" s="64" t="str">
        <f t="shared" si="9"/>
        <v/>
      </c>
      <c r="H177" s="64" t="str">
        <f t="shared" si="10"/>
        <v/>
      </c>
      <c r="I177" s="63">
        <f>IF($G177="",0,IF(COUNTIF($G$2:$G177,$G177)=1,1,0))</f>
        <v>0</v>
      </c>
      <c r="J177" s="63" t="str">
        <f t="shared" si="11"/>
        <v/>
      </c>
      <c r="K177" s="63" t="str">
        <f>IF($H177="","",COUNTIF($H$2:$H177,"?*"))</f>
        <v/>
      </c>
    </row>
    <row r="178" spans="1:11" x14ac:dyDescent="0.25">
      <c r="A178" s="63" t="s">
        <v>554</v>
      </c>
      <c r="B178" s="63" t="s">
        <v>733</v>
      </c>
      <c r="C178" s="63" t="s">
        <v>556</v>
      </c>
      <c r="D178" s="63" t="str">
        <f>IF('Barn - Back Rack'!AD21="","",TRIM('Barn - Back Rack'!AD21))</f>
        <v/>
      </c>
      <c r="E178" s="64" t="str">
        <f>IF($D178="","",'Barn - Back Rack'!AE21&amp;"")</f>
        <v/>
      </c>
      <c r="F178" s="63">
        <f t="shared" si="13"/>
        <v>0</v>
      </c>
      <c r="G178" s="64" t="str">
        <f t="shared" si="9"/>
        <v/>
      </c>
      <c r="H178" s="64" t="str">
        <f t="shared" si="10"/>
        <v/>
      </c>
      <c r="I178" s="63">
        <f>IF($G178="",0,IF(COUNTIF($G$2:$G178,$G178)=1,1,0))</f>
        <v>0</v>
      </c>
      <c r="J178" s="63" t="str">
        <f t="shared" si="11"/>
        <v/>
      </c>
      <c r="K178" s="63" t="str">
        <f>IF($H178="","",COUNTIF($H$2:$H178,"?*"))</f>
        <v/>
      </c>
    </row>
    <row r="179" spans="1:11" x14ac:dyDescent="0.25">
      <c r="A179" s="63" t="s">
        <v>554</v>
      </c>
      <c r="B179" s="63" t="s">
        <v>734</v>
      </c>
      <c r="C179" s="63" t="s">
        <v>556</v>
      </c>
      <c r="D179" s="63" t="str">
        <f>IF('Barn - Back Rack'!AD22="","",TRIM('Barn - Back Rack'!AD22))</f>
        <v/>
      </c>
      <c r="E179" s="64" t="str">
        <f>IF($D179="","",'Barn - Back Rack'!AE22&amp;"")</f>
        <v/>
      </c>
      <c r="F179" s="63">
        <f t="shared" si="13"/>
        <v>0</v>
      </c>
      <c r="G179" s="64" t="str">
        <f t="shared" si="9"/>
        <v/>
      </c>
      <c r="H179" s="64" t="str">
        <f t="shared" si="10"/>
        <v/>
      </c>
      <c r="I179" s="63">
        <f>IF($G179="",0,IF(COUNTIF($G$2:$G179,$G179)=1,1,0))</f>
        <v>0</v>
      </c>
      <c r="J179" s="63" t="str">
        <f t="shared" si="11"/>
        <v/>
      </c>
      <c r="K179" s="63" t="str">
        <f>IF($H179="","",COUNTIF($H$2:$H179,"?*"))</f>
        <v/>
      </c>
    </row>
    <row r="180" spans="1:11" x14ac:dyDescent="0.25">
      <c r="A180" s="63" t="s">
        <v>554</v>
      </c>
      <c r="B180" s="63" t="s">
        <v>735</v>
      </c>
      <c r="C180" s="63" t="s">
        <v>556</v>
      </c>
      <c r="D180" s="63" t="str">
        <f>IF('Barn - Back Rack'!AD23="","",TRIM('Barn - Back Rack'!AD23))</f>
        <v/>
      </c>
      <c r="E180" s="64" t="str">
        <f>IF($D180="","",'Barn - Back Rack'!AE23&amp;"")</f>
        <v/>
      </c>
      <c r="F180" s="63">
        <f t="shared" si="13"/>
        <v>0</v>
      </c>
      <c r="G180" s="64" t="str">
        <f t="shared" si="9"/>
        <v/>
      </c>
      <c r="H180" s="64" t="str">
        <f t="shared" si="10"/>
        <v/>
      </c>
      <c r="I180" s="63">
        <f>IF($G180="",0,IF(COUNTIF($G$2:$G180,$G180)=1,1,0))</f>
        <v>0</v>
      </c>
      <c r="J180" s="63" t="str">
        <f t="shared" si="11"/>
        <v/>
      </c>
      <c r="K180" s="63" t="str">
        <f>IF($H180="","",COUNTIF($H$2:$H180,"?*"))</f>
        <v/>
      </c>
    </row>
    <row r="181" spans="1:11" x14ac:dyDescent="0.25">
      <c r="A181" s="63" t="s">
        <v>554</v>
      </c>
      <c r="B181" s="63" t="s">
        <v>736</v>
      </c>
      <c r="C181" s="63" t="s">
        <v>556</v>
      </c>
      <c r="D181" s="63" t="str">
        <f>IF('Barn - Back Rack'!AD24="","",TRIM('Barn - Back Rack'!AD24))</f>
        <v/>
      </c>
      <c r="E181" s="64" t="str">
        <f>IF($D181="","",'Barn - Back Rack'!AE24&amp;"")</f>
        <v/>
      </c>
      <c r="F181" s="63">
        <f t="shared" si="13"/>
        <v>0</v>
      </c>
      <c r="G181" s="64" t="str">
        <f t="shared" si="9"/>
        <v/>
      </c>
      <c r="H181" s="64" t="str">
        <f t="shared" si="10"/>
        <v/>
      </c>
      <c r="I181" s="63">
        <f>IF($G181="",0,IF(COUNTIF($G$2:$G181,$G181)=1,1,0))</f>
        <v>0</v>
      </c>
      <c r="J181" s="63" t="str">
        <f t="shared" si="11"/>
        <v/>
      </c>
      <c r="K181" s="63" t="str">
        <f>IF($H181="","",COUNTIF($H$2:$H181,"?*"))</f>
        <v/>
      </c>
    </row>
    <row r="182" spans="1:11" x14ac:dyDescent="0.25">
      <c r="A182" s="63" t="s">
        <v>554</v>
      </c>
      <c r="B182" s="63" t="s">
        <v>737</v>
      </c>
      <c r="C182" s="63" t="s">
        <v>556</v>
      </c>
      <c r="D182" s="63" t="str">
        <f>IF('Barn - Back Rack'!AF13="","",TRIM('Barn - Back Rack'!AF13))</f>
        <v>Fetco MBS-1221</v>
      </c>
      <c r="E182" s="64" t="str">
        <f>IF($D182="","",'Barn - Back Rack'!AG13&amp;"")</f>
        <v/>
      </c>
      <c r="F182" s="63">
        <f t="shared" si="13"/>
        <v>1</v>
      </c>
      <c r="G182" s="64" t="str">
        <f t="shared" si="9"/>
        <v>Fetco MBS-1221</v>
      </c>
      <c r="H182" s="64" t="str">
        <f t="shared" si="10"/>
        <v/>
      </c>
      <c r="I182" s="63">
        <f>IF($G182="",0,IF(COUNTIF($G$2:$G182,$G182)=1,1,0))</f>
        <v>1</v>
      </c>
      <c r="J182" s="63">
        <f t="shared" si="11"/>
        <v>63</v>
      </c>
      <c r="K182" s="63" t="str">
        <f>IF($H182="","",COUNTIF($H$2:$H182,"?*"))</f>
        <v/>
      </c>
    </row>
    <row r="183" spans="1:11" x14ac:dyDescent="0.25">
      <c r="A183" s="63" t="s">
        <v>554</v>
      </c>
      <c r="B183" s="63" t="s">
        <v>738</v>
      </c>
      <c r="C183" s="63" t="s">
        <v>556</v>
      </c>
      <c r="D183" s="63" t="str">
        <f>IF('Barn - Back Rack'!AF14="","",TRIM('Barn - Back Rack'!AF14))</f>
        <v>Fetco MBS-1221</v>
      </c>
      <c r="E183" s="64" t="str">
        <f>IF($D183="","",'Barn - Back Rack'!AG14&amp;"")</f>
        <v/>
      </c>
      <c r="F183" s="63">
        <f t="shared" si="13"/>
        <v>1</v>
      </c>
      <c r="G183" s="64" t="str">
        <f t="shared" si="9"/>
        <v>Fetco MBS-1221</v>
      </c>
      <c r="H183" s="64" t="str">
        <f t="shared" si="10"/>
        <v/>
      </c>
      <c r="I183" s="63">
        <f>IF($G183="",0,IF(COUNTIF($G$2:$G183,$G183)=1,1,0))</f>
        <v>0</v>
      </c>
      <c r="J183" s="63" t="str">
        <f t="shared" si="11"/>
        <v/>
      </c>
      <c r="K183" s="63" t="str">
        <f>IF($H183="","",COUNTIF($H$2:$H183,"?*"))</f>
        <v/>
      </c>
    </row>
    <row r="184" spans="1:11" x14ac:dyDescent="0.25">
      <c r="A184" s="63" t="s">
        <v>554</v>
      </c>
      <c r="B184" s="63" t="s">
        <v>739</v>
      </c>
      <c r="C184" s="63" t="s">
        <v>556</v>
      </c>
      <c r="D184" s="63" t="str">
        <f>IF('Barn - Back Rack'!AF15="","",TRIM('Barn - Back Rack'!AF15))</f>
        <v>Fetco MBS-1221</v>
      </c>
      <c r="E184" s="64" t="str">
        <f>IF($D184="","",'Barn - Back Rack'!AG15&amp;"")</f>
        <v/>
      </c>
      <c r="F184" s="63">
        <f t="shared" si="13"/>
        <v>1</v>
      </c>
      <c r="G184" s="64" t="str">
        <f t="shared" si="9"/>
        <v>Fetco MBS-1221</v>
      </c>
      <c r="H184" s="64" t="str">
        <f t="shared" si="10"/>
        <v/>
      </c>
      <c r="I184" s="63">
        <f>IF($G184="",0,IF(COUNTIF($G$2:$G184,$G184)=1,1,0))</f>
        <v>0</v>
      </c>
      <c r="J184" s="63" t="str">
        <f t="shared" si="11"/>
        <v/>
      </c>
      <c r="K184" s="63" t="str">
        <f>IF($H184="","",COUNTIF($H$2:$H184,"?*"))</f>
        <v/>
      </c>
    </row>
    <row r="185" spans="1:11" x14ac:dyDescent="0.25">
      <c r="A185" s="63" t="s">
        <v>554</v>
      </c>
      <c r="B185" s="63" t="s">
        <v>740</v>
      </c>
      <c r="C185" s="63" t="s">
        <v>556</v>
      </c>
      <c r="D185" s="63" t="str">
        <f>IF('Barn - Back Rack'!AF16="","",TRIM('Barn - Back Rack'!AF16))</f>
        <v>Fetco MBS-1221</v>
      </c>
      <c r="E185" s="64" t="str">
        <f>IF($D185="","",'Barn - Back Rack'!AG16&amp;"")</f>
        <v/>
      </c>
      <c r="F185" s="63">
        <f t="shared" si="13"/>
        <v>1</v>
      </c>
      <c r="G185" s="64" t="str">
        <f t="shared" si="9"/>
        <v>Fetco MBS-1221</v>
      </c>
      <c r="H185" s="64" t="str">
        <f t="shared" si="10"/>
        <v/>
      </c>
      <c r="I185" s="63">
        <f>IF($G185="",0,IF(COUNTIF($G$2:$G185,$G185)=1,1,0))</f>
        <v>0</v>
      </c>
      <c r="J185" s="63" t="str">
        <f t="shared" si="11"/>
        <v/>
      </c>
      <c r="K185" s="63" t="str">
        <f>IF($H185="","",COUNTIF($H$2:$H185,"?*"))</f>
        <v/>
      </c>
    </row>
    <row r="186" spans="1:11" x14ac:dyDescent="0.25">
      <c r="A186" s="63" t="s">
        <v>554</v>
      </c>
      <c r="B186" s="63" t="s">
        <v>741</v>
      </c>
      <c r="C186" s="63" t="s">
        <v>556</v>
      </c>
      <c r="D186" s="63" t="str">
        <f>IF('Barn - Back Rack'!AF17="","",TRIM('Barn - Back Rack'!AF17))</f>
        <v>Fetco MBS-1221</v>
      </c>
      <c r="E186" s="64" t="str">
        <f>IF($D186="","",'Barn - Back Rack'!AG17&amp;"")</f>
        <v/>
      </c>
      <c r="F186" s="63">
        <f t="shared" si="13"/>
        <v>1</v>
      </c>
      <c r="G186" s="64" t="str">
        <f t="shared" si="9"/>
        <v>Fetco MBS-1221</v>
      </c>
      <c r="H186" s="64" t="str">
        <f t="shared" si="10"/>
        <v/>
      </c>
      <c r="I186" s="63">
        <f>IF($G186="",0,IF(COUNTIF($G$2:$G186,$G186)=1,1,0))</f>
        <v>0</v>
      </c>
      <c r="J186" s="63" t="str">
        <f t="shared" si="11"/>
        <v/>
      </c>
      <c r="K186" s="63" t="str">
        <f>IF($H186="","",COUNTIF($H$2:$H186,"?*"))</f>
        <v/>
      </c>
    </row>
    <row r="187" spans="1:11" x14ac:dyDescent="0.25">
      <c r="A187" s="63" t="s">
        <v>554</v>
      </c>
      <c r="B187" s="63" t="s">
        <v>742</v>
      </c>
      <c r="C187" s="63" t="s">
        <v>556</v>
      </c>
      <c r="D187" s="63" t="str">
        <f>IF('Barn - Back Rack'!AF18="","",TRIM('Barn - Back Rack'!AF18))</f>
        <v>Fetco MBS-1221</v>
      </c>
      <c r="E187" s="64" t="str">
        <f>IF($D187="","",'Barn - Back Rack'!AG18&amp;"")</f>
        <v/>
      </c>
      <c r="F187" s="63">
        <f t="shared" si="13"/>
        <v>1</v>
      </c>
      <c r="G187" s="64" t="str">
        <f t="shared" si="9"/>
        <v>Fetco MBS-1221</v>
      </c>
      <c r="H187" s="64" t="str">
        <f t="shared" si="10"/>
        <v/>
      </c>
      <c r="I187" s="63">
        <f>IF($G187="",0,IF(COUNTIF($G$2:$G187,$G187)=1,1,0))</f>
        <v>0</v>
      </c>
      <c r="J187" s="63" t="str">
        <f t="shared" si="11"/>
        <v/>
      </c>
      <c r="K187" s="63" t="str">
        <f>IF($H187="","",COUNTIF($H$2:$H187,"?*"))</f>
        <v/>
      </c>
    </row>
    <row r="188" spans="1:11" x14ac:dyDescent="0.25">
      <c r="A188" s="63" t="s">
        <v>554</v>
      </c>
      <c r="B188" s="63" t="s">
        <v>743</v>
      </c>
      <c r="C188" s="63" t="s">
        <v>556</v>
      </c>
      <c r="D188" s="63" t="str">
        <f>IF('Barn - Back Rack'!AF19="","",TRIM('Barn - Back Rack'!AF19))</f>
        <v/>
      </c>
      <c r="E188" s="64" t="str">
        <f>IF($D188="","",'Barn - Back Rack'!AG19&amp;"")</f>
        <v/>
      </c>
      <c r="F188" s="63">
        <f t="shared" si="13"/>
        <v>0</v>
      </c>
      <c r="G188" s="64" t="str">
        <f t="shared" si="9"/>
        <v/>
      </c>
      <c r="H188" s="64" t="str">
        <f t="shared" si="10"/>
        <v/>
      </c>
      <c r="I188" s="63">
        <f>IF($G188="",0,IF(COUNTIF($G$2:$G188,$G188)=1,1,0))</f>
        <v>0</v>
      </c>
      <c r="J188" s="63" t="str">
        <f t="shared" si="11"/>
        <v/>
      </c>
      <c r="K188" s="63" t="str">
        <f>IF($H188="","",COUNTIF($H$2:$H188,"?*"))</f>
        <v/>
      </c>
    </row>
    <row r="189" spans="1:11" x14ac:dyDescent="0.25">
      <c r="A189" s="63" t="s">
        <v>554</v>
      </c>
      <c r="B189" s="63" t="s">
        <v>744</v>
      </c>
      <c r="C189" s="63" t="s">
        <v>556</v>
      </c>
      <c r="D189" s="63" t="str">
        <f>IF('Barn - Back Rack'!AF20="","",TRIM('Barn - Back Rack'!AF20))</f>
        <v/>
      </c>
      <c r="E189" s="64" t="str">
        <f>IF($D189="","",'Barn - Back Rack'!AG20&amp;"")</f>
        <v/>
      </c>
      <c r="F189" s="63">
        <f t="shared" si="13"/>
        <v>0</v>
      </c>
      <c r="G189" s="64" t="str">
        <f t="shared" si="9"/>
        <v/>
      </c>
      <c r="H189" s="64" t="str">
        <f t="shared" si="10"/>
        <v/>
      </c>
      <c r="I189" s="63">
        <f>IF($G189="",0,IF(COUNTIF($G$2:$G189,$G189)=1,1,0))</f>
        <v>0</v>
      </c>
      <c r="J189" s="63" t="str">
        <f t="shared" si="11"/>
        <v/>
      </c>
      <c r="K189" s="63" t="str">
        <f>IF($H189="","",COUNTIF($H$2:$H189,"?*"))</f>
        <v/>
      </c>
    </row>
    <row r="190" spans="1:11" x14ac:dyDescent="0.25">
      <c r="A190" s="63" t="s">
        <v>554</v>
      </c>
      <c r="B190" s="63" t="s">
        <v>745</v>
      </c>
      <c r="C190" s="63" t="s">
        <v>556</v>
      </c>
      <c r="D190" s="63" t="str">
        <f>IF('Barn - Back Rack'!AF21="","",TRIM('Barn - Back Rack'!AF21))</f>
        <v/>
      </c>
      <c r="E190" s="64" t="str">
        <f>IF($D190="","",'Barn - Back Rack'!AG21&amp;"")</f>
        <v/>
      </c>
      <c r="F190" s="63">
        <f t="shared" si="13"/>
        <v>0</v>
      </c>
      <c r="G190" s="64" t="str">
        <f t="shared" si="9"/>
        <v/>
      </c>
      <c r="H190" s="64" t="str">
        <f t="shared" si="10"/>
        <v/>
      </c>
      <c r="I190" s="63">
        <f>IF($G190="",0,IF(COUNTIF($G$2:$G190,$G190)=1,1,0))</f>
        <v>0</v>
      </c>
      <c r="J190" s="63" t="str">
        <f t="shared" si="11"/>
        <v/>
      </c>
      <c r="K190" s="63" t="str">
        <f>IF($H190="","",COUNTIF($H$2:$H190,"?*"))</f>
        <v/>
      </c>
    </row>
    <row r="191" spans="1:11" x14ac:dyDescent="0.25">
      <c r="A191" s="63" t="s">
        <v>554</v>
      </c>
      <c r="B191" s="63" t="s">
        <v>746</v>
      </c>
      <c r="C191" s="63" t="s">
        <v>556</v>
      </c>
      <c r="D191" s="63" t="str">
        <f>IF('Barn - Back Rack'!AF22="","",TRIM('Barn - Back Rack'!AF22))</f>
        <v/>
      </c>
      <c r="E191" s="64" t="str">
        <f>IF($D191="","",'Barn - Back Rack'!AG22&amp;"")</f>
        <v/>
      </c>
      <c r="F191" s="63">
        <f t="shared" si="13"/>
        <v>0</v>
      </c>
      <c r="G191" s="64" t="str">
        <f t="shared" si="9"/>
        <v/>
      </c>
      <c r="H191" s="64" t="str">
        <f t="shared" si="10"/>
        <v/>
      </c>
      <c r="I191" s="63">
        <f>IF($G191="",0,IF(COUNTIF($G$2:$G191,$G191)=1,1,0))</f>
        <v>0</v>
      </c>
      <c r="J191" s="63" t="str">
        <f t="shared" si="11"/>
        <v/>
      </c>
      <c r="K191" s="63" t="str">
        <f>IF($H191="","",COUNTIF($H$2:$H191,"?*"))</f>
        <v/>
      </c>
    </row>
    <row r="192" spans="1:11" x14ac:dyDescent="0.25">
      <c r="A192" s="63" t="s">
        <v>554</v>
      </c>
      <c r="B192" s="63" t="s">
        <v>747</v>
      </c>
      <c r="C192" s="63" t="s">
        <v>556</v>
      </c>
      <c r="D192" s="63" t="str">
        <f>IF('Barn - Back Rack'!AF23="","",TRIM('Barn - Back Rack'!AF23))</f>
        <v/>
      </c>
      <c r="E192" s="64" t="str">
        <f>IF($D192="","",'Barn - Back Rack'!AG23&amp;"")</f>
        <v/>
      </c>
      <c r="F192" s="63">
        <f t="shared" si="13"/>
        <v>0</v>
      </c>
      <c r="G192" s="64" t="str">
        <f t="shared" si="9"/>
        <v/>
      </c>
      <c r="H192" s="64" t="str">
        <f t="shared" si="10"/>
        <v/>
      </c>
      <c r="I192" s="63">
        <f>IF($G192="",0,IF(COUNTIF($G$2:$G192,$G192)=1,1,0))</f>
        <v>0</v>
      </c>
      <c r="J192" s="63" t="str">
        <f t="shared" si="11"/>
        <v/>
      </c>
      <c r="K192" s="63" t="str">
        <f>IF($H192="","",COUNTIF($H$2:$H192,"?*"))</f>
        <v/>
      </c>
    </row>
    <row r="193" spans="1:11" x14ac:dyDescent="0.25">
      <c r="A193" s="63" t="s">
        <v>554</v>
      </c>
      <c r="B193" s="63" t="s">
        <v>748</v>
      </c>
      <c r="C193" s="63" t="s">
        <v>556</v>
      </c>
      <c r="D193" s="63" t="str">
        <f>IF('Barn - Back Rack'!AF24="","",TRIM('Barn - Back Rack'!AF24))</f>
        <v/>
      </c>
      <c r="E193" s="64" t="str">
        <f>IF($D193="","",'Barn - Back Rack'!AG24&amp;"")</f>
        <v/>
      </c>
      <c r="F193" s="63">
        <f t="shared" si="13"/>
        <v>0</v>
      </c>
      <c r="G193" s="64" t="str">
        <f t="shared" si="9"/>
        <v/>
      </c>
      <c r="H193" s="64" t="str">
        <f t="shared" si="10"/>
        <v/>
      </c>
      <c r="I193" s="63">
        <f>IF($G193="",0,IF(COUNTIF($G$2:$G193,$G193)=1,1,0))</f>
        <v>0</v>
      </c>
      <c r="J193" s="63" t="str">
        <f t="shared" si="11"/>
        <v/>
      </c>
      <c r="K193" s="63" t="str">
        <f>IF($H193="","",COUNTIF($H$2:$H193,"?*"))</f>
        <v/>
      </c>
    </row>
    <row r="194" spans="1:11" x14ac:dyDescent="0.25">
      <c r="A194" s="63" t="s">
        <v>554</v>
      </c>
      <c r="B194" s="63" t="s">
        <v>749</v>
      </c>
      <c r="C194" s="63" t="s">
        <v>556</v>
      </c>
      <c r="D194" s="63" t="str">
        <f>IF('Barn - Back Rack'!B30="","",TRIM('Barn - Back Rack'!B30))</f>
        <v/>
      </c>
      <c r="E194" s="64" t="str">
        <f>IF($D194="","",'Barn - Back Rack'!C30&amp;"")</f>
        <v/>
      </c>
      <c r="F194" s="63">
        <f t="shared" si="13"/>
        <v>0</v>
      </c>
      <c r="G194" s="64" t="str">
        <f t="shared" ref="G194:G257" si="14">IF($D194="","",IF(ISNUMBER(FIND("(",$D194)),TRIM(LEFT($D194,FIND("(",$D194)-1)),$D194))</f>
        <v/>
      </c>
      <c r="H194" s="64" t="str">
        <f t="shared" ref="H194:H257" si="15">IF($D194="","",IF(ISNUMBER(FIND("(",$D194)),TRIM(SUBSTITUTE(MID($D194,FIND("(",$D194)+1,200),")","")),""))</f>
        <v/>
      </c>
      <c r="I194" s="63">
        <f>IF($G194="",0,IF(COUNTIF($G$2:$G194,$G194)=1,1,0))</f>
        <v>0</v>
      </c>
      <c r="J194" s="63" t="str">
        <f t="shared" ref="J194:J257" si="16">IF($I194=0,"",SUMPRODUCT(($I$2:$I$1513=1)*($G$2:$G$1513&lt;$G194))+1)</f>
        <v/>
      </c>
      <c r="K194" s="63" t="str">
        <f>IF($H194="","",COUNTIF($H$2:$H194,"?*"))</f>
        <v/>
      </c>
    </row>
    <row r="195" spans="1:11" x14ac:dyDescent="0.25">
      <c r="A195" s="63" t="s">
        <v>554</v>
      </c>
      <c r="B195" s="63" t="s">
        <v>750</v>
      </c>
      <c r="C195" s="63" t="s">
        <v>556</v>
      </c>
      <c r="D195" s="63" t="str">
        <f>IF('Barn - Back Rack'!B31="","",TRIM('Barn - Back Rack'!B31))</f>
        <v/>
      </c>
      <c r="E195" s="64" t="str">
        <f>IF($D195="","",'Barn - Back Rack'!C31&amp;"")</f>
        <v/>
      </c>
      <c r="F195" s="63">
        <f t="shared" si="13"/>
        <v>0</v>
      </c>
      <c r="G195" s="64" t="str">
        <f t="shared" si="14"/>
        <v/>
      </c>
      <c r="H195" s="64" t="str">
        <f t="shared" si="15"/>
        <v/>
      </c>
      <c r="I195" s="63">
        <f>IF($G195="",0,IF(COUNTIF($G$2:$G195,$G195)=1,1,0))</f>
        <v>0</v>
      </c>
      <c r="J195" s="63" t="str">
        <f t="shared" si="16"/>
        <v/>
      </c>
      <c r="K195" s="63" t="str">
        <f>IF($H195="","",COUNTIF($H$2:$H195,"?*"))</f>
        <v/>
      </c>
    </row>
    <row r="196" spans="1:11" x14ac:dyDescent="0.25">
      <c r="A196" s="63" t="s">
        <v>554</v>
      </c>
      <c r="B196" s="63" t="s">
        <v>751</v>
      </c>
      <c r="C196" s="63" t="s">
        <v>556</v>
      </c>
      <c r="D196" s="63" t="str">
        <f>IF('Barn - Back Rack'!B32="","",TRIM('Barn - Back Rack'!B32))</f>
        <v/>
      </c>
      <c r="E196" s="64" t="str">
        <f>IF($D196="","",'Barn - Back Rack'!C32&amp;"")</f>
        <v/>
      </c>
      <c r="F196" s="63">
        <f t="shared" si="13"/>
        <v>0</v>
      </c>
      <c r="G196" s="64" t="str">
        <f t="shared" si="14"/>
        <v/>
      </c>
      <c r="H196" s="64" t="str">
        <f t="shared" si="15"/>
        <v/>
      </c>
      <c r="I196" s="63">
        <f>IF($G196="",0,IF(COUNTIF($G$2:$G196,$G196)=1,1,0))</f>
        <v>0</v>
      </c>
      <c r="J196" s="63" t="str">
        <f t="shared" si="16"/>
        <v/>
      </c>
      <c r="K196" s="63" t="str">
        <f>IF($H196="","",COUNTIF($H$2:$H196,"?*"))</f>
        <v/>
      </c>
    </row>
    <row r="197" spans="1:11" x14ac:dyDescent="0.25">
      <c r="A197" s="63" t="s">
        <v>554</v>
      </c>
      <c r="B197" s="63" t="s">
        <v>752</v>
      </c>
      <c r="C197" s="63" t="s">
        <v>556</v>
      </c>
      <c r="D197" s="63" t="str">
        <f>IF('Barn - Back Rack'!B33="","",TRIM('Barn - Back Rack'!B33))</f>
        <v/>
      </c>
      <c r="E197" s="64" t="str">
        <f>IF($D197="","",'Barn - Back Rack'!C33&amp;"")</f>
        <v/>
      </c>
      <c r="F197" s="63">
        <f t="shared" si="13"/>
        <v>0</v>
      </c>
      <c r="G197" s="64" t="str">
        <f t="shared" si="14"/>
        <v/>
      </c>
      <c r="H197" s="64" t="str">
        <f t="shared" si="15"/>
        <v/>
      </c>
      <c r="I197" s="63">
        <f>IF($G197="",0,IF(COUNTIF($G$2:$G197,$G197)=1,1,0))</f>
        <v>0</v>
      </c>
      <c r="J197" s="63" t="str">
        <f t="shared" si="16"/>
        <v/>
      </c>
      <c r="K197" s="63" t="str">
        <f>IF($H197="","",COUNTIF($H$2:$H197,"?*"))</f>
        <v/>
      </c>
    </row>
    <row r="198" spans="1:11" x14ac:dyDescent="0.25">
      <c r="A198" s="63" t="s">
        <v>554</v>
      </c>
      <c r="B198" s="63" t="s">
        <v>753</v>
      </c>
      <c r="C198" s="63" t="s">
        <v>556</v>
      </c>
      <c r="D198" s="63" t="str">
        <f>IF('Barn - Back Rack'!B34="","",TRIM('Barn - Back Rack'!B34))</f>
        <v/>
      </c>
      <c r="E198" s="64" t="str">
        <f>IF($D198="","",'Barn - Back Rack'!C34&amp;"")</f>
        <v/>
      </c>
      <c r="F198" s="63">
        <f t="shared" si="13"/>
        <v>0</v>
      </c>
      <c r="G198" s="64" t="str">
        <f t="shared" si="14"/>
        <v/>
      </c>
      <c r="H198" s="64" t="str">
        <f t="shared" si="15"/>
        <v/>
      </c>
      <c r="I198" s="63">
        <f>IF($G198="",0,IF(COUNTIF($G$2:$G198,$G198)=1,1,0))</f>
        <v>0</v>
      </c>
      <c r="J198" s="63" t="str">
        <f t="shared" si="16"/>
        <v/>
      </c>
      <c r="K198" s="63" t="str">
        <f>IF($H198="","",COUNTIF($H$2:$H198,"?*"))</f>
        <v/>
      </c>
    </row>
    <row r="199" spans="1:11" x14ac:dyDescent="0.25">
      <c r="A199" s="63" t="s">
        <v>554</v>
      </c>
      <c r="B199" s="63" t="s">
        <v>754</v>
      </c>
      <c r="C199" s="63" t="s">
        <v>556</v>
      </c>
      <c r="D199" s="63" t="str">
        <f>IF('Barn - Back Rack'!B35="","",TRIM('Barn - Back Rack'!B35))</f>
        <v/>
      </c>
      <c r="E199" s="64" t="str">
        <f>IF($D199="","",'Barn - Back Rack'!C35&amp;"")</f>
        <v/>
      </c>
      <c r="F199" s="63">
        <f t="shared" si="13"/>
        <v>0</v>
      </c>
      <c r="G199" s="64" t="str">
        <f t="shared" si="14"/>
        <v/>
      </c>
      <c r="H199" s="64" t="str">
        <f t="shared" si="15"/>
        <v/>
      </c>
      <c r="I199" s="63">
        <f>IF($G199="",0,IF(COUNTIF($G$2:$G199,$G199)=1,1,0))</f>
        <v>0</v>
      </c>
      <c r="J199" s="63" t="str">
        <f t="shared" si="16"/>
        <v/>
      </c>
      <c r="K199" s="63" t="str">
        <f>IF($H199="","",COUNTIF($H$2:$H199,"?*"))</f>
        <v/>
      </c>
    </row>
    <row r="200" spans="1:11" x14ac:dyDescent="0.25">
      <c r="A200" s="63" t="s">
        <v>554</v>
      </c>
      <c r="B200" s="63" t="s">
        <v>755</v>
      </c>
      <c r="C200" s="63" t="s">
        <v>556</v>
      </c>
      <c r="D200" s="63" t="str">
        <f>IF('Barn - Back Rack'!B36="","",TRIM('Barn - Back Rack'!B36))</f>
        <v/>
      </c>
      <c r="E200" s="64" t="str">
        <f>IF($D200="","",'Barn - Back Rack'!C36&amp;"")</f>
        <v/>
      </c>
      <c r="F200" s="63">
        <f t="shared" si="13"/>
        <v>0</v>
      </c>
      <c r="G200" s="64" t="str">
        <f t="shared" si="14"/>
        <v/>
      </c>
      <c r="H200" s="64" t="str">
        <f t="shared" si="15"/>
        <v/>
      </c>
      <c r="I200" s="63">
        <f>IF($G200="",0,IF(COUNTIF($G$2:$G200,$G200)=1,1,0))</f>
        <v>0</v>
      </c>
      <c r="J200" s="63" t="str">
        <f t="shared" si="16"/>
        <v/>
      </c>
      <c r="K200" s="63" t="str">
        <f>IF($H200="","",COUNTIF($H$2:$H200,"?*"))</f>
        <v/>
      </c>
    </row>
    <row r="201" spans="1:11" x14ac:dyDescent="0.25">
      <c r="A201" s="63" t="s">
        <v>554</v>
      </c>
      <c r="B201" s="63" t="s">
        <v>756</v>
      </c>
      <c r="C201" s="63" t="s">
        <v>556</v>
      </c>
      <c r="D201" s="63" t="str">
        <f>IF('Barn - Back Rack'!B37="","",TRIM('Barn - Back Rack'!B37))</f>
        <v/>
      </c>
      <c r="E201" s="64" t="str">
        <f>IF($D201="","",'Barn - Back Rack'!C37&amp;"")</f>
        <v/>
      </c>
      <c r="F201" s="63">
        <f t="shared" si="13"/>
        <v>0</v>
      </c>
      <c r="G201" s="64" t="str">
        <f t="shared" si="14"/>
        <v/>
      </c>
      <c r="H201" s="64" t="str">
        <f t="shared" si="15"/>
        <v/>
      </c>
      <c r="I201" s="63">
        <f>IF($G201="",0,IF(COUNTIF($G$2:$G201,$G201)=1,1,0))</f>
        <v>0</v>
      </c>
      <c r="J201" s="63" t="str">
        <f t="shared" si="16"/>
        <v/>
      </c>
      <c r="K201" s="63" t="str">
        <f>IF($H201="","",COUNTIF($H$2:$H201,"?*"))</f>
        <v/>
      </c>
    </row>
    <row r="202" spans="1:11" x14ac:dyDescent="0.25">
      <c r="A202" s="63" t="s">
        <v>554</v>
      </c>
      <c r="B202" s="63" t="s">
        <v>757</v>
      </c>
      <c r="C202" s="63" t="s">
        <v>556</v>
      </c>
      <c r="D202" s="63" t="str">
        <f>IF('Barn - Back Rack'!B38="","",TRIM('Barn - Back Rack'!B38))</f>
        <v/>
      </c>
      <c r="E202" s="64" t="str">
        <f>IF($D202="","",'Barn - Back Rack'!C38&amp;"")</f>
        <v/>
      </c>
      <c r="F202" s="63">
        <f t="shared" ref="F202:F233" si="17">IF($D202="",0,1)</f>
        <v>0</v>
      </c>
      <c r="G202" s="64" t="str">
        <f t="shared" si="14"/>
        <v/>
      </c>
      <c r="H202" s="64" t="str">
        <f t="shared" si="15"/>
        <v/>
      </c>
      <c r="I202" s="63">
        <f>IF($G202="",0,IF(COUNTIF($G$2:$G202,$G202)=1,1,0))</f>
        <v>0</v>
      </c>
      <c r="J202" s="63" t="str">
        <f t="shared" si="16"/>
        <v/>
      </c>
      <c r="K202" s="63" t="str">
        <f>IF($H202="","",COUNTIF($H$2:$H202,"?*"))</f>
        <v/>
      </c>
    </row>
    <row r="203" spans="1:11" x14ac:dyDescent="0.25">
      <c r="A203" s="63" t="s">
        <v>554</v>
      </c>
      <c r="B203" s="63" t="s">
        <v>758</v>
      </c>
      <c r="C203" s="63" t="s">
        <v>556</v>
      </c>
      <c r="D203" s="63" t="str">
        <f>IF('Barn - Back Rack'!B39="","",TRIM('Barn - Back Rack'!B39))</f>
        <v/>
      </c>
      <c r="E203" s="64" t="str">
        <f>IF($D203="","",'Barn - Back Rack'!C39&amp;"")</f>
        <v/>
      </c>
      <c r="F203" s="63">
        <f t="shared" si="17"/>
        <v>0</v>
      </c>
      <c r="G203" s="64" t="str">
        <f t="shared" si="14"/>
        <v/>
      </c>
      <c r="H203" s="64" t="str">
        <f t="shared" si="15"/>
        <v/>
      </c>
      <c r="I203" s="63">
        <f>IF($G203="",0,IF(COUNTIF($G$2:$G203,$G203)=1,1,0))</f>
        <v>0</v>
      </c>
      <c r="J203" s="63" t="str">
        <f t="shared" si="16"/>
        <v/>
      </c>
      <c r="K203" s="63" t="str">
        <f>IF($H203="","",COUNTIF($H$2:$H203,"?*"))</f>
        <v/>
      </c>
    </row>
    <row r="204" spans="1:11" x14ac:dyDescent="0.25">
      <c r="A204" s="63" t="s">
        <v>554</v>
      </c>
      <c r="B204" s="63" t="s">
        <v>759</v>
      </c>
      <c r="C204" s="63" t="s">
        <v>556</v>
      </c>
      <c r="D204" s="63" t="str">
        <f>IF('Barn - Back Rack'!B40="","",TRIM('Barn - Back Rack'!B40))</f>
        <v/>
      </c>
      <c r="E204" s="64" t="str">
        <f>IF($D204="","",'Barn - Back Rack'!C40&amp;"")</f>
        <v/>
      </c>
      <c r="F204" s="63">
        <f t="shared" si="17"/>
        <v>0</v>
      </c>
      <c r="G204" s="64" t="str">
        <f t="shared" si="14"/>
        <v/>
      </c>
      <c r="H204" s="64" t="str">
        <f t="shared" si="15"/>
        <v/>
      </c>
      <c r="I204" s="63">
        <f>IF($G204="",0,IF(COUNTIF($G$2:$G204,$G204)=1,1,0))</f>
        <v>0</v>
      </c>
      <c r="J204" s="63" t="str">
        <f t="shared" si="16"/>
        <v/>
      </c>
      <c r="K204" s="63" t="str">
        <f>IF($H204="","",COUNTIF($H$2:$H204,"?*"))</f>
        <v/>
      </c>
    </row>
    <row r="205" spans="1:11" x14ac:dyDescent="0.25">
      <c r="A205" s="63" t="s">
        <v>554</v>
      </c>
      <c r="B205" s="63" t="s">
        <v>760</v>
      </c>
      <c r="C205" s="63" t="s">
        <v>556</v>
      </c>
      <c r="D205" s="63" t="str">
        <f>IF('Barn - Back Rack'!B41="","",TRIM('Barn - Back Rack'!B41))</f>
        <v/>
      </c>
      <c r="E205" s="64" t="str">
        <f>IF($D205="","",'Barn - Back Rack'!C41&amp;"")</f>
        <v/>
      </c>
      <c r="F205" s="63">
        <f t="shared" si="17"/>
        <v>0</v>
      </c>
      <c r="G205" s="64" t="str">
        <f t="shared" si="14"/>
        <v/>
      </c>
      <c r="H205" s="64" t="str">
        <f t="shared" si="15"/>
        <v/>
      </c>
      <c r="I205" s="63">
        <f>IF($G205="",0,IF(COUNTIF($G$2:$G205,$G205)=1,1,0))</f>
        <v>0</v>
      </c>
      <c r="J205" s="63" t="str">
        <f t="shared" si="16"/>
        <v/>
      </c>
      <c r="K205" s="63" t="str">
        <f>IF($H205="","",COUNTIF($H$2:$H205,"?*"))</f>
        <v/>
      </c>
    </row>
    <row r="206" spans="1:11" x14ac:dyDescent="0.25">
      <c r="A206" s="63" t="s">
        <v>554</v>
      </c>
      <c r="B206" s="63" t="s">
        <v>761</v>
      </c>
      <c r="C206" s="63" t="s">
        <v>556</v>
      </c>
      <c r="D206" s="63" t="str">
        <f>IF('Barn - Back Rack'!D30="","",TRIM('Barn - Back Rack'!D30))</f>
        <v/>
      </c>
      <c r="E206" s="64" t="str">
        <f>IF($D206="","",'Barn - Back Rack'!E30&amp;"")</f>
        <v/>
      </c>
      <c r="F206" s="63">
        <f t="shared" si="17"/>
        <v>0</v>
      </c>
      <c r="G206" s="64" t="str">
        <f t="shared" si="14"/>
        <v/>
      </c>
      <c r="H206" s="64" t="str">
        <f t="shared" si="15"/>
        <v/>
      </c>
      <c r="I206" s="63">
        <f>IF($G206="",0,IF(COUNTIF($G$2:$G206,$G206)=1,1,0))</f>
        <v>0</v>
      </c>
      <c r="J206" s="63" t="str">
        <f t="shared" si="16"/>
        <v/>
      </c>
      <c r="K206" s="63" t="str">
        <f>IF($H206="","",COUNTIF($H$2:$H206,"?*"))</f>
        <v/>
      </c>
    </row>
    <row r="207" spans="1:11" x14ac:dyDescent="0.25">
      <c r="A207" s="63" t="s">
        <v>554</v>
      </c>
      <c r="B207" s="63" t="s">
        <v>762</v>
      </c>
      <c r="C207" s="63" t="s">
        <v>556</v>
      </c>
      <c r="D207" s="63" t="str">
        <f>IF('Barn - Back Rack'!D31="","",TRIM('Barn - Back Rack'!D31))</f>
        <v/>
      </c>
      <c r="E207" s="64" t="str">
        <f>IF($D207="","",'Barn - Back Rack'!E31&amp;"")</f>
        <v/>
      </c>
      <c r="F207" s="63">
        <f t="shared" si="17"/>
        <v>0</v>
      </c>
      <c r="G207" s="64" t="str">
        <f t="shared" si="14"/>
        <v/>
      </c>
      <c r="H207" s="64" t="str">
        <f t="shared" si="15"/>
        <v/>
      </c>
      <c r="I207" s="63">
        <f>IF($G207="",0,IF(COUNTIF($G$2:$G207,$G207)=1,1,0))</f>
        <v>0</v>
      </c>
      <c r="J207" s="63" t="str">
        <f t="shared" si="16"/>
        <v/>
      </c>
      <c r="K207" s="63" t="str">
        <f>IF($H207="","",COUNTIF($H$2:$H207,"?*"))</f>
        <v/>
      </c>
    </row>
    <row r="208" spans="1:11" x14ac:dyDescent="0.25">
      <c r="A208" s="63" t="s">
        <v>554</v>
      </c>
      <c r="B208" s="63" t="s">
        <v>763</v>
      </c>
      <c r="C208" s="63" t="s">
        <v>556</v>
      </c>
      <c r="D208" s="63" t="str">
        <f>IF('Barn - Back Rack'!D32="","",TRIM('Barn - Back Rack'!D32))</f>
        <v/>
      </c>
      <c r="E208" s="64" t="str">
        <f>IF($D208="","",'Barn - Back Rack'!E32&amp;"")</f>
        <v/>
      </c>
      <c r="F208" s="63">
        <f t="shared" si="17"/>
        <v>0</v>
      </c>
      <c r="G208" s="64" t="str">
        <f t="shared" si="14"/>
        <v/>
      </c>
      <c r="H208" s="64" t="str">
        <f t="shared" si="15"/>
        <v/>
      </c>
      <c r="I208" s="63">
        <f>IF($G208="",0,IF(COUNTIF($G$2:$G208,$G208)=1,1,0))</f>
        <v>0</v>
      </c>
      <c r="J208" s="63" t="str">
        <f t="shared" si="16"/>
        <v/>
      </c>
      <c r="K208" s="63" t="str">
        <f>IF($H208="","",COUNTIF($H$2:$H208,"?*"))</f>
        <v/>
      </c>
    </row>
    <row r="209" spans="1:11" x14ac:dyDescent="0.25">
      <c r="A209" s="63" t="s">
        <v>554</v>
      </c>
      <c r="B209" s="63" t="s">
        <v>764</v>
      </c>
      <c r="C209" s="63" t="s">
        <v>556</v>
      </c>
      <c r="D209" s="63" t="str">
        <f>IF('Barn - Back Rack'!D33="","",TRIM('Barn - Back Rack'!D33))</f>
        <v/>
      </c>
      <c r="E209" s="64" t="str">
        <f>IF($D209="","",'Barn - Back Rack'!E33&amp;"")</f>
        <v/>
      </c>
      <c r="F209" s="63">
        <f t="shared" si="17"/>
        <v>0</v>
      </c>
      <c r="G209" s="64" t="str">
        <f t="shared" si="14"/>
        <v/>
      </c>
      <c r="H209" s="64" t="str">
        <f t="shared" si="15"/>
        <v/>
      </c>
      <c r="I209" s="63">
        <f>IF($G209="",0,IF(COUNTIF($G$2:$G209,$G209)=1,1,0))</f>
        <v>0</v>
      </c>
      <c r="J209" s="63" t="str">
        <f t="shared" si="16"/>
        <v/>
      </c>
      <c r="K209" s="63" t="str">
        <f>IF($H209="","",COUNTIF($H$2:$H209,"?*"))</f>
        <v/>
      </c>
    </row>
    <row r="210" spans="1:11" x14ac:dyDescent="0.25">
      <c r="A210" s="63" t="s">
        <v>554</v>
      </c>
      <c r="B210" s="63" t="s">
        <v>765</v>
      </c>
      <c r="C210" s="63" t="s">
        <v>556</v>
      </c>
      <c r="D210" s="63" t="str">
        <f>IF('Barn - Back Rack'!D34="","",TRIM('Barn - Back Rack'!D34))</f>
        <v/>
      </c>
      <c r="E210" s="64" t="str">
        <f>IF($D210="","",'Barn - Back Rack'!E34&amp;"")</f>
        <v/>
      </c>
      <c r="F210" s="63">
        <f t="shared" si="17"/>
        <v>0</v>
      </c>
      <c r="G210" s="64" t="str">
        <f t="shared" si="14"/>
        <v/>
      </c>
      <c r="H210" s="64" t="str">
        <f t="shared" si="15"/>
        <v/>
      </c>
      <c r="I210" s="63">
        <f>IF($G210="",0,IF(COUNTIF($G$2:$G210,$G210)=1,1,0))</f>
        <v>0</v>
      </c>
      <c r="J210" s="63" t="str">
        <f t="shared" si="16"/>
        <v/>
      </c>
      <c r="K210" s="63" t="str">
        <f>IF($H210="","",COUNTIF($H$2:$H210,"?*"))</f>
        <v/>
      </c>
    </row>
    <row r="211" spans="1:11" x14ac:dyDescent="0.25">
      <c r="A211" s="63" t="s">
        <v>554</v>
      </c>
      <c r="B211" s="63" t="s">
        <v>766</v>
      </c>
      <c r="C211" s="63" t="s">
        <v>556</v>
      </c>
      <c r="D211" s="63" t="str">
        <f>IF('Barn - Back Rack'!D35="","",TRIM('Barn - Back Rack'!D35))</f>
        <v/>
      </c>
      <c r="E211" s="64" t="str">
        <f>IF($D211="","",'Barn - Back Rack'!E35&amp;"")</f>
        <v/>
      </c>
      <c r="F211" s="63">
        <f t="shared" si="17"/>
        <v>0</v>
      </c>
      <c r="G211" s="64" t="str">
        <f t="shared" si="14"/>
        <v/>
      </c>
      <c r="H211" s="64" t="str">
        <f t="shared" si="15"/>
        <v/>
      </c>
      <c r="I211" s="63">
        <f>IF($G211="",0,IF(COUNTIF($G$2:$G211,$G211)=1,1,0))</f>
        <v>0</v>
      </c>
      <c r="J211" s="63" t="str">
        <f t="shared" si="16"/>
        <v/>
      </c>
      <c r="K211" s="63" t="str">
        <f>IF($H211="","",COUNTIF($H$2:$H211,"?*"))</f>
        <v/>
      </c>
    </row>
    <row r="212" spans="1:11" x14ac:dyDescent="0.25">
      <c r="A212" s="63" t="s">
        <v>554</v>
      </c>
      <c r="B212" s="63" t="s">
        <v>767</v>
      </c>
      <c r="C212" s="63" t="s">
        <v>556</v>
      </c>
      <c r="D212" s="63" t="str">
        <f>IF('Barn - Back Rack'!D36="","",TRIM('Barn - Back Rack'!D36))</f>
        <v/>
      </c>
      <c r="E212" s="64" t="str">
        <f>IF($D212="","",'Barn - Back Rack'!E36&amp;"")</f>
        <v/>
      </c>
      <c r="F212" s="63">
        <f t="shared" si="17"/>
        <v>0</v>
      </c>
      <c r="G212" s="64" t="str">
        <f t="shared" si="14"/>
        <v/>
      </c>
      <c r="H212" s="64" t="str">
        <f t="shared" si="15"/>
        <v/>
      </c>
      <c r="I212" s="63">
        <f>IF($G212="",0,IF(COUNTIF($G$2:$G212,$G212)=1,1,0))</f>
        <v>0</v>
      </c>
      <c r="J212" s="63" t="str">
        <f t="shared" si="16"/>
        <v/>
      </c>
      <c r="K212" s="63" t="str">
        <f>IF($H212="","",COUNTIF($H$2:$H212,"?*"))</f>
        <v/>
      </c>
    </row>
    <row r="213" spans="1:11" x14ac:dyDescent="0.25">
      <c r="A213" s="63" t="s">
        <v>554</v>
      </c>
      <c r="B213" s="63" t="s">
        <v>768</v>
      </c>
      <c r="C213" s="63" t="s">
        <v>556</v>
      </c>
      <c r="D213" s="63" t="str">
        <f>IF('Barn - Back Rack'!D37="","",TRIM('Barn - Back Rack'!D37))</f>
        <v/>
      </c>
      <c r="E213" s="64" t="str">
        <f>IF($D213="","",'Barn - Back Rack'!E37&amp;"")</f>
        <v/>
      </c>
      <c r="F213" s="63">
        <f t="shared" si="17"/>
        <v>0</v>
      </c>
      <c r="G213" s="64" t="str">
        <f t="shared" si="14"/>
        <v/>
      </c>
      <c r="H213" s="64" t="str">
        <f t="shared" si="15"/>
        <v/>
      </c>
      <c r="I213" s="63">
        <f>IF($G213="",0,IF(COUNTIF($G$2:$G213,$G213)=1,1,0))</f>
        <v>0</v>
      </c>
      <c r="J213" s="63" t="str">
        <f t="shared" si="16"/>
        <v/>
      </c>
      <c r="K213" s="63" t="str">
        <f>IF($H213="","",COUNTIF($H$2:$H213,"?*"))</f>
        <v/>
      </c>
    </row>
    <row r="214" spans="1:11" x14ac:dyDescent="0.25">
      <c r="A214" s="63" t="s">
        <v>554</v>
      </c>
      <c r="B214" s="63" t="s">
        <v>769</v>
      </c>
      <c r="C214" s="63" t="s">
        <v>556</v>
      </c>
      <c r="D214" s="63" t="str">
        <f>IF('Barn - Back Rack'!D38="","",TRIM('Barn - Back Rack'!D38))</f>
        <v/>
      </c>
      <c r="E214" s="64" t="str">
        <f>IF($D214="","",'Barn - Back Rack'!E38&amp;"")</f>
        <v/>
      </c>
      <c r="F214" s="63">
        <f t="shared" si="17"/>
        <v>0</v>
      </c>
      <c r="G214" s="64" t="str">
        <f t="shared" si="14"/>
        <v/>
      </c>
      <c r="H214" s="64" t="str">
        <f t="shared" si="15"/>
        <v/>
      </c>
      <c r="I214" s="63">
        <f>IF($G214="",0,IF(COUNTIF($G$2:$G214,$G214)=1,1,0))</f>
        <v>0</v>
      </c>
      <c r="J214" s="63" t="str">
        <f t="shared" si="16"/>
        <v/>
      </c>
      <c r="K214" s="63" t="str">
        <f>IF($H214="","",COUNTIF($H$2:$H214,"?*"))</f>
        <v/>
      </c>
    </row>
    <row r="215" spans="1:11" x14ac:dyDescent="0.25">
      <c r="A215" s="63" t="s">
        <v>554</v>
      </c>
      <c r="B215" s="63" t="s">
        <v>770</v>
      </c>
      <c r="C215" s="63" t="s">
        <v>556</v>
      </c>
      <c r="D215" s="63" t="str">
        <f>IF('Barn - Back Rack'!D39="","",TRIM('Barn - Back Rack'!D39))</f>
        <v/>
      </c>
      <c r="E215" s="64" t="str">
        <f>IF($D215="","",'Barn - Back Rack'!E39&amp;"")</f>
        <v/>
      </c>
      <c r="F215" s="63">
        <f t="shared" si="17"/>
        <v>0</v>
      </c>
      <c r="G215" s="64" t="str">
        <f t="shared" si="14"/>
        <v/>
      </c>
      <c r="H215" s="64" t="str">
        <f t="shared" si="15"/>
        <v/>
      </c>
      <c r="I215" s="63">
        <f>IF($G215="",0,IF(COUNTIF($G$2:$G215,$G215)=1,1,0))</f>
        <v>0</v>
      </c>
      <c r="J215" s="63" t="str">
        <f t="shared" si="16"/>
        <v/>
      </c>
      <c r="K215" s="63" t="str">
        <f>IF($H215="","",COUNTIF($H$2:$H215,"?*"))</f>
        <v/>
      </c>
    </row>
    <row r="216" spans="1:11" x14ac:dyDescent="0.25">
      <c r="A216" s="63" t="s">
        <v>554</v>
      </c>
      <c r="B216" s="63" t="s">
        <v>771</v>
      </c>
      <c r="C216" s="63" t="s">
        <v>556</v>
      </c>
      <c r="D216" s="63" t="str">
        <f>IF('Barn - Back Rack'!D40="","",TRIM('Barn - Back Rack'!D40))</f>
        <v/>
      </c>
      <c r="E216" s="64" t="str">
        <f>IF($D216="","",'Barn - Back Rack'!E40&amp;"")</f>
        <v/>
      </c>
      <c r="F216" s="63">
        <f t="shared" si="17"/>
        <v>0</v>
      </c>
      <c r="G216" s="64" t="str">
        <f t="shared" si="14"/>
        <v/>
      </c>
      <c r="H216" s="64" t="str">
        <f t="shared" si="15"/>
        <v/>
      </c>
      <c r="I216" s="63">
        <f>IF($G216="",0,IF(COUNTIF($G$2:$G216,$G216)=1,1,0))</f>
        <v>0</v>
      </c>
      <c r="J216" s="63" t="str">
        <f t="shared" si="16"/>
        <v/>
      </c>
      <c r="K216" s="63" t="str">
        <f>IF($H216="","",COUNTIF($H$2:$H216,"?*"))</f>
        <v/>
      </c>
    </row>
    <row r="217" spans="1:11" x14ac:dyDescent="0.25">
      <c r="A217" s="63" t="s">
        <v>554</v>
      </c>
      <c r="B217" s="63" t="s">
        <v>772</v>
      </c>
      <c r="C217" s="63" t="s">
        <v>556</v>
      </c>
      <c r="D217" s="63" t="str">
        <f>IF('Barn - Back Rack'!D41="","",TRIM('Barn - Back Rack'!D41))</f>
        <v/>
      </c>
      <c r="E217" s="64" t="str">
        <f>IF($D217="","",'Barn - Back Rack'!E41&amp;"")</f>
        <v/>
      </c>
      <c r="F217" s="63">
        <f t="shared" si="17"/>
        <v>0</v>
      </c>
      <c r="G217" s="64" t="str">
        <f t="shared" si="14"/>
        <v/>
      </c>
      <c r="H217" s="64" t="str">
        <f t="shared" si="15"/>
        <v/>
      </c>
      <c r="I217" s="63">
        <f>IF($G217="",0,IF(COUNTIF($G$2:$G217,$G217)=1,1,0))</f>
        <v>0</v>
      </c>
      <c r="J217" s="63" t="str">
        <f t="shared" si="16"/>
        <v/>
      </c>
      <c r="K217" s="63" t="str">
        <f>IF($H217="","",COUNTIF($H$2:$H217,"?*"))</f>
        <v/>
      </c>
    </row>
    <row r="218" spans="1:11" x14ac:dyDescent="0.25">
      <c r="A218" s="63" t="s">
        <v>554</v>
      </c>
      <c r="B218" s="63" t="s">
        <v>773</v>
      </c>
      <c r="C218" s="63" t="s">
        <v>556</v>
      </c>
      <c r="D218" s="63" t="str">
        <f>IF('Barn - Back Rack'!F30="","",TRIM('Barn - Back Rack'!F30))</f>
        <v/>
      </c>
      <c r="E218" s="64" t="str">
        <f>IF($D218="","",'Barn - Back Rack'!G30&amp;"")</f>
        <v/>
      </c>
      <c r="F218" s="63">
        <f t="shared" si="17"/>
        <v>0</v>
      </c>
      <c r="G218" s="64" t="str">
        <f t="shared" si="14"/>
        <v/>
      </c>
      <c r="H218" s="64" t="str">
        <f t="shared" si="15"/>
        <v/>
      </c>
      <c r="I218" s="63">
        <f>IF($G218="",0,IF(COUNTIF($G$2:$G218,$G218)=1,1,0))</f>
        <v>0</v>
      </c>
      <c r="J218" s="63" t="str">
        <f t="shared" si="16"/>
        <v/>
      </c>
      <c r="K218" s="63" t="str">
        <f>IF($H218="","",COUNTIF($H$2:$H218,"?*"))</f>
        <v/>
      </c>
    </row>
    <row r="219" spans="1:11" x14ac:dyDescent="0.25">
      <c r="A219" s="63" t="s">
        <v>554</v>
      </c>
      <c r="B219" s="63" t="s">
        <v>774</v>
      </c>
      <c r="C219" s="63" t="s">
        <v>556</v>
      </c>
      <c r="D219" s="63" t="str">
        <f>IF('Barn - Back Rack'!F31="","",TRIM('Barn - Back Rack'!F31))</f>
        <v/>
      </c>
      <c r="E219" s="64" t="str">
        <f>IF($D219="","",'Barn - Back Rack'!G31&amp;"")</f>
        <v/>
      </c>
      <c r="F219" s="63">
        <f t="shared" si="17"/>
        <v>0</v>
      </c>
      <c r="G219" s="64" t="str">
        <f t="shared" si="14"/>
        <v/>
      </c>
      <c r="H219" s="64" t="str">
        <f t="shared" si="15"/>
        <v/>
      </c>
      <c r="I219" s="63">
        <f>IF($G219="",0,IF(COUNTIF($G$2:$G219,$G219)=1,1,0))</f>
        <v>0</v>
      </c>
      <c r="J219" s="63" t="str">
        <f t="shared" si="16"/>
        <v/>
      </c>
      <c r="K219" s="63" t="str">
        <f>IF($H219="","",COUNTIF($H$2:$H219,"?*"))</f>
        <v/>
      </c>
    </row>
    <row r="220" spans="1:11" x14ac:dyDescent="0.25">
      <c r="A220" s="63" t="s">
        <v>554</v>
      </c>
      <c r="B220" s="63" t="s">
        <v>775</v>
      </c>
      <c r="C220" s="63" t="s">
        <v>556</v>
      </c>
      <c r="D220" s="63" t="str">
        <f>IF('Barn - Back Rack'!F32="","",TRIM('Barn - Back Rack'!F32))</f>
        <v/>
      </c>
      <c r="E220" s="64" t="str">
        <f>IF($D220="","",'Barn - Back Rack'!G32&amp;"")</f>
        <v/>
      </c>
      <c r="F220" s="63">
        <f t="shared" si="17"/>
        <v>0</v>
      </c>
      <c r="G220" s="64" t="str">
        <f t="shared" si="14"/>
        <v/>
      </c>
      <c r="H220" s="64" t="str">
        <f t="shared" si="15"/>
        <v/>
      </c>
      <c r="I220" s="63">
        <f>IF($G220="",0,IF(COUNTIF($G$2:$G220,$G220)=1,1,0))</f>
        <v>0</v>
      </c>
      <c r="J220" s="63" t="str">
        <f t="shared" si="16"/>
        <v/>
      </c>
      <c r="K220" s="63" t="str">
        <f>IF($H220="","",COUNTIF($H$2:$H220,"?*"))</f>
        <v/>
      </c>
    </row>
    <row r="221" spans="1:11" x14ac:dyDescent="0.25">
      <c r="A221" s="63" t="s">
        <v>554</v>
      </c>
      <c r="B221" s="63" t="s">
        <v>776</v>
      </c>
      <c r="C221" s="63" t="s">
        <v>556</v>
      </c>
      <c r="D221" s="63" t="str">
        <f>IF('Barn - Back Rack'!F33="","",TRIM('Barn - Back Rack'!F33))</f>
        <v/>
      </c>
      <c r="E221" s="64" t="str">
        <f>IF($D221="","",'Barn - Back Rack'!G33&amp;"")</f>
        <v/>
      </c>
      <c r="F221" s="63">
        <f t="shared" si="17"/>
        <v>0</v>
      </c>
      <c r="G221" s="64" t="str">
        <f t="shared" si="14"/>
        <v/>
      </c>
      <c r="H221" s="64" t="str">
        <f t="shared" si="15"/>
        <v/>
      </c>
      <c r="I221" s="63">
        <f>IF($G221="",0,IF(COUNTIF($G$2:$G221,$G221)=1,1,0))</f>
        <v>0</v>
      </c>
      <c r="J221" s="63" t="str">
        <f t="shared" si="16"/>
        <v/>
      </c>
      <c r="K221" s="63" t="str">
        <f>IF($H221="","",COUNTIF($H$2:$H221,"?*"))</f>
        <v/>
      </c>
    </row>
    <row r="222" spans="1:11" x14ac:dyDescent="0.25">
      <c r="A222" s="63" t="s">
        <v>554</v>
      </c>
      <c r="B222" s="63" t="s">
        <v>777</v>
      </c>
      <c r="C222" s="63" t="s">
        <v>556</v>
      </c>
      <c r="D222" s="63" t="str">
        <f>IF('Barn - Back Rack'!F34="","",TRIM('Barn - Back Rack'!F34))</f>
        <v/>
      </c>
      <c r="E222" s="64" t="str">
        <f>IF($D222="","",'Barn - Back Rack'!G34&amp;"")</f>
        <v/>
      </c>
      <c r="F222" s="63">
        <f t="shared" si="17"/>
        <v>0</v>
      </c>
      <c r="G222" s="64" t="str">
        <f t="shared" si="14"/>
        <v/>
      </c>
      <c r="H222" s="64" t="str">
        <f t="shared" si="15"/>
        <v/>
      </c>
      <c r="I222" s="63">
        <f>IF($G222="",0,IF(COUNTIF($G$2:$G222,$G222)=1,1,0))</f>
        <v>0</v>
      </c>
      <c r="J222" s="63" t="str">
        <f t="shared" si="16"/>
        <v/>
      </c>
      <c r="K222" s="63" t="str">
        <f>IF($H222="","",COUNTIF($H$2:$H222,"?*"))</f>
        <v/>
      </c>
    </row>
    <row r="223" spans="1:11" x14ac:dyDescent="0.25">
      <c r="A223" s="63" t="s">
        <v>554</v>
      </c>
      <c r="B223" s="63" t="s">
        <v>778</v>
      </c>
      <c r="C223" s="63" t="s">
        <v>556</v>
      </c>
      <c r="D223" s="63" t="str">
        <f>IF('Barn - Back Rack'!F35="","",TRIM('Barn - Back Rack'!F35))</f>
        <v/>
      </c>
      <c r="E223" s="64" t="str">
        <f>IF($D223="","",'Barn - Back Rack'!G35&amp;"")</f>
        <v/>
      </c>
      <c r="F223" s="63">
        <f t="shared" si="17"/>
        <v>0</v>
      </c>
      <c r="G223" s="64" t="str">
        <f t="shared" si="14"/>
        <v/>
      </c>
      <c r="H223" s="64" t="str">
        <f t="shared" si="15"/>
        <v/>
      </c>
      <c r="I223" s="63">
        <f>IF($G223="",0,IF(COUNTIF($G$2:$G223,$G223)=1,1,0))</f>
        <v>0</v>
      </c>
      <c r="J223" s="63" t="str">
        <f t="shared" si="16"/>
        <v/>
      </c>
      <c r="K223" s="63" t="str">
        <f>IF($H223="","",COUNTIF($H$2:$H223,"?*"))</f>
        <v/>
      </c>
    </row>
    <row r="224" spans="1:11" x14ac:dyDescent="0.25">
      <c r="A224" s="63" t="s">
        <v>554</v>
      </c>
      <c r="B224" s="63" t="s">
        <v>779</v>
      </c>
      <c r="C224" s="63" t="s">
        <v>556</v>
      </c>
      <c r="D224" s="63" t="str">
        <f>IF('Barn - Back Rack'!F36="","",TRIM('Barn - Back Rack'!F36))</f>
        <v/>
      </c>
      <c r="E224" s="64" t="str">
        <f>IF($D224="","",'Barn - Back Rack'!G36&amp;"")</f>
        <v/>
      </c>
      <c r="F224" s="63">
        <f t="shared" si="17"/>
        <v>0</v>
      </c>
      <c r="G224" s="64" t="str">
        <f t="shared" si="14"/>
        <v/>
      </c>
      <c r="H224" s="64" t="str">
        <f t="shared" si="15"/>
        <v/>
      </c>
      <c r="I224" s="63">
        <f>IF($G224="",0,IF(COUNTIF($G$2:$G224,$G224)=1,1,0))</f>
        <v>0</v>
      </c>
      <c r="J224" s="63" t="str">
        <f t="shared" si="16"/>
        <v/>
      </c>
      <c r="K224" s="63" t="str">
        <f>IF($H224="","",COUNTIF($H$2:$H224,"?*"))</f>
        <v/>
      </c>
    </row>
    <row r="225" spans="1:11" x14ac:dyDescent="0.25">
      <c r="A225" s="63" t="s">
        <v>554</v>
      </c>
      <c r="B225" s="63" t="s">
        <v>780</v>
      </c>
      <c r="C225" s="63" t="s">
        <v>556</v>
      </c>
      <c r="D225" s="63" t="str">
        <f>IF('Barn - Back Rack'!F37="","",TRIM('Barn - Back Rack'!F37))</f>
        <v/>
      </c>
      <c r="E225" s="64" t="str">
        <f>IF($D225="","",'Barn - Back Rack'!G37&amp;"")</f>
        <v/>
      </c>
      <c r="F225" s="63">
        <f t="shared" si="17"/>
        <v>0</v>
      </c>
      <c r="G225" s="64" t="str">
        <f t="shared" si="14"/>
        <v/>
      </c>
      <c r="H225" s="64" t="str">
        <f t="shared" si="15"/>
        <v/>
      </c>
      <c r="I225" s="63">
        <f>IF($G225="",0,IF(COUNTIF($G$2:$G225,$G225)=1,1,0))</f>
        <v>0</v>
      </c>
      <c r="J225" s="63" t="str">
        <f t="shared" si="16"/>
        <v/>
      </c>
      <c r="K225" s="63" t="str">
        <f>IF($H225="","",COUNTIF($H$2:$H225,"?*"))</f>
        <v/>
      </c>
    </row>
    <row r="226" spans="1:11" x14ac:dyDescent="0.25">
      <c r="A226" s="63" t="s">
        <v>554</v>
      </c>
      <c r="B226" s="63" t="s">
        <v>781</v>
      </c>
      <c r="C226" s="63" t="s">
        <v>556</v>
      </c>
      <c r="D226" s="63" t="str">
        <f>IF('Barn - Back Rack'!F38="","",TRIM('Barn - Back Rack'!F38))</f>
        <v/>
      </c>
      <c r="E226" s="64" t="str">
        <f>IF($D226="","",'Barn - Back Rack'!G38&amp;"")</f>
        <v/>
      </c>
      <c r="F226" s="63">
        <f t="shared" si="17"/>
        <v>0</v>
      </c>
      <c r="G226" s="64" t="str">
        <f t="shared" si="14"/>
        <v/>
      </c>
      <c r="H226" s="64" t="str">
        <f t="shared" si="15"/>
        <v/>
      </c>
      <c r="I226" s="63">
        <f>IF($G226="",0,IF(COUNTIF($G$2:$G226,$G226)=1,1,0))</f>
        <v>0</v>
      </c>
      <c r="J226" s="63" t="str">
        <f t="shared" si="16"/>
        <v/>
      </c>
      <c r="K226" s="63" t="str">
        <f>IF($H226="","",COUNTIF($H$2:$H226,"?*"))</f>
        <v/>
      </c>
    </row>
    <row r="227" spans="1:11" x14ac:dyDescent="0.25">
      <c r="A227" s="63" t="s">
        <v>554</v>
      </c>
      <c r="B227" s="63" t="s">
        <v>782</v>
      </c>
      <c r="C227" s="63" t="s">
        <v>556</v>
      </c>
      <c r="D227" s="63" t="str">
        <f>IF('Barn - Back Rack'!F39="","",TRIM('Barn - Back Rack'!F39))</f>
        <v/>
      </c>
      <c r="E227" s="64" t="str">
        <f>IF($D227="","",'Barn - Back Rack'!G39&amp;"")</f>
        <v/>
      </c>
      <c r="F227" s="63">
        <f t="shared" si="17"/>
        <v>0</v>
      </c>
      <c r="G227" s="64" t="str">
        <f t="shared" si="14"/>
        <v/>
      </c>
      <c r="H227" s="64" t="str">
        <f t="shared" si="15"/>
        <v/>
      </c>
      <c r="I227" s="63">
        <f>IF($G227="",0,IF(COUNTIF($G$2:$G227,$G227)=1,1,0))</f>
        <v>0</v>
      </c>
      <c r="J227" s="63" t="str">
        <f t="shared" si="16"/>
        <v/>
      </c>
      <c r="K227" s="63" t="str">
        <f>IF($H227="","",COUNTIF($H$2:$H227,"?*"))</f>
        <v/>
      </c>
    </row>
    <row r="228" spans="1:11" x14ac:dyDescent="0.25">
      <c r="A228" s="63" t="s">
        <v>554</v>
      </c>
      <c r="B228" s="63" t="s">
        <v>783</v>
      </c>
      <c r="C228" s="63" t="s">
        <v>556</v>
      </c>
      <c r="D228" s="63" t="str">
        <f>IF('Barn - Back Rack'!F40="","",TRIM('Barn - Back Rack'!F40))</f>
        <v/>
      </c>
      <c r="E228" s="64" t="str">
        <f>IF($D228="","",'Barn - Back Rack'!G40&amp;"")</f>
        <v/>
      </c>
      <c r="F228" s="63">
        <f t="shared" si="17"/>
        <v>0</v>
      </c>
      <c r="G228" s="64" t="str">
        <f t="shared" si="14"/>
        <v/>
      </c>
      <c r="H228" s="64" t="str">
        <f t="shared" si="15"/>
        <v/>
      </c>
      <c r="I228" s="63">
        <f>IF($G228="",0,IF(COUNTIF($G$2:$G228,$G228)=1,1,0))</f>
        <v>0</v>
      </c>
      <c r="J228" s="63" t="str">
        <f t="shared" si="16"/>
        <v/>
      </c>
      <c r="K228" s="63" t="str">
        <f>IF($H228="","",COUNTIF($H$2:$H228,"?*"))</f>
        <v/>
      </c>
    </row>
    <row r="229" spans="1:11" x14ac:dyDescent="0.25">
      <c r="A229" s="63" t="s">
        <v>554</v>
      </c>
      <c r="B229" s="63" t="s">
        <v>784</v>
      </c>
      <c r="C229" s="63" t="s">
        <v>556</v>
      </c>
      <c r="D229" s="63" t="str">
        <f>IF('Barn - Back Rack'!F41="","",TRIM('Barn - Back Rack'!F41))</f>
        <v/>
      </c>
      <c r="E229" s="64" t="str">
        <f>IF($D229="","",'Barn - Back Rack'!G41&amp;"")</f>
        <v/>
      </c>
      <c r="F229" s="63">
        <f t="shared" si="17"/>
        <v>0</v>
      </c>
      <c r="G229" s="64" t="str">
        <f t="shared" si="14"/>
        <v/>
      </c>
      <c r="H229" s="64" t="str">
        <f t="shared" si="15"/>
        <v/>
      </c>
      <c r="I229" s="63">
        <f>IF($G229="",0,IF(COUNTIF($G$2:$G229,$G229)=1,1,0))</f>
        <v>0</v>
      </c>
      <c r="J229" s="63" t="str">
        <f t="shared" si="16"/>
        <v/>
      </c>
      <c r="K229" s="63" t="str">
        <f>IF($H229="","",COUNTIF($H$2:$H229,"?*"))</f>
        <v/>
      </c>
    </row>
    <row r="230" spans="1:11" x14ac:dyDescent="0.25">
      <c r="A230" s="63" t="s">
        <v>554</v>
      </c>
      <c r="B230" s="63" t="s">
        <v>785</v>
      </c>
      <c r="C230" s="63" t="s">
        <v>556</v>
      </c>
      <c r="D230" s="63" t="str">
        <f>IF('Barn - Back Rack'!H30="","",TRIM('Barn - Back Rack'!H30))</f>
        <v/>
      </c>
      <c r="E230" s="64" t="str">
        <f>IF($D230="","",'Barn - Back Rack'!I30&amp;"")</f>
        <v/>
      </c>
      <c r="F230" s="63">
        <f t="shared" si="17"/>
        <v>0</v>
      </c>
      <c r="G230" s="64" t="str">
        <f t="shared" si="14"/>
        <v/>
      </c>
      <c r="H230" s="64" t="str">
        <f t="shared" si="15"/>
        <v/>
      </c>
      <c r="I230" s="63">
        <f>IF($G230="",0,IF(COUNTIF($G$2:$G230,$G230)=1,1,0))</f>
        <v>0</v>
      </c>
      <c r="J230" s="63" t="str">
        <f t="shared" si="16"/>
        <v/>
      </c>
      <c r="K230" s="63" t="str">
        <f>IF($H230="","",COUNTIF($H$2:$H230,"?*"))</f>
        <v/>
      </c>
    </row>
    <row r="231" spans="1:11" x14ac:dyDescent="0.25">
      <c r="A231" s="63" t="s">
        <v>554</v>
      </c>
      <c r="B231" s="63" t="s">
        <v>786</v>
      </c>
      <c r="C231" s="63" t="s">
        <v>556</v>
      </c>
      <c r="D231" s="63" t="str">
        <f>IF('Barn - Back Rack'!H31="","",TRIM('Barn - Back Rack'!H31))</f>
        <v/>
      </c>
      <c r="E231" s="64" t="str">
        <f>IF($D231="","",'Barn - Back Rack'!I31&amp;"")</f>
        <v/>
      </c>
      <c r="F231" s="63">
        <f t="shared" si="17"/>
        <v>0</v>
      </c>
      <c r="G231" s="64" t="str">
        <f t="shared" si="14"/>
        <v/>
      </c>
      <c r="H231" s="64" t="str">
        <f t="shared" si="15"/>
        <v/>
      </c>
      <c r="I231" s="63">
        <f>IF($G231="",0,IF(COUNTIF($G$2:$G231,$G231)=1,1,0))</f>
        <v>0</v>
      </c>
      <c r="J231" s="63" t="str">
        <f t="shared" si="16"/>
        <v/>
      </c>
      <c r="K231" s="63" t="str">
        <f>IF($H231="","",COUNTIF($H$2:$H231,"?*"))</f>
        <v/>
      </c>
    </row>
    <row r="232" spans="1:11" x14ac:dyDescent="0.25">
      <c r="A232" s="63" t="s">
        <v>554</v>
      </c>
      <c r="B232" s="63" t="s">
        <v>787</v>
      </c>
      <c r="C232" s="63" t="s">
        <v>556</v>
      </c>
      <c r="D232" s="63" t="str">
        <f>IF('Barn - Back Rack'!H32="","",TRIM('Barn - Back Rack'!H32))</f>
        <v/>
      </c>
      <c r="E232" s="64" t="str">
        <f>IF($D232="","",'Barn - Back Rack'!I32&amp;"")</f>
        <v/>
      </c>
      <c r="F232" s="63">
        <f t="shared" si="17"/>
        <v>0</v>
      </c>
      <c r="G232" s="64" t="str">
        <f t="shared" si="14"/>
        <v/>
      </c>
      <c r="H232" s="64" t="str">
        <f t="shared" si="15"/>
        <v/>
      </c>
      <c r="I232" s="63">
        <f>IF($G232="",0,IF(COUNTIF($G$2:$G232,$G232)=1,1,0))</f>
        <v>0</v>
      </c>
      <c r="J232" s="63" t="str">
        <f t="shared" si="16"/>
        <v/>
      </c>
      <c r="K232" s="63" t="str">
        <f>IF($H232="","",COUNTIF($H$2:$H232,"?*"))</f>
        <v/>
      </c>
    </row>
    <row r="233" spans="1:11" x14ac:dyDescent="0.25">
      <c r="A233" s="63" t="s">
        <v>554</v>
      </c>
      <c r="B233" s="63" t="s">
        <v>788</v>
      </c>
      <c r="C233" s="63" t="s">
        <v>556</v>
      </c>
      <c r="D233" s="63" t="str">
        <f>IF('Barn - Back Rack'!H33="","",TRIM('Barn - Back Rack'!H33))</f>
        <v/>
      </c>
      <c r="E233" s="64" t="str">
        <f>IF($D233="","",'Barn - Back Rack'!I33&amp;"")</f>
        <v/>
      </c>
      <c r="F233" s="63">
        <f t="shared" si="17"/>
        <v>0</v>
      </c>
      <c r="G233" s="64" t="str">
        <f t="shared" si="14"/>
        <v/>
      </c>
      <c r="H233" s="64" t="str">
        <f t="shared" si="15"/>
        <v/>
      </c>
      <c r="I233" s="63">
        <f>IF($G233="",0,IF(COUNTIF($G$2:$G233,$G233)=1,1,0))</f>
        <v>0</v>
      </c>
      <c r="J233" s="63" t="str">
        <f t="shared" si="16"/>
        <v/>
      </c>
      <c r="K233" s="63" t="str">
        <f>IF($H233="","",COUNTIF($H$2:$H233,"?*"))</f>
        <v/>
      </c>
    </row>
    <row r="234" spans="1:11" x14ac:dyDescent="0.25">
      <c r="A234" s="63" t="s">
        <v>554</v>
      </c>
      <c r="B234" s="63" t="s">
        <v>789</v>
      </c>
      <c r="C234" s="63" t="s">
        <v>556</v>
      </c>
      <c r="D234" s="63" t="str">
        <f>IF('Barn - Back Rack'!H34="","",TRIM('Barn - Back Rack'!H34))</f>
        <v/>
      </c>
      <c r="E234" s="64" t="str">
        <f>IF($D234="","",'Barn - Back Rack'!I34&amp;"")</f>
        <v/>
      </c>
      <c r="F234" s="63">
        <f t="shared" ref="F234:F241" si="18">IF($D234="",0,1)</f>
        <v>0</v>
      </c>
      <c r="G234" s="64" t="str">
        <f t="shared" si="14"/>
        <v/>
      </c>
      <c r="H234" s="64" t="str">
        <f t="shared" si="15"/>
        <v/>
      </c>
      <c r="I234" s="63">
        <f>IF($G234="",0,IF(COUNTIF($G$2:$G234,$G234)=1,1,0))</f>
        <v>0</v>
      </c>
      <c r="J234" s="63" t="str">
        <f t="shared" si="16"/>
        <v/>
      </c>
      <c r="K234" s="63" t="str">
        <f>IF($H234="","",COUNTIF($H$2:$H234,"?*"))</f>
        <v/>
      </c>
    </row>
    <row r="235" spans="1:11" x14ac:dyDescent="0.25">
      <c r="A235" s="63" t="s">
        <v>554</v>
      </c>
      <c r="B235" s="63" t="s">
        <v>790</v>
      </c>
      <c r="C235" s="63" t="s">
        <v>556</v>
      </c>
      <c r="D235" s="63" t="str">
        <f>IF('Barn - Back Rack'!H35="","",TRIM('Barn - Back Rack'!H35))</f>
        <v/>
      </c>
      <c r="E235" s="64" t="str">
        <f>IF($D235="","",'Barn - Back Rack'!I35&amp;"")</f>
        <v/>
      </c>
      <c r="F235" s="63">
        <f t="shared" si="18"/>
        <v>0</v>
      </c>
      <c r="G235" s="64" t="str">
        <f t="shared" si="14"/>
        <v/>
      </c>
      <c r="H235" s="64" t="str">
        <f t="shared" si="15"/>
        <v/>
      </c>
      <c r="I235" s="63">
        <f>IF($G235="",0,IF(COUNTIF($G$2:$G235,$G235)=1,1,0))</f>
        <v>0</v>
      </c>
      <c r="J235" s="63" t="str">
        <f t="shared" si="16"/>
        <v/>
      </c>
      <c r="K235" s="63" t="str">
        <f>IF($H235="","",COUNTIF($H$2:$H235,"?*"))</f>
        <v/>
      </c>
    </row>
    <row r="236" spans="1:11" x14ac:dyDescent="0.25">
      <c r="A236" s="63" t="s">
        <v>554</v>
      </c>
      <c r="B236" s="63" t="s">
        <v>791</v>
      </c>
      <c r="C236" s="63" t="s">
        <v>556</v>
      </c>
      <c r="D236" s="63" t="str">
        <f>IF('Barn - Back Rack'!H36="","",TRIM('Barn - Back Rack'!H36))</f>
        <v/>
      </c>
      <c r="E236" s="64" t="str">
        <f>IF($D236="","",'Barn - Back Rack'!I36&amp;"")</f>
        <v/>
      </c>
      <c r="F236" s="63">
        <f t="shared" si="18"/>
        <v>0</v>
      </c>
      <c r="G236" s="64" t="str">
        <f t="shared" si="14"/>
        <v/>
      </c>
      <c r="H236" s="64" t="str">
        <f t="shared" si="15"/>
        <v/>
      </c>
      <c r="I236" s="63">
        <f>IF($G236="",0,IF(COUNTIF($G$2:$G236,$G236)=1,1,0))</f>
        <v>0</v>
      </c>
      <c r="J236" s="63" t="str">
        <f t="shared" si="16"/>
        <v/>
      </c>
      <c r="K236" s="63" t="str">
        <f>IF($H236="","",COUNTIF($H$2:$H236,"?*"))</f>
        <v/>
      </c>
    </row>
    <row r="237" spans="1:11" x14ac:dyDescent="0.25">
      <c r="A237" s="63" t="s">
        <v>554</v>
      </c>
      <c r="B237" s="63" t="s">
        <v>792</v>
      </c>
      <c r="C237" s="63" t="s">
        <v>556</v>
      </c>
      <c r="D237" s="63" t="str">
        <f>IF('Barn - Back Rack'!H37="","",TRIM('Barn - Back Rack'!H37))</f>
        <v/>
      </c>
      <c r="E237" s="64" t="str">
        <f>IF($D237="","",'Barn - Back Rack'!I37&amp;"")</f>
        <v/>
      </c>
      <c r="F237" s="63">
        <f t="shared" si="18"/>
        <v>0</v>
      </c>
      <c r="G237" s="64" t="str">
        <f t="shared" si="14"/>
        <v/>
      </c>
      <c r="H237" s="64" t="str">
        <f t="shared" si="15"/>
        <v/>
      </c>
      <c r="I237" s="63">
        <f>IF($G237="",0,IF(COUNTIF($G$2:$G237,$G237)=1,1,0))</f>
        <v>0</v>
      </c>
      <c r="J237" s="63" t="str">
        <f t="shared" si="16"/>
        <v/>
      </c>
      <c r="K237" s="63" t="str">
        <f>IF($H237="","",COUNTIF($H$2:$H237,"?*"))</f>
        <v/>
      </c>
    </row>
    <row r="238" spans="1:11" x14ac:dyDescent="0.25">
      <c r="A238" s="63" t="s">
        <v>554</v>
      </c>
      <c r="B238" s="63" t="s">
        <v>793</v>
      </c>
      <c r="C238" s="63" t="s">
        <v>556</v>
      </c>
      <c r="D238" s="63" t="str">
        <f>IF('Barn - Back Rack'!H38="","",TRIM('Barn - Back Rack'!H38))</f>
        <v/>
      </c>
      <c r="E238" s="64" t="str">
        <f>IF($D238="","",'Barn - Back Rack'!I38&amp;"")</f>
        <v/>
      </c>
      <c r="F238" s="63">
        <f t="shared" si="18"/>
        <v>0</v>
      </c>
      <c r="G238" s="64" t="str">
        <f t="shared" si="14"/>
        <v/>
      </c>
      <c r="H238" s="64" t="str">
        <f t="shared" si="15"/>
        <v/>
      </c>
      <c r="I238" s="63">
        <f>IF($G238="",0,IF(COUNTIF($G$2:$G238,$G238)=1,1,0))</f>
        <v>0</v>
      </c>
      <c r="J238" s="63" t="str">
        <f t="shared" si="16"/>
        <v/>
      </c>
      <c r="K238" s="63" t="str">
        <f>IF($H238="","",COUNTIF($H$2:$H238,"?*"))</f>
        <v/>
      </c>
    </row>
    <row r="239" spans="1:11" x14ac:dyDescent="0.25">
      <c r="A239" s="63" t="s">
        <v>554</v>
      </c>
      <c r="B239" s="63" t="s">
        <v>794</v>
      </c>
      <c r="C239" s="63" t="s">
        <v>556</v>
      </c>
      <c r="D239" s="63" t="str">
        <f>IF('Barn - Back Rack'!H39="","",TRIM('Barn - Back Rack'!H39))</f>
        <v/>
      </c>
      <c r="E239" s="64" t="str">
        <f>IF($D239="","",'Barn - Back Rack'!I39&amp;"")</f>
        <v/>
      </c>
      <c r="F239" s="63">
        <f t="shared" si="18"/>
        <v>0</v>
      </c>
      <c r="G239" s="64" t="str">
        <f t="shared" si="14"/>
        <v/>
      </c>
      <c r="H239" s="64" t="str">
        <f t="shared" si="15"/>
        <v/>
      </c>
      <c r="I239" s="63">
        <f>IF($G239="",0,IF(COUNTIF($G$2:$G239,$G239)=1,1,0))</f>
        <v>0</v>
      </c>
      <c r="J239" s="63" t="str">
        <f t="shared" si="16"/>
        <v/>
      </c>
      <c r="K239" s="63" t="str">
        <f>IF($H239="","",COUNTIF($H$2:$H239,"?*"))</f>
        <v/>
      </c>
    </row>
    <row r="240" spans="1:11" x14ac:dyDescent="0.25">
      <c r="A240" s="63" t="s">
        <v>554</v>
      </c>
      <c r="B240" s="63" t="s">
        <v>795</v>
      </c>
      <c r="C240" s="63" t="s">
        <v>556</v>
      </c>
      <c r="D240" s="63" t="str">
        <f>IF('Barn - Back Rack'!H40="","",TRIM('Barn - Back Rack'!H40))</f>
        <v/>
      </c>
      <c r="E240" s="64" t="str">
        <f>IF($D240="","",'Barn - Back Rack'!I40&amp;"")</f>
        <v/>
      </c>
      <c r="F240" s="63">
        <f t="shared" si="18"/>
        <v>0</v>
      </c>
      <c r="G240" s="64" t="str">
        <f t="shared" si="14"/>
        <v/>
      </c>
      <c r="H240" s="64" t="str">
        <f t="shared" si="15"/>
        <v/>
      </c>
      <c r="I240" s="63">
        <f>IF($G240="",0,IF(COUNTIF($G$2:$G240,$G240)=1,1,0))</f>
        <v>0</v>
      </c>
      <c r="J240" s="63" t="str">
        <f t="shared" si="16"/>
        <v/>
      </c>
      <c r="K240" s="63" t="str">
        <f>IF($H240="","",COUNTIF($H$2:$H240,"?*"))</f>
        <v/>
      </c>
    </row>
    <row r="241" spans="1:11" x14ac:dyDescent="0.25">
      <c r="A241" s="63" t="s">
        <v>554</v>
      </c>
      <c r="B241" s="63" t="s">
        <v>796</v>
      </c>
      <c r="C241" s="63" t="s">
        <v>556</v>
      </c>
      <c r="D241" s="63" t="str">
        <f>IF('Barn - Back Rack'!H41="","",TRIM('Barn - Back Rack'!H41))</f>
        <v/>
      </c>
      <c r="E241" s="64" t="str">
        <f>IF($D241="","",'Barn - Back Rack'!I41&amp;"")</f>
        <v/>
      </c>
      <c r="F241" s="63">
        <f t="shared" si="18"/>
        <v>0</v>
      </c>
      <c r="G241" s="64" t="str">
        <f t="shared" si="14"/>
        <v/>
      </c>
      <c r="H241" s="64" t="str">
        <f t="shared" si="15"/>
        <v/>
      </c>
      <c r="I241" s="63">
        <f>IF($G241="",0,IF(COUNTIF($G$2:$G241,$G241)=1,1,0))</f>
        <v>0</v>
      </c>
      <c r="J241" s="63" t="str">
        <f t="shared" si="16"/>
        <v/>
      </c>
      <c r="K241" s="63" t="str">
        <f>IF($H241="","",COUNTIF($H$2:$H241,"?*"))</f>
        <v/>
      </c>
    </row>
    <row r="242" spans="1:11" x14ac:dyDescent="0.25">
      <c r="A242" s="63" t="s">
        <v>554</v>
      </c>
      <c r="B242" s="63" t="s">
        <v>797</v>
      </c>
      <c r="C242" s="63" t="s">
        <v>605</v>
      </c>
      <c r="D242" s="63" t="str">
        <f>IF('Barn - Back Rack'!J30="","",TRIM('Barn - Back Rack'!J30))</f>
        <v>Fetco L4S-10</v>
      </c>
      <c r="E242" s="64"/>
      <c r="F242" s="65">
        <f>IF($D242="",0,IF(ISNUMBER('Barn - Back Rack'!K30),'Barn - Back Rack'!K30,1))</f>
        <v>1</v>
      </c>
      <c r="G242" s="64" t="str">
        <f t="shared" si="14"/>
        <v>Fetco L4S-10</v>
      </c>
      <c r="H242" s="64" t="str">
        <f t="shared" si="15"/>
        <v/>
      </c>
      <c r="I242" s="63">
        <f>IF($G242="",0,IF(COUNTIF($G$2:$G242,$G242)=1,1,0))</f>
        <v>1</v>
      </c>
      <c r="J242" s="63">
        <f t="shared" si="16"/>
        <v>62</v>
      </c>
      <c r="K242" s="63" t="str">
        <f>IF($H242="","",COUNTIF($H$2:$H242,"?*"))</f>
        <v/>
      </c>
    </row>
    <row r="243" spans="1:11" x14ac:dyDescent="0.25">
      <c r="A243" s="63" t="s">
        <v>554</v>
      </c>
      <c r="B243" s="63" t="s">
        <v>798</v>
      </c>
      <c r="C243" s="63" t="s">
        <v>605</v>
      </c>
      <c r="D243" s="63" t="str">
        <f>IF('Barn - Back Rack'!J31="","",TRIM('Barn - Back Rack'!J31))</f>
        <v>Fetco Twin Station</v>
      </c>
      <c r="E243" s="64"/>
      <c r="F243" s="65">
        <f>IF($D243="",0,IF(ISNUMBER('Barn - Back Rack'!K31),'Barn - Back Rack'!K31,1))</f>
        <v>3</v>
      </c>
      <c r="G243" s="64" t="str">
        <f t="shared" si="14"/>
        <v>Fetco Twin Station</v>
      </c>
      <c r="H243" s="64" t="str">
        <f t="shared" si="15"/>
        <v/>
      </c>
      <c r="I243" s="63">
        <f>IF($G243="",0,IF(COUNTIF($G$2:$G243,$G243)=1,1,0))</f>
        <v>1</v>
      </c>
      <c r="J243" s="63">
        <f t="shared" si="16"/>
        <v>65</v>
      </c>
      <c r="K243" s="63" t="str">
        <f>IF($H243="","",COUNTIF($H$2:$H243,"?*"))</f>
        <v/>
      </c>
    </row>
    <row r="244" spans="1:11" x14ac:dyDescent="0.25">
      <c r="A244" s="63" t="s">
        <v>554</v>
      </c>
      <c r="B244" s="63" t="s">
        <v>799</v>
      </c>
      <c r="C244" s="63" t="s">
        <v>605</v>
      </c>
      <c r="D244" s="63" t="str">
        <f>IF('Barn - Back Rack'!J32="","",TRIM('Barn - Back Rack'!J32))</f>
        <v/>
      </c>
      <c r="E244" s="64"/>
      <c r="F244" s="63">
        <f>IF($D244="",0,IF(ISNUMBER('Barn - Back Rack'!K32),'Barn - Back Rack'!K32,1))</f>
        <v>0</v>
      </c>
      <c r="G244" s="64" t="str">
        <f t="shared" si="14"/>
        <v/>
      </c>
      <c r="H244" s="64" t="str">
        <f t="shared" si="15"/>
        <v/>
      </c>
      <c r="I244" s="63">
        <f>IF($G244="",0,IF(COUNTIF($G$2:$G244,$G244)=1,1,0))</f>
        <v>0</v>
      </c>
      <c r="J244" s="63" t="str">
        <f t="shared" si="16"/>
        <v/>
      </c>
      <c r="K244" s="63" t="str">
        <f>IF($H244="","",COUNTIF($H$2:$H244,"?*"))</f>
        <v/>
      </c>
    </row>
    <row r="245" spans="1:11" x14ac:dyDescent="0.25">
      <c r="A245" s="63" t="s">
        <v>554</v>
      </c>
      <c r="B245" s="63" t="s">
        <v>800</v>
      </c>
      <c r="C245" s="63" t="s">
        <v>605</v>
      </c>
      <c r="D245" s="63" t="str">
        <f>IF('Barn - Back Rack'!J33="","",TRIM('Barn - Back Rack'!J33))</f>
        <v/>
      </c>
      <c r="E245" s="64"/>
      <c r="F245" s="63">
        <f>IF($D245="",0,IF(ISNUMBER('Barn - Back Rack'!K33),'Barn - Back Rack'!K33,1))</f>
        <v>0</v>
      </c>
      <c r="G245" s="64" t="str">
        <f t="shared" si="14"/>
        <v/>
      </c>
      <c r="H245" s="64" t="str">
        <f t="shared" si="15"/>
        <v/>
      </c>
      <c r="I245" s="63">
        <f>IF($G245="",0,IF(COUNTIF($G$2:$G245,$G245)=1,1,0))</f>
        <v>0</v>
      </c>
      <c r="J245" s="63" t="str">
        <f t="shared" si="16"/>
        <v/>
      </c>
      <c r="K245" s="63" t="str">
        <f>IF($H245="","",COUNTIF($H$2:$H245,"?*"))</f>
        <v/>
      </c>
    </row>
    <row r="246" spans="1:11" x14ac:dyDescent="0.25">
      <c r="A246" s="63" t="s">
        <v>554</v>
      </c>
      <c r="B246" s="63" t="s">
        <v>801</v>
      </c>
      <c r="C246" s="63" t="s">
        <v>605</v>
      </c>
      <c r="D246" s="63" t="str">
        <f>IF('Barn - Back Rack'!J34="","",TRIM('Barn - Back Rack'!J34))</f>
        <v/>
      </c>
      <c r="E246" s="64"/>
      <c r="F246" s="63">
        <f>IF($D246="",0,IF(ISNUMBER('Barn - Back Rack'!K34),'Barn - Back Rack'!K34,1))</f>
        <v>0</v>
      </c>
      <c r="G246" s="64" t="str">
        <f t="shared" si="14"/>
        <v/>
      </c>
      <c r="H246" s="64" t="str">
        <f t="shared" si="15"/>
        <v/>
      </c>
      <c r="I246" s="63">
        <f>IF($G246="",0,IF(COUNTIF($G$2:$G246,$G246)=1,1,0))</f>
        <v>0</v>
      </c>
      <c r="J246" s="63" t="str">
        <f t="shared" si="16"/>
        <v/>
      </c>
      <c r="K246" s="63" t="str">
        <f>IF($H246="","",COUNTIF($H$2:$H246,"?*"))</f>
        <v/>
      </c>
    </row>
    <row r="247" spans="1:11" x14ac:dyDescent="0.25">
      <c r="A247" s="63" t="s">
        <v>554</v>
      </c>
      <c r="B247" s="63" t="s">
        <v>802</v>
      </c>
      <c r="C247" s="63" t="s">
        <v>605</v>
      </c>
      <c r="D247" s="63" t="str">
        <f>IF('Barn - Back Rack'!J35="","",TRIM('Barn - Back Rack'!J35))</f>
        <v/>
      </c>
      <c r="E247" s="64"/>
      <c r="F247" s="63">
        <f>IF($D247="",0,IF(ISNUMBER('Barn - Back Rack'!K35),'Barn - Back Rack'!K35,1))</f>
        <v>0</v>
      </c>
      <c r="G247" s="64" t="str">
        <f t="shared" si="14"/>
        <v/>
      </c>
      <c r="H247" s="64" t="str">
        <f t="shared" si="15"/>
        <v/>
      </c>
      <c r="I247" s="63">
        <f>IF($G247="",0,IF(COUNTIF($G$2:$G247,$G247)=1,1,0))</f>
        <v>0</v>
      </c>
      <c r="J247" s="63" t="str">
        <f t="shared" si="16"/>
        <v/>
      </c>
      <c r="K247" s="63" t="str">
        <f>IF($H247="","",COUNTIF($H$2:$H247,"?*"))</f>
        <v/>
      </c>
    </row>
    <row r="248" spans="1:11" x14ac:dyDescent="0.25">
      <c r="A248" s="63" t="s">
        <v>554</v>
      </c>
      <c r="B248" s="63" t="s">
        <v>803</v>
      </c>
      <c r="C248" s="63" t="s">
        <v>605</v>
      </c>
      <c r="D248" s="63" t="str">
        <f>IF('Barn - Back Rack'!J36="","",TRIM('Barn - Back Rack'!J36))</f>
        <v/>
      </c>
      <c r="E248" s="64"/>
      <c r="F248" s="63">
        <f>IF($D248="",0,IF(ISNUMBER('Barn - Back Rack'!K36),'Barn - Back Rack'!K36,1))</f>
        <v>0</v>
      </c>
      <c r="G248" s="64" t="str">
        <f t="shared" si="14"/>
        <v/>
      </c>
      <c r="H248" s="64" t="str">
        <f t="shared" si="15"/>
        <v/>
      </c>
      <c r="I248" s="63">
        <f>IF($G248="",0,IF(COUNTIF($G$2:$G248,$G248)=1,1,0))</f>
        <v>0</v>
      </c>
      <c r="J248" s="63" t="str">
        <f t="shared" si="16"/>
        <v/>
      </c>
      <c r="K248" s="63" t="str">
        <f>IF($H248="","",COUNTIF($H$2:$H248,"?*"))</f>
        <v/>
      </c>
    </row>
    <row r="249" spans="1:11" x14ac:dyDescent="0.25">
      <c r="A249" s="63" t="s">
        <v>554</v>
      </c>
      <c r="B249" s="63" t="s">
        <v>804</v>
      </c>
      <c r="C249" s="63" t="s">
        <v>605</v>
      </c>
      <c r="D249" s="63" t="str">
        <f>IF('Barn - Back Rack'!J37="","",TRIM('Barn - Back Rack'!J37))</f>
        <v/>
      </c>
      <c r="E249" s="64"/>
      <c r="F249" s="63">
        <f>IF($D249="",0,IF(ISNUMBER('Barn - Back Rack'!K37),'Barn - Back Rack'!K37,1))</f>
        <v>0</v>
      </c>
      <c r="G249" s="64" t="str">
        <f t="shared" si="14"/>
        <v/>
      </c>
      <c r="H249" s="64" t="str">
        <f t="shared" si="15"/>
        <v/>
      </c>
      <c r="I249" s="63">
        <f>IF($G249="",0,IF(COUNTIF($G$2:$G249,$G249)=1,1,0))</f>
        <v>0</v>
      </c>
      <c r="J249" s="63" t="str">
        <f t="shared" si="16"/>
        <v/>
      </c>
      <c r="K249" s="63" t="str">
        <f>IF($H249="","",COUNTIF($H$2:$H249,"?*"))</f>
        <v/>
      </c>
    </row>
    <row r="250" spans="1:11" x14ac:dyDescent="0.25">
      <c r="A250" s="63" t="s">
        <v>554</v>
      </c>
      <c r="B250" s="63" t="s">
        <v>805</v>
      </c>
      <c r="C250" s="63" t="s">
        <v>605</v>
      </c>
      <c r="D250" s="63" t="str">
        <f>IF('Barn - Back Rack'!J38="","",TRIM('Barn - Back Rack'!J38))</f>
        <v/>
      </c>
      <c r="E250" s="64"/>
      <c r="F250" s="63">
        <f>IF($D250="",0,IF(ISNUMBER('Barn - Back Rack'!K38),'Barn - Back Rack'!K38,1))</f>
        <v>0</v>
      </c>
      <c r="G250" s="64" t="str">
        <f t="shared" si="14"/>
        <v/>
      </c>
      <c r="H250" s="64" t="str">
        <f t="shared" si="15"/>
        <v/>
      </c>
      <c r="I250" s="63">
        <f>IF($G250="",0,IF(COUNTIF($G$2:$G250,$G250)=1,1,0))</f>
        <v>0</v>
      </c>
      <c r="J250" s="63" t="str">
        <f t="shared" si="16"/>
        <v/>
      </c>
      <c r="K250" s="63" t="str">
        <f>IF($H250="","",COUNTIF($H$2:$H250,"?*"))</f>
        <v/>
      </c>
    </row>
    <row r="251" spans="1:11" x14ac:dyDescent="0.25">
      <c r="A251" s="63" t="s">
        <v>554</v>
      </c>
      <c r="B251" s="63" t="s">
        <v>806</v>
      </c>
      <c r="C251" s="63" t="s">
        <v>605</v>
      </c>
      <c r="D251" s="63" t="str">
        <f>IF('Barn - Back Rack'!J39="","",TRIM('Barn - Back Rack'!J39))</f>
        <v/>
      </c>
      <c r="E251" s="64"/>
      <c r="F251" s="63">
        <f>IF($D251="",0,IF(ISNUMBER('Barn - Back Rack'!K39),'Barn - Back Rack'!K39,1))</f>
        <v>0</v>
      </c>
      <c r="G251" s="64" t="str">
        <f t="shared" si="14"/>
        <v/>
      </c>
      <c r="H251" s="64" t="str">
        <f t="shared" si="15"/>
        <v/>
      </c>
      <c r="I251" s="63">
        <f>IF($G251="",0,IF(COUNTIF($G$2:$G251,$G251)=1,1,0))</f>
        <v>0</v>
      </c>
      <c r="J251" s="63" t="str">
        <f t="shared" si="16"/>
        <v/>
      </c>
      <c r="K251" s="63" t="str">
        <f>IF($H251="","",COUNTIF($H$2:$H251,"?*"))</f>
        <v/>
      </c>
    </row>
    <row r="252" spans="1:11" x14ac:dyDescent="0.25">
      <c r="A252" s="63" t="s">
        <v>554</v>
      </c>
      <c r="B252" s="63" t="s">
        <v>807</v>
      </c>
      <c r="C252" s="63" t="s">
        <v>605</v>
      </c>
      <c r="D252" s="63" t="str">
        <f>IF('Barn - Back Rack'!J40="","",TRIM('Barn - Back Rack'!J40))</f>
        <v/>
      </c>
      <c r="E252" s="64"/>
      <c r="F252" s="63">
        <f>IF($D252="",0,IF(ISNUMBER('Barn - Back Rack'!K40),'Barn - Back Rack'!K40,1))</f>
        <v>0</v>
      </c>
      <c r="G252" s="64" t="str">
        <f t="shared" si="14"/>
        <v/>
      </c>
      <c r="H252" s="64" t="str">
        <f t="shared" si="15"/>
        <v/>
      </c>
      <c r="I252" s="63">
        <f>IF($G252="",0,IF(COUNTIF($G$2:$G252,$G252)=1,1,0))</f>
        <v>0</v>
      </c>
      <c r="J252" s="63" t="str">
        <f t="shared" si="16"/>
        <v/>
      </c>
      <c r="K252" s="63" t="str">
        <f>IF($H252="","",COUNTIF($H$2:$H252,"?*"))</f>
        <v/>
      </c>
    </row>
    <row r="253" spans="1:11" x14ac:dyDescent="0.25">
      <c r="A253" s="63" t="s">
        <v>554</v>
      </c>
      <c r="B253" s="63" t="s">
        <v>808</v>
      </c>
      <c r="C253" s="63" t="s">
        <v>605</v>
      </c>
      <c r="D253" s="63" t="str">
        <f>IF('Barn - Back Rack'!J41="","",TRIM('Barn - Back Rack'!J41))</f>
        <v/>
      </c>
      <c r="E253" s="64"/>
      <c r="F253" s="63">
        <f>IF($D253="",0,IF(ISNUMBER('Barn - Back Rack'!K41),'Barn - Back Rack'!K41,1))</f>
        <v>0</v>
      </c>
      <c r="G253" s="64" t="str">
        <f t="shared" si="14"/>
        <v/>
      </c>
      <c r="H253" s="64" t="str">
        <f t="shared" si="15"/>
        <v/>
      </c>
      <c r="I253" s="63">
        <f>IF($G253="",0,IF(COUNTIF($G$2:$G253,$G253)=1,1,0))</f>
        <v>0</v>
      </c>
      <c r="J253" s="63" t="str">
        <f t="shared" si="16"/>
        <v/>
      </c>
      <c r="K253" s="63" t="str">
        <f>IF($H253="","",COUNTIF($H$2:$H253,"?*"))</f>
        <v/>
      </c>
    </row>
    <row r="254" spans="1:11" x14ac:dyDescent="0.25">
      <c r="A254" s="63" t="s">
        <v>554</v>
      </c>
      <c r="B254" s="63" t="s">
        <v>809</v>
      </c>
      <c r="C254" s="63" t="s">
        <v>605</v>
      </c>
      <c r="D254" s="63" t="str">
        <f>IF('Barn - Back Rack'!L30="","",TRIM('Barn - Back Rack'!L30))</f>
        <v>Fetco L4D-10</v>
      </c>
      <c r="E254" s="64"/>
      <c r="F254" s="65">
        <f>IF($D254="",0,IF(ISNUMBER('Barn - Back Rack'!M30),'Barn - Back Rack'!M30,1))</f>
        <v>10</v>
      </c>
      <c r="G254" s="64" t="str">
        <f t="shared" si="14"/>
        <v>Fetco L4D-10</v>
      </c>
      <c r="H254" s="64" t="str">
        <f t="shared" si="15"/>
        <v/>
      </c>
      <c r="I254" s="63">
        <f>IF($G254="",0,IF(COUNTIF($G$2:$G254,$G254)=1,1,0))</f>
        <v>1</v>
      </c>
      <c r="J254" s="63">
        <f t="shared" si="16"/>
        <v>60</v>
      </c>
      <c r="K254" s="63" t="str">
        <f>IF($H254="","",COUNTIF($H$2:$H254,"?*"))</f>
        <v/>
      </c>
    </row>
    <row r="255" spans="1:11" x14ac:dyDescent="0.25">
      <c r="A255" s="63" t="s">
        <v>554</v>
      </c>
      <c r="B255" s="63" t="s">
        <v>810</v>
      </c>
      <c r="C255" s="63" t="s">
        <v>605</v>
      </c>
      <c r="D255" s="63" t="str">
        <f>IF('Barn - Back Rack'!L31="","",TRIM('Barn - Back Rack'!L31))</f>
        <v/>
      </c>
      <c r="E255" s="64"/>
      <c r="F255" s="63">
        <f>IF($D255="",0,IF(ISNUMBER('Barn - Back Rack'!M31),'Barn - Back Rack'!M31,1))</f>
        <v>0</v>
      </c>
      <c r="G255" s="64" t="str">
        <f t="shared" si="14"/>
        <v/>
      </c>
      <c r="H255" s="64" t="str">
        <f t="shared" si="15"/>
        <v/>
      </c>
      <c r="I255" s="63">
        <f>IF($G255="",0,IF(COUNTIF($G$2:$G255,$G255)=1,1,0))</f>
        <v>0</v>
      </c>
      <c r="J255" s="63" t="str">
        <f t="shared" si="16"/>
        <v/>
      </c>
      <c r="K255" s="63" t="str">
        <f>IF($H255="","",COUNTIF($H$2:$H255,"?*"))</f>
        <v/>
      </c>
    </row>
    <row r="256" spans="1:11" x14ac:dyDescent="0.25">
      <c r="A256" s="63" t="s">
        <v>554</v>
      </c>
      <c r="B256" s="63" t="s">
        <v>811</v>
      </c>
      <c r="C256" s="63" t="s">
        <v>605</v>
      </c>
      <c r="D256" s="63" t="str">
        <f>IF('Barn - Back Rack'!L32="","",TRIM('Barn - Back Rack'!L32))</f>
        <v/>
      </c>
      <c r="E256" s="64"/>
      <c r="F256" s="63">
        <f>IF($D256="",0,IF(ISNUMBER('Barn - Back Rack'!M32),'Barn - Back Rack'!M32,1))</f>
        <v>0</v>
      </c>
      <c r="G256" s="64" t="str">
        <f t="shared" si="14"/>
        <v/>
      </c>
      <c r="H256" s="64" t="str">
        <f t="shared" si="15"/>
        <v/>
      </c>
      <c r="I256" s="63">
        <f>IF($G256="",0,IF(COUNTIF($G$2:$G256,$G256)=1,1,0))</f>
        <v>0</v>
      </c>
      <c r="J256" s="63" t="str">
        <f t="shared" si="16"/>
        <v/>
      </c>
      <c r="K256" s="63" t="str">
        <f>IF($H256="","",COUNTIF($H$2:$H256,"?*"))</f>
        <v/>
      </c>
    </row>
    <row r="257" spans="1:11" x14ac:dyDescent="0.25">
      <c r="A257" s="63" t="s">
        <v>554</v>
      </c>
      <c r="B257" s="63" t="s">
        <v>812</v>
      </c>
      <c r="C257" s="63" t="s">
        <v>605</v>
      </c>
      <c r="D257" s="63" t="str">
        <f>IF('Barn - Back Rack'!L33="","",TRIM('Barn - Back Rack'!L33))</f>
        <v/>
      </c>
      <c r="E257" s="64"/>
      <c r="F257" s="63">
        <f>IF($D257="",0,IF(ISNUMBER('Barn - Back Rack'!M33),'Barn - Back Rack'!M33,1))</f>
        <v>0</v>
      </c>
      <c r="G257" s="64" t="str">
        <f t="shared" si="14"/>
        <v/>
      </c>
      <c r="H257" s="64" t="str">
        <f t="shared" si="15"/>
        <v/>
      </c>
      <c r="I257" s="63">
        <f>IF($G257="",0,IF(COUNTIF($G$2:$G257,$G257)=1,1,0))</f>
        <v>0</v>
      </c>
      <c r="J257" s="63" t="str">
        <f t="shared" si="16"/>
        <v/>
      </c>
      <c r="K257" s="63" t="str">
        <f>IF($H257="","",COUNTIF($H$2:$H257,"?*"))</f>
        <v/>
      </c>
    </row>
    <row r="258" spans="1:11" x14ac:dyDescent="0.25">
      <c r="A258" s="63" t="s">
        <v>554</v>
      </c>
      <c r="B258" s="63" t="s">
        <v>813</v>
      </c>
      <c r="C258" s="63" t="s">
        <v>605</v>
      </c>
      <c r="D258" s="63" t="str">
        <f>IF('Barn - Back Rack'!L34="","",TRIM('Barn - Back Rack'!L34))</f>
        <v/>
      </c>
      <c r="E258" s="64"/>
      <c r="F258" s="63">
        <f>IF($D258="",0,IF(ISNUMBER('Barn - Back Rack'!M34),'Barn - Back Rack'!M34,1))</f>
        <v>0</v>
      </c>
      <c r="G258" s="64" t="str">
        <f t="shared" ref="G258:G321" si="19">IF($D258="","",IF(ISNUMBER(FIND("(",$D258)),TRIM(LEFT($D258,FIND("(",$D258)-1)),$D258))</f>
        <v/>
      </c>
      <c r="H258" s="64" t="str">
        <f t="shared" ref="H258:H321" si="20">IF($D258="","",IF(ISNUMBER(FIND("(",$D258)),TRIM(SUBSTITUTE(MID($D258,FIND("(",$D258)+1,200),")","")),""))</f>
        <v/>
      </c>
      <c r="I258" s="63">
        <f>IF($G258="",0,IF(COUNTIF($G$2:$G258,$G258)=1,1,0))</f>
        <v>0</v>
      </c>
      <c r="J258" s="63" t="str">
        <f t="shared" ref="J258:J321" si="21">IF($I258=0,"",SUMPRODUCT(($I$2:$I$1513=1)*($G$2:$G$1513&lt;$G258))+1)</f>
        <v/>
      </c>
      <c r="K258" s="63" t="str">
        <f>IF($H258="","",COUNTIF($H$2:$H258,"?*"))</f>
        <v/>
      </c>
    </row>
    <row r="259" spans="1:11" x14ac:dyDescent="0.25">
      <c r="A259" s="63" t="s">
        <v>554</v>
      </c>
      <c r="B259" s="63" t="s">
        <v>814</v>
      </c>
      <c r="C259" s="63" t="s">
        <v>605</v>
      </c>
      <c r="D259" s="63" t="str">
        <f>IF('Barn - Back Rack'!L35="","",TRIM('Barn - Back Rack'!L35))</f>
        <v/>
      </c>
      <c r="E259" s="64"/>
      <c r="F259" s="63">
        <f>IF($D259="",0,IF(ISNUMBER('Barn - Back Rack'!M35),'Barn - Back Rack'!M35,1))</f>
        <v>0</v>
      </c>
      <c r="G259" s="64" t="str">
        <f t="shared" si="19"/>
        <v/>
      </c>
      <c r="H259" s="64" t="str">
        <f t="shared" si="20"/>
        <v/>
      </c>
      <c r="I259" s="63">
        <f>IF($G259="",0,IF(COUNTIF($G$2:$G259,$G259)=1,1,0))</f>
        <v>0</v>
      </c>
      <c r="J259" s="63" t="str">
        <f t="shared" si="21"/>
        <v/>
      </c>
      <c r="K259" s="63" t="str">
        <f>IF($H259="","",COUNTIF($H$2:$H259,"?*"))</f>
        <v/>
      </c>
    </row>
    <row r="260" spans="1:11" x14ac:dyDescent="0.25">
      <c r="A260" s="63" t="s">
        <v>554</v>
      </c>
      <c r="B260" s="63" t="s">
        <v>815</v>
      </c>
      <c r="C260" s="63" t="s">
        <v>605</v>
      </c>
      <c r="D260" s="63" t="str">
        <f>IF('Barn - Back Rack'!L36="","",TRIM('Barn - Back Rack'!L36))</f>
        <v/>
      </c>
      <c r="E260" s="64"/>
      <c r="F260" s="63">
        <f>IF($D260="",0,IF(ISNUMBER('Barn - Back Rack'!M36),'Barn - Back Rack'!M36,1))</f>
        <v>0</v>
      </c>
      <c r="G260" s="64" t="str">
        <f t="shared" si="19"/>
        <v/>
      </c>
      <c r="H260" s="64" t="str">
        <f t="shared" si="20"/>
        <v/>
      </c>
      <c r="I260" s="63">
        <f>IF($G260="",0,IF(COUNTIF($G$2:$G260,$G260)=1,1,0))</f>
        <v>0</v>
      </c>
      <c r="J260" s="63" t="str">
        <f t="shared" si="21"/>
        <v/>
      </c>
      <c r="K260" s="63" t="str">
        <f>IF($H260="","",COUNTIF($H$2:$H260,"?*"))</f>
        <v/>
      </c>
    </row>
    <row r="261" spans="1:11" x14ac:dyDescent="0.25">
      <c r="A261" s="63" t="s">
        <v>554</v>
      </c>
      <c r="B261" s="63" t="s">
        <v>816</v>
      </c>
      <c r="C261" s="63" t="s">
        <v>605</v>
      </c>
      <c r="D261" s="63" t="str">
        <f>IF('Barn - Back Rack'!L37="","",TRIM('Barn - Back Rack'!L37))</f>
        <v/>
      </c>
      <c r="E261" s="64"/>
      <c r="F261" s="63">
        <f>IF($D261="",0,IF(ISNUMBER('Barn - Back Rack'!M37),'Barn - Back Rack'!M37,1))</f>
        <v>0</v>
      </c>
      <c r="G261" s="64" t="str">
        <f t="shared" si="19"/>
        <v/>
      </c>
      <c r="H261" s="64" t="str">
        <f t="shared" si="20"/>
        <v/>
      </c>
      <c r="I261" s="63">
        <f>IF($G261="",0,IF(COUNTIF($G$2:$G261,$G261)=1,1,0))</f>
        <v>0</v>
      </c>
      <c r="J261" s="63" t="str">
        <f t="shared" si="21"/>
        <v/>
      </c>
      <c r="K261" s="63" t="str">
        <f>IF($H261="","",COUNTIF($H$2:$H261,"?*"))</f>
        <v/>
      </c>
    </row>
    <row r="262" spans="1:11" x14ac:dyDescent="0.25">
      <c r="A262" s="63" t="s">
        <v>554</v>
      </c>
      <c r="B262" s="63" t="s">
        <v>817</v>
      </c>
      <c r="C262" s="63" t="s">
        <v>605</v>
      </c>
      <c r="D262" s="63" t="str">
        <f>IF('Barn - Back Rack'!L38="","",TRIM('Barn - Back Rack'!L38))</f>
        <v/>
      </c>
      <c r="E262" s="64"/>
      <c r="F262" s="63">
        <f>IF($D262="",0,IF(ISNUMBER('Barn - Back Rack'!M38),'Barn - Back Rack'!M38,1))</f>
        <v>0</v>
      </c>
      <c r="G262" s="64" t="str">
        <f t="shared" si="19"/>
        <v/>
      </c>
      <c r="H262" s="64" t="str">
        <f t="shared" si="20"/>
        <v/>
      </c>
      <c r="I262" s="63">
        <f>IF($G262="",0,IF(COUNTIF($G$2:$G262,$G262)=1,1,0))</f>
        <v>0</v>
      </c>
      <c r="J262" s="63" t="str">
        <f t="shared" si="21"/>
        <v/>
      </c>
      <c r="K262" s="63" t="str">
        <f>IF($H262="","",COUNTIF($H$2:$H262,"?*"))</f>
        <v/>
      </c>
    </row>
    <row r="263" spans="1:11" x14ac:dyDescent="0.25">
      <c r="A263" s="63" t="s">
        <v>554</v>
      </c>
      <c r="B263" s="63" t="s">
        <v>818</v>
      </c>
      <c r="C263" s="63" t="s">
        <v>605</v>
      </c>
      <c r="D263" s="63" t="str">
        <f>IF('Barn - Back Rack'!L39="","",TRIM('Barn - Back Rack'!L39))</f>
        <v/>
      </c>
      <c r="E263" s="64"/>
      <c r="F263" s="63">
        <f>IF($D263="",0,IF(ISNUMBER('Barn - Back Rack'!M39),'Barn - Back Rack'!M39,1))</f>
        <v>0</v>
      </c>
      <c r="G263" s="64" t="str">
        <f t="shared" si="19"/>
        <v/>
      </c>
      <c r="H263" s="64" t="str">
        <f t="shared" si="20"/>
        <v/>
      </c>
      <c r="I263" s="63">
        <f>IF($G263="",0,IF(COUNTIF($G$2:$G263,$G263)=1,1,0))</f>
        <v>0</v>
      </c>
      <c r="J263" s="63" t="str">
        <f t="shared" si="21"/>
        <v/>
      </c>
      <c r="K263" s="63" t="str">
        <f>IF($H263="","",COUNTIF($H$2:$H263,"?*"))</f>
        <v/>
      </c>
    </row>
    <row r="264" spans="1:11" x14ac:dyDescent="0.25">
      <c r="A264" s="63" t="s">
        <v>554</v>
      </c>
      <c r="B264" s="63" t="s">
        <v>819</v>
      </c>
      <c r="C264" s="63" t="s">
        <v>605</v>
      </c>
      <c r="D264" s="63" t="str">
        <f>IF('Barn - Back Rack'!L40="","",TRIM('Barn - Back Rack'!L40))</f>
        <v/>
      </c>
      <c r="E264" s="64"/>
      <c r="F264" s="63">
        <f>IF($D264="",0,IF(ISNUMBER('Barn - Back Rack'!M40),'Barn - Back Rack'!M40,1))</f>
        <v>0</v>
      </c>
      <c r="G264" s="64" t="str">
        <f t="shared" si="19"/>
        <v/>
      </c>
      <c r="H264" s="64" t="str">
        <f t="shared" si="20"/>
        <v/>
      </c>
      <c r="I264" s="63">
        <f>IF($G264="",0,IF(COUNTIF($G$2:$G264,$G264)=1,1,0))</f>
        <v>0</v>
      </c>
      <c r="J264" s="63" t="str">
        <f t="shared" si="21"/>
        <v/>
      </c>
      <c r="K264" s="63" t="str">
        <f>IF($H264="","",COUNTIF($H$2:$H264,"?*"))</f>
        <v/>
      </c>
    </row>
    <row r="265" spans="1:11" x14ac:dyDescent="0.25">
      <c r="A265" s="63" t="s">
        <v>554</v>
      </c>
      <c r="B265" s="63" t="s">
        <v>820</v>
      </c>
      <c r="C265" s="63" t="s">
        <v>605</v>
      </c>
      <c r="D265" s="63" t="str">
        <f>IF('Barn - Back Rack'!L41="","",TRIM('Barn - Back Rack'!L41))</f>
        <v/>
      </c>
      <c r="E265" s="64"/>
      <c r="F265" s="63">
        <f>IF($D265="",0,IF(ISNUMBER('Barn - Back Rack'!M41),'Barn - Back Rack'!M41,1))</f>
        <v>0</v>
      </c>
      <c r="G265" s="64" t="str">
        <f t="shared" si="19"/>
        <v/>
      </c>
      <c r="H265" s="64" t="str">
        <f t="shared" si="20"/>
        <v/>
      </c>
      <c r="I265" s="63">
        <f>IF($G265="",0,IF(COUNTIF($G$2:$G265,$G265)=1,1,0))</f>
        <v>0</v>
      </c>
      <c r="J265" s="63" t="str">
        <f t="shared" si="21"/>
        <v/>
      </c>
      <c r="K265" s="63" t="str">
        <f>IF($H265="","",COUNTIF($H$2:$H265,"?*"))</f>
        <v/>
      </c>
    </row>
    <row r="266" spans="1:11" x14ac:dyDescent="0.25">
      <c r="A266" s="63" t="s">
        <v>554</v>
      </c>
      <c r="B266" s="63" t="s">
        <v>821</v>
      </c>
      <c r="C266" s="63" t="s">
        <v>556</v>
      </c>
      <c r="D266" s="63" t="str">
        <f>IF('Barn - Back Rack'!N30="","",TRIM('Barn - Back Rack'!N30))</f>
        <v>Eversys e'4s (Vida)</v>
      </c>
      <c r="E266" s="64" t="str">
        <f>IF($D266="","",'Barn - Back Rack'!O30&amp;"")</f>
        <v/>
      </c>
      <c r="F266" s="63">
        <f t="shared" ref="F266:F297" si="22">IF($D266="",0,1)</f>
        <v>1</v>
      </c>
      <c r="G266" s="64" t="str">
        <f t="shared" si="19"/>
        <v>Eversys e'4s</v>
      </c>
      <c r="H266" s="64" t="str">
        <f t="shared" si="20"/>
        <v>Vida</v>
      </c>
      <c r="I266" s="63">
        <f>IF($G266="",0,IF(COUNTIF($G$2:$G266,$G266)=1,1,0))</f>
        <v>1</v>
      </c>
      <c r="J266" s="63">
        <f t="shared" si="21"/>
        <v>42</v>
      </c>
      <c r="K266" s="63">
        <f>IF($H266="","",COUNTIF($H$2:$H266,"?*"))</f>
        <v>1</v>
      </c>
    </row>
    <row r="267" spans="1:11" x14ac:dyDescent="0.25">
      <c r="A267" s="63" t="s">
        <v>554</v>
      </c>
      <c r="B267" s="63" t="s">
        <v>822</v>
      </c>
      <c r="C267" s="63" t="s">
        <v>556</v>
      </c>
      <c r="D267" s="63" t="str">
        <f>IF('Barn - Back Rack'!N31="","",TRIM('Barn - Back Rack'!N31))</f>
        <v/>
      </c>
      <c r="E267" s="64" t="str">
        <f>IF($D267="","",'Barn - Back Rack'!O31&amp;"")</f>
        <v/>
      </c>
      <c r="F267" s="63">
        <f t="shared" si="22"/>
        <v>0</v>
      </c>
      <c r="G267" s="64" t="str">
        <f t="shared" si="19"/>
        <v/>
      </c>
      <c r="H267" s="64" t="str">
        <f t="shared" si="20"/>
        <v/>
      </c>
      <c r="I267" s="63">
        <f>IF($G267="",0,IF(COUNTIF($G$2:$G267,$G267)=1,1,0))</f>
        <v>0</v>
      </c>
      <c r="J267" s="63" t="str">
        <f t="shared" si="21"/>
        <v/>
      </c>
      <c r="K267" s="63" t="str">
        <f>IF($H267="","",COUNTIF($H$2:$H267,"?*"))</f>
        <v/>
      </c>
    </row>
    <row r="268" spans="1:11" x14ac:dyDescent="0.25">
      <c r="A268" s="63" t="s">
        <v>554</v>
      </c>
      <c r="B268" s="63" t="s">
        <v>823</v>
      </c>
      <c r="C268" s="63" t="s">
        <v>556</v>
      </c>
      <c r="D268" s="63" t="str">
        <f>IF('Barn - Back Rack'!N32="","",TRIM('Barn - Back Rack'!N32))</f>
        <v/>
      </c>
      <c r="E268" s="64" t="str">
        <f>IF($D268="","",'Barn - Back Rack'!O32&amp;"")</f>
        <v/>
      </c>
      <c r="F268" s="63">
        <f t="shared" si="22"/>
        <v>0</v>
      </c>
      <c r="G268" s="64" t="str">
        <f t="shared" si="19"/>
        <v/>
      </c>
      <c r="H268" s="64" t="str">
        <f t="shared" si="20"/>
        <v/>
      </c>
      <c r="I268" s="63">
        <f>IF($G268="",0,IF(COUNTIF($G$2:$G268,$G268)=1,1,0))</f>
        <v>0</v>
      </c>
      <c r="J268" s="63" t="str">
        <f t="shared" si="21"/>
        <v/>
      </c>
      <c r="K268" s="63" t="str">
        <f>IF($H268="","",COUNTIF($H$2:$H268,"?*"))</f>
        <v/>
      </c>
    </row>
    <row r="269" spans="1:11" x14ac:dyDescent="0.25">
      <c r="A269" s="63" t="s">
        <v>554</v>
      </c>
      <c r="B269" s="63" t="s">
        <v>824</v>
      </c>
      <c r="C269" s="63" t="s">
        <v>556</v>
      </c>
      <c r="D269" s="63" t="str">
        <f>IF('Barn - Back Rack'!N33="","",TRIM('Barn - Back Rack'!N33))</f>
        <v/>
      </c>
      <c r="E269" s="64" t="str">
        <f>IF($D269="","",'Barn - Back Rack'!O33&amp;"")</f>
        <v/>
      </c>
      <c r="F269" s="63">
        <f t="shared" si="22"/>
        <v>0</v>
      </c>
      <c r="G269" s="64" t="str">
        <f t="shared" si="19"/>
        <v/>
      </c>
      <c r="H269" s="64" t="str">
        <f t="shared" si="20"/>
        <v/>
      </c>
      <c r="I269" s="63">
        <f>IF($G269="",0,IF(COUNTIF($G$2:$G269,$G269)=1,1,0))</f>
        <v>0</v>
      </c>
      <c r="J269" s="63" t="str">
        <f t="shared" si="21"/>
        <v/>
      </c>
      <c r="K269" s="63" t="str">
        <f>IF($H269="","",COUNTIF($H$2:$H269,"?*"))</f>
        <v/>
      </c>
    </row>
    <row r="270" spans="1:11" x14ac:dyDescent="0.25">
      <c r="A270" s="63" t="s">
        <v>554</v>
      </c>
      <c r="B270" s="63" t="s">
        <v>825</v>
      </c>
      <c r="C270" s="63" t="s">
        <v>556</v>
      </c>
      <c r="D270" s="63" t="str">
        <f>IF('Barn - Back Rack'!N34="","",TRIM('Barn - Back Rack'!N34))</f>
        <v/>
      </c>
      <c r="E270" s="64" t="str">
        <f>IF($D270="","",'Barn - Back Rack'!O34&amp;"")</f>
        <v/>
      </c>
      <c r="F270" s="63">
        <f t="shared" si="22"/>
        <v>0</v>
      </c>
      <c r="G270" s="64" t="str">
        <f t="shared" si="19"/>
        <v/>
      </c>
      <c r="H270" s="64" t="str">
        <f t="shared" si="20"/>
        <v/>
      </c>
      <c r="I270" s="63">
        <f>IF($G270="",0,IF(COUNTIF($G$2:$G270,$G270)=1,1,0))</f>
        <v>0</v>
      </c>
      <c r="J270" s="63" t="str">
        <f t="shared" si="21"/>
        <v/>
      </c>
      <c r="K270" s="63" t="str">
        <f>IF($H270="","",COUNTIF($H$2:$H270,"?*"))</f>
        <v/>
      </c>
    </row>
    <row r="271" spans="1:11" x14ac:dyDescent="0.25">
      <c r="A271" s="63" t="s">
        <v>554</v>
      </c>
      <c r="B271" s="63" t="s">
        <v>826</v>
      </c>
      <c r="C271" s="63" t="s">
        <v>556</v>
      </c>
      <c r="D271" s="63" t="str">
        <f>IF('Barn - Back Rack'!N35="","",TRIM('Barn - Back Rack'!N35))</f>
        <v/>
      </c>
      <c r="E271" s="64" t="str">
        <f>IF($D271="","",'Barn - Back Rack'!O35&amp;"")</f>
        <v/>
      </c>
      <c r="F271" s="63">
        <f t="shared" si="22"/>
        <v>0</v>
      </c>
      <c r="G271" s="64" t="str">
        <f t="shared" si="19"/>
        <v/>
      </c>
      <c r="H271" s="64" t="str">
        <f t="shared" si="20"/>
        <v/>
      </c>
      <c r="I271" s="63">
        <f>IF($G271="",0,IF(COUNTIF($G$2:$G271,$G271)=1,1,0))</f>
        <v>0</v>
      </c>
      <c r="J271" s="63" t="str">
        <f t="shared" si="21"/>
        <v/>
      </c>
      <c r="K271" s="63" t="str">
        <f>IF($H271="","",COUNTIF($H$2:$H271,"?*"))</f>
        <v/>
      </c>
    </row>
    <row r="272" spans="1:11" x14ac:dyDescent="0.25">
      <c r="A272" s="63" t="s">
        <v>554</v>
      </c>
      <c r="B272" s="63" t="s">
        <v>827</v>
      </c>
      <c r="C272" s="63" t="s">
        <v>556</v>
      </c>
      <c r="D272" s="63" t="str">
        <f>IF('Barn - Back Rack'!N36="","",TRIM('Barn - Back Rack'!N36))</f>
        <v/>
      </c>
      <c r="E272" s="64" t="str">
        <f>IF($D272="","",'Barn - Back Rack'!O36&amp;"")</f>
        <v/>
      </c>
      <c r="F272" s="63">
        <f t="shared" si="22"/>
        <v>0</v>
      </c>
      <c r="G272" s="64" t="str">
        <f t="shared" si="19"/>
        <v/>
      </c>
      <c r="H272" s="64" t="str">
        <f t="shared" si="20"/>
        <v/>
      </c>
      <c r="I272" s="63">
        <f>IF($G272="",0,IF(COUNTIF($G$2:$G272,$G272)=1,1,0))</f>
        <v>0</v>
      </c>
      <c r="J272" s="63" t="str">
        <f t="shared" si="21"/>
        <v/>
      </c>
      <c r="K272" s="63" t="str">
        <f>IF($H272="","",COUNTIF($H$2:$H272,"?*"))</f>
        <v/>
      </c>
    </row>
    <row r="273" spans="1:11" x14ac:dyDescent="0.25">
      <c r="A273" s="63" t="s">
        <v>554</v>
      </c>
      <c r="B273" s="63" t="s">
        <v>828</v>
      </c>
      <c r="C273" s="63" t="s">
        <v>556</v>
      </c>
      <c r="D273" s="63" t="str">
        <f>IF('Barn - Back Rack'!N37="","",TRIM('Barn - Back Rack'!N37))</f>
        <v/>
      </c>
      <c r="E273" s="64" t="str">
        <f>IF($D273="","",'Barn - Back Rack'!O37&amp;"")</f>
        <v/>
      </c>
      <c r="F273" s="63">
        <f t="shared" si="22"/>
        <v>0</v>
      </c>
      <c r="G273" s="64" t="str">
        <f t="shared" si="19"/>
        <v/>
      </c>
      <c r="H273" s="64" t="str">
        <f t="shared" si="20"/>
        <v/>
      </c>
      <c r="I273" s="63">
        <f>IF($G273="",0,IF(COUNTIF($G$2:$G273,$G273)=1,1,0))</f>
        <v>0</v>
      </c>
      <c r="J273" s="63" t="str">
        <f t="shared" si="21"/>
        <v/>
      </c>
      <c r="K273" s="63" t="str">
        <f>IF($H273="","",COUNTIF($H$2:$H273,"?*"))</f>
        <v/>
      </c>
    </row>
    <row r="274" spans="1:11" x14ac:dyDescent="0.25">
      <c r="A274" s="63" t="s">
        <v>554</v>
      </c>
      <c r="B274" s="63" t="s">
        <v>829</v>
      </c>
      <c r="C274" s="63" t="s">
        <v>556</v>
      </c>
      <c r="D274" s="63" t="str">
        <f>IF('Barn - Back Rack'!N38="","",TRIM('Barn - Back Rack'!N38))</f>
        <v/>
      </c>
      <c r="E274" s="64" t="str">
        <f>IF($D274="","",'Barn - Back Rack'!O38&amp;"")</f>
        <v/>
      </c>
      <c r="F274" s="63">
        <f t="shared" si="22"/>
        <v>0</v>
      </c>
      <c r="G274" s="64" t="str">
        <f t="shared" si="19"/>
        <v/>
      </c>
      <c r="H274" s="64" t="str">
        <f t="shared" si="20"/>
        <v/>
      </c>
      <c r="I274" s="63">
        <f>IF($G274="",0,IF(COUNTIF($G$2:$G274,$G274)=1,1,0))</f>
        <v>0</v>
      </c>
      <c r="J274" s="63" t="str">
        <f t="shared" si="21"/>
        <v/>
      </c>
      <c r="K274" s="63" t="str">
        <f>IF($H274="","",COUNTIF($H$2:$H274,"?*"))</f>
        <v/>
      </c>
    </row>
    <row r="275" spans="1:11" x14ac:dyDescent="0.25">
      <c r="A275" s="63" t="s">
        <v>554</v>
      </c>
      <c r="B275" s="63" t="s">
        <v>830</v>
      </c>
      <c r="C275" s="63" t="s">
        <v>556</v>
      </c>
      <c r="D275" s="63" t="str">
        <f>IF('Barn - Back Rack'!N39="","",TRIM('Barn - Back Rack'!N39))</f>
        <v/>
      </c>
      <c r="E275" s="64" t="str">
        <f>IF($D275="","",'Barn - Back Rack'!O39&amp;"")</f>
        <v/>
      </c>
      <c r="F275" s="63">
        <f t="shared" si="22"/>
        <v>0</v>
      </c>
      <c r="G275" s="64" t="str">
        <f t="shared" si="19"/>
        <v/>
      </c>
      <c r="H275" s="64" t="str">
        <f t="shared" si="20"/>
        <v/>
      </c>
      <c r="I275" s="63">
        <f>IF($G275="",0,IF(COUNTIF($G$2:$G275,$G275)=1,1,0))</f>
        <v>0</v>
      </c>
      <c r="J275" s="63" t="str">
        <f t="shared" si="21"/>
        <v/>
      </c>
      <c r="K275" s="63" t="str">
        <f>IF($H275="","",COUNTIF($H$2:$H275,"?*"))</f>
        <v/>
      </c>
    </row>
    <row r="276" spans="1:11" x14ac:dyDescent="0.25">
      <c r="A276" s="63" t="s">
        <v>554</v>
      </c>
      <c r="B276" s="63" t="s">
        <v>831</v>
      </c>
      <c r="C276" s="63" t="s">
        <v>556</v>
      </c>
      <c r="D276" s="63" t="str">
        <f>IF('Barn - Back Rack'!N40="","",TRIM('Barn - Back Rack'!N40))</f>
        <v/>
      </c>
      <c r="E276" s="64" t="str">
        <f>IF($D276="","",'Barn - Back Rack'!O40&amp;"")</f>
        <v/>
      </c>
      <c r="F276" s="63">
        <f t="shared" si="22"/>
        <v>0</v>
      </c>
      <c r="G276" s="64" t="str">
        <f t="shared" si="19"/>
        <v/>
      </c>
      <c r="H276" s="64" t="str">
        <f t="shared" si="20"/>
        <v/>
      </c>
      <c r="I276" s="63">
        <f>IF($G276="",0,IF(COUNTIF($G$2:$G276,$G276)=1,1,0))</f>
        <v>0</v>
      </c>
      <c r="J276" s="63" t="str">
        <f t="shared" si="21"/>
        <v/>
      </c>
      <c r="K276" s="63" t="str">
        <f>IF($H276="","",COUNTIF($H$2:$H276,"?*"))</f>
        <v/>
      </c>
    </row>
    <row r="277" spans="1:11" x14ac:dyDescent="0.25">
      <c r="A277" s="63" t="s">
        <v>554</v>
      </c>
      <c r="B277" s="63" t="s">
        <v>832</v>
      </c>
      <c r="C277" s="63" t="s">
        <v>556</v>
      </c>
      <c r="D277" s="63" t="str">
        <f>IF('Barn - Back Rack'!N41="","",TRIM('Barn - Back Rack'!N41))</f>
        <v/>
      </c>
      <c r="E277" s="64" t="str">
        <f>IF($D277="","",'Barn - Back Rack'!O41&amp;"")</f>
        <v/>
      </c>
      <c r="F277" s="63">
        <f t="shared" si="22"/>
        <v>0</v>
      </c>
      <c r="G277" s="64" t="str">
        <f t="shared" si="19"/>
        <v/>
      </c>
      <c r="H277" s="64" t="str">
        <f t="shared" si="20"/>
        <v/>
      </c>
      <c r="I277" s="63">
        <f>IF($G277="",0,IF(COUNTIF($G$2:$G277,$G277)=1,1,0))</f>
        <v>0</v>
      </c>
      <c r="J277" s="63" t="str">
        <f t="shared" si="21"/>
        <v/>
      </c>
      <c r="K277" s="63" t="str">
        <f>IF($H277="","",COUNTIF($H$2:$H277,"?*"))</f>
        <v/>
      </c>
    </row>
    <row r="278" spans="1:11" x14ac:dyDescent="0.25">
      <c r="A278" s="63" t="s">
        <v>554</v>
      </c>
      <c r="B278" s="63" t="s">
        <v>833</v>
      </c>
      <c r="C278" s="63" t="s">
        <v>556</v>
      </c>
      <c r="D278" s="63" t="str">
        <f>IF('Barn - Back Rack'!P30="","",TRIM('Barn - Back Rack'!P30))</f>
        <v>Eversys Cameo c'2s</v>
      </c>
      <c r="E278" s="64" t="str">
        <f>IF($D278="","",'Barn - Back Rack'!Q30&amp;"")</f>
        <v>0183130226090C0003</v>
      </c>
      <c r="F278" s="63">
        <f t="shared" si="22"/>
        <v>1</v>
      </c>
      <c r="G278" s="64" t="str">
        <f t="shared" si="19"/>
        <v>Eversys Cameo c'2s</v>
      </c>
      <c r="H278" s="64" t="str">
        <f t="shared" si="20"/>
        <v/>
      </c>
      <c r="I278" s="63">
        <f>IF($G278="",0,IF(COUNTIF($G$2:$G278,$G278)=1,1,0))</f>
        <v>1</v>
      </c>
      <c r="J278" s="63">
        <f t="shared" si="21"/>
        <v>39</v>
      </c>
      <c r="K278" s="63" t="str">
        <f>IF($H278="","",COUNTIF($H$2:$H278,"?*"))</f>
        <v/>
      </c>
    </row>
    <row r="279" spans="1:11" x14ac:dyDescent="0.25">
      <c r="A279" s="63" t="s">
        <v>554</v>
      </c>
      <c r="B279" s="63" t="s">
        <v>834</v>
      </c>
      <c r="C279" s="63" t="s">
        <v>556</v>
      </c>
      <c r="D279" s="63" t="str">
        <f>IF('Barn - Back Rack'!P31="","",TRIM('Barn - Back Rack'!P31))</f>
        <v/>
      </c>
      <c r="E279" s="64" t="str">
        <f>IF($D279="","",'Barn - Back Rack'!Q31&amp;"")</f>
        <v/>
      </c>
      <c r="F279" s="63">
        <f t="shared" si="22"/>
        <v>0</v>
      </c>
      <c r="G279" s="64" t="str">
        <f t="shared" si="19"/>
        <v/>
      </c>
      <c r="H279" s="64" t="str">
        <f t="shared" si="20"/>
        <v/>
      </c>
      <c r="I279" s="63">
        <f>IF($G279="",0,IF(COUNTIF($G$2:$G279,$G279)=1,1,0))</f>
        <v>0</v>
      </c>
      <c r="J279" s="63" t="str">
        <f t="shared" si="21"/>
        <v/>
      </c>
      <c r="K279" s="63" t="str">
        <f>IF($H279="","",COUNTIF($H$2:$H279,"?*"))</f>
        <v/>
      </c>
    </row>
    <row r="280" spans="1:11" x14ac:dyDescent="0.25">
      <c r="A280" s="63" t="s">
        <v>554</v>
      </c>
      <c r="B280" s="63" t="s">
        <v>835</v>
      </c>
      <c r="C280" s="63" t="s">
        <v>556</v>
      </c>
      <c r="D280" s="63" t="str">
        <f>IF('Barn - Back Rack'!P32="","",TRIM('Barn - Back Rack'!P32))</f>
        <v/>
      </c>
      <c r="E280" s="64" t="str">
        <f>IF($D280="","",'Barn - Back Rack'!Q32&amp;"")</f>
        <v/>
      </c>
      <c r="F280" s="63">
        <f t="shared" si="22"/>
        <v>0</v>
      </c>
      <c r="G280" s="64" t="str">
        <f t="shared" si="19"/>
        <v/>
      </c>
      <c r="H280" s="64" t="str">
        <f t="shared" si="20"/>
        <v/>
      </c>
      <c r="I280" s="63">
        <f>IF($G280="",0,IF(COUNTIF($G$2:$G280,$G280)=1,1,0))</f>
        <v>0</v>
      </c>
      <c r="J280" s="63" t="str">
        <f t="shared" si="21"/>
        <v/>
      </c>
      <c r="K280" s="63" t="str">
        <f>IF($H280="","",COUNTIF($H$2:$H280,"?*"))</f>
        <v/>
      </c>
    </row>
    <row r="281" spans="1:11" x14ac:dyDescent="0.25">
      <c r="A281" s="63" t="s">
        <v>554</v>
      </c>
      <c r="B281" s="63" t="s">
        <v>836</v>
      </c>
      <c r="C281" s="63" t="s">
        <v>556</v>
      </c>
      <c r="D281" s="63" t="str">
        <f>IF('Barn - Back Rack'!P33="","",TRIM('Barn - Back Rack'!P33))</f>
        <v/>
      </c>
      <c r="E281" s="64" t="str">
        <f>IF($D281="","",'Barn - Back Rack'!Q33&amp;"")</f>
        <v/>
      </c>
      <c r="F281" s="63">
        <f t="shared" si="22"/>
        <v>0</v>
      </c>
      <c r="G281" s="64" t="str">
        <f t="shared" si="19"/>
        <v/>
      </c>
      <c r="H281" s="64" t="str">
        <f t="shared" si="20"/>
        <v/>
      </c>
      <c r="I281" s="63">
        <f>IF($G281="",0,IF(COUNTIF($G$2:$G281,$G281)=1,1,0))</f>
        <v>0</v>
      </c>
      <c r="J281" s="63" t="str">
        <f t="shared" si="21"/>
        <v/>
      </c>
      <c r="K281" s="63" t="str">
        <f>IF($H281="","",COUNTIF($H$2:$H281,"?*"))</f>
        <v/>
      </c>
    </row>
    <row r="282" spans="1:11" x14ac:dyDescent="0.25">
      <c r="A282" s="63" t="s">
        <v>554</v>
      </c>
      <c r="B282" s="63" t="s">
        <v>837</v>
      </c>
      <c r="C282" s="63" t="s">
        <v>556</v>
      </c>
      <c r="D282" s="63" t="str">
        <f>IF('Barn - Back Rack'!P34="","",TRIM('Barn - Back Rack'!P34))</f>
        <v/>
      </c>
      <c r="E282" s="64" t="str">
        <f>IF($D282="","",'Barn - Back Rack'!Q34&amp;"")</f>
        <v/>
      </c>
      <c r="F282" s="63">
        <f t="shared" si="22"/>
        <v>0</v>
      </c>
      <c r="G282" s="64" t="str">
        <f t="shared" si="19"/>
        <v/>
      </c>
      <c r="H282" s="64" t="str">
        <f t="shared" si="20"/>
        <v/>
      </c>
      <c r="I282" s="63">
        <f>IF($G282="",0,IF(COUNTIF($G$2:$G282,$G282)=1,1,0))</f>
        <v>0</v>
      </c>
      <c r="J282" s="63" t="str">
        <f t="shared" si="21"/>
        <v/>
      </c>
      <c r="K282" s="63" t="str">
        <f>IF($H282="","",COUNTIF($H$2:$H282,"?*"))</f>
        <v/>
      </c>
    </row>
    <row r="283" spans="1:11" x14ac:dyDescent="0.25">
      <c r="A283" s="63" t="s">
        <v>554</v>
      </c>
      <c r="B283" s="63" t="s">
        <v>838</v>
      </c>
      <c r="C283" s="63" t="s">
        <v>556</v>
      </c>
      <c r="D283" s="63" t="str">
        <f>IF('Barn - Back Rack'!P35="","",TRIM('Barn - Back Rack'!P35))</f>
        <v/>
      </c>
      <c r="E283" s="64" t="str">
        <f>IF($D283="","",'Barn - Back Rack'!Q35&amp;"")</f>
        <v/>
      </c>
      <c r="F283" s="63">
        <f t="shared" si="22"/>
        <v>0</v>
      </c>
      <c r="G283" s="64" t="str">
        <f t="shared" si="19"/>
        <v/>
      </c>
      <c r="H283" s="64" t="str">
        <f t="shared" si="20"/>
        <v/>
      </c>
      <c r="I283" s="63">
        <f>IF($G283="",0,IF(COUNTIF($G$2:$G283,$G283)=1,1,0))</f>
        <v>0</v>
      </c>
      <c r="J283" s="63" t="str">
        <f t="shared" si="21"/>
        <v/>
      </c>
      <c r="K283" s="63" t="str">
        <f>IF($H283="","",COUNTIF($H$2:$H283,"?*"))</f>
        <v/>
      </c>
    </row>
    <row r="284" spans="1:11" x14ac:dyDescent="0.25">
      <c r="A284" s="63" t="s">
        <v>554</v>
      </c>
      <c r="B284" s="63" t="s">
        <v>839</v>
      </c>
      <c r="C284" s="63" t="s">
        <v>556</v>
      </c>
      <c r="D284" s="63" t="str">
        <f>IF('Barn - Back Rack'!P36="","",TRIM('Barn - Back Rack'!P36))</f>
        <v/>
      </c>
      <c r="E284" s="64" t="str">
        <f>IF($D284="","",'Barn - Back Rack'!Q36&amp;"")</f>
        <v/>
      </c>
      <c r="F284" s="63">
        <f t="shared" si="22"/>
        <v>0</v>
      </c>
      <c r="G284" s="64" t="str">
        <f t="shared" si="19"/>
        <v/>
      </c>
      <c r="H284" s="64" t="str">
        <f t="shared" si="20"/>
        <v/>
      </c>
      <c r="I284" s="63">
        <f>IF($G284="",0,IF(COUNTIF($G$2:$G284,$G284)=1,1,0))</f>
        <v>0</v>
      </c>
      <c r="J284" s="63" t="str">
        <f t="shared" si="21"/>
        <v/>
      </c>
      <c r="K284" s="63" t="str">
        <f>IF($H284="","",COUNTIF($H$2:$H284,"?*"))</f>
        <v/>
      </c>
    </row>
    <row r="285" spans="1:11" x14ac:dyDescent="0.25">
      <c r="A285" s="63" t="s">
        <v>554</v>
      </c>
      <c r="B285" s="63" t="s">
        <v>840</v>
      </c>
      <c r="C285" s="63" t="s">
        <v>556</v>
      </c>
      <c r="D285" s="63" t="str">
        <f>IF('Barn - Back Rack'!P37="","",TRIM('Barn - Back Rack'!P37))</f>
        <v/>
      </c>
      <c r="E285" s="64" t="str">
        <f>IF($D285="","",'Barn - Back Rack'!Q37&amp;"")</f>
        <v/>
      </c>
      <c r="F285" s="63">
        <f t="shared" si="22"/>
        <v>0</v>
      </c>
      <c r="G285" s="64" t="str">
        <f t="shared" si="19"/>
        <v/>
      </c>
      <c r="H285" s="64" t="str">
        <f t="shared" si="20"/>
        <v/>
      </c>
      <c r="I285" s="63">
        <f>IF($G285="",0,IF(COUNTIF($G$2:$G285,$G285)=1,1,0))</f>
        <v>0</v>
      </c>
      <c r="J285" s="63" t="str">
        <f t="shared" si="21"/>
        <v/>
      </c>
      <c r="K285" s="63" t="str">
        <f>IF($H285="","",COUNTIF($H$2:$H285,"?*"))</f>
        <v/>
      </c>
    </row>
    <row r="286" spans="1:11" x14ac:dyDescent="0.25">
      <c r="A286" s="63" t="s">
        <v>554</v>
      </c>
      <c r="B286" s="63" t="s">
        <v>841</v>
      </c>
      <c r="C286" s="63" t="s">
        <v>556</v>
      </c>
      <c r="D286" s="63" t="str">
        <f>IF('Barn - Back Rack'!P38="","",TRIM('Barn - Back Rack'!P38))</f>
        <v/>
      </c>
      <c r="E286" s="64" t="str">
        <f>IF($D286="","",'Barn - Back Rack'!Q38&amp;"")</f>
        <v/>
      </c>
      <c r="F286" s="63">
        <f t="shared" si="22"/>
        <v>0</v>
      </c>
      <c r="G286" s="64" t="str">
        <f t="shared" si="19"/>
        <v/>
      </c>
      <c r="H286" s="64" t="str">
        <f t="shared" si="20"/>
        <v/>
      </c>
      <c r="I286" s="63">
        <f>IF($G286="",0,IF(COUNTIF($G$2:$G286,$G286)=1,1,0))</f>
        <v>0</v>
      </c>
      <c r="J286" s="63" t="str">
        <f t="shared" si="21"/>
        <v/>
      </c>
      <c r="K286" s="63" t="str">
        <f>IF($H286="","",COUNTIF($H$2:$H286,"?*"))</f>
        <v/>
      </c>
    </row>
    <row r="287" spans="1:11" x14ac:dyDescent="0.25">
      <c r="A287" s="63" t="s">
        <v>554</v>
      </c>
      <c r="B287" s="63" t="s">
        <v>842</v>
      </c>
      <c r="C287" s="63" t="s">
        <v>556</v>
      </c>
      <c r="D287" s="63" t="str">
        <f>IF('Barn - Back Rack'!P39="","",TRIM('Barn - Back Rack'!P39))</f>
        <v/>
      </c>
      <c r="E287" s="64" t="str">
        <f>IF($D287="","",'Barn - Back Rack'!Q39&amp;"")</f>
        <v/>
      </c>
      <c r="F287" s="63">
        <f t="shared" si="22"/>
        <v>0</v>
      </c>
      <c r="G287" s="64" t="str">
        <f t="shared" si="19"/>
        <v/>
      </c>
      <c r="H287" s="64" t="str">
        <f t="shared" si="20"/>
        <v/>
      </c>
      <c r="I287" s="63">
        <f>IF($G287="",0,IF(COUNTIF($G$2:$G287,$G287)=1,1,0))</f>
        <v>0</v>
      </c>
      <c r="J287" s="63" t="str">
        <f t="shared" si="21"/>
        <v/>
      </c>
      <c r="K287" s="63" t="str">
        <f>IF($H287="","",COUNTIF($H$2:$H287,"?*"))</f>
        <v/>
      </c>
    </row>
    <row r="288" spans="1:11" x14ac:dyDescent="0.25">
      <c r="A288" s="63" t="s">
        <v>554</v>
      </c>
      <c r="B288" s="63" t="s">
        <v>843</v>
      </c>
      <c r="C288" s="63" t="s">
        <v>556</v>
      </c>
      <c r="D288" s="63" t="str">
        <f>IF('Barn - Back Rack'!P40="","",TRIM('Barn - Back Rack'!P40))</f>
        <v/>
      </c>
      <c r="E288" s="64" t="str">
        <f>IF($D288="","",'Barn - Back Rack'!Q40&amp;"")</f>
        <v/>
      </c>
      <c r="F288" s="63">
        <f t="shared" si="22"/>
        <v>0</v>
      </c>
      <c r="G288" s="64" t="str">
        <f t="shared" si="19"/>
        <v/>
      </c>
      <c r="H288" s="64" t="str">
        <f t="shared" si="20"/>
        <v/>
      </c>
      <c r="I288" s="63">
        <f>IF($G288="",0,IF(COUNTIF($G$2:$G288,$G288)=1,1,0))</f>
        <v>0</v>
      </c>
      <c r="J288" s="63" t="str">
        <f t="shared" si="21"/>
        <v/>
      </c>
      <c r="K288" s="63" t="str">
        <f>IF($H288="","",COUNTIF($H$2:$H288,"?*"))</f>
        <v/>
      </c>
    </row>
    <row r="289" spans="1:11" x14ac:dyDescent="0.25">
      <c r="A289" s="63" t="s">
        <v>554</v>
      </c>
      <c r="B289" s="63" t="s">
        <v>844</v>
      </c>
      <c r="C289" s="63" t="s">
        <v>556</v>
      </c>
      <c r="D289" s="63" t="str">
        <f>IF('Barn - Back Rack'!P41="","",TRIM('Barn - Back Rack'!P41))</f>
        <v/>
      </c>
      <c r="E289" s="64" t="str">
        <f>IF($D289="","",'Barn - Back Rack'!Q41&amp;"")</f>
        <v/>
      </c>
      <c r="F289" s="63">
        <f t="shared" si="22"/>
        <v>0</v>
      </c>
      <c r="G289" s="64" t="str">
        <f t="shared" si="19"/>
        <v/>
      </c>
      <c r="H289" s="64" t="str">
        <f t="shared" si="20"/>
        <v/>
      </c>
      <c r="I289" s="63">
        <f>IF($G289="",0,IF(COUNTIF($G$2:$G289,$G289)=1,1,0))</f>
        <v>0</v>
      </c>
      <c r="J289" s="63" t="str">
        <f t="shared" si="21"/>
        <v/>
      </c>
      <c r="K289" s="63" t="str">
        <f>IF($H289="","",COUNTIF($H$2:$H289,"?*"))</f>
        <v/>
      </c>
    </row>
    <row r="290" spans="1:11" x14ac:dyDescent="0.25">
      <c r="A290" s="63" t="s">
        <v>554</v>
      </c>
      <c r="B290" s="63" t="s">
        <v>845</v>
      </c>
      <c r="C290" s="63" t="s">
        <v>556</v>
      </c>
      <c r="D290" s="63" t="str">
        <f>IF('Barn - Back Rack'!R30="","",TRIM('Barn - Back Rack'!R30))</f>
        <v>Bunn G9-2T</v>
      </c>
      <c r="E290" s="64" t="str">
        <f>IF($D290="","",'Barn - Back Rack'!S30&amp;"")</f>
        <v>N/A</v>
      </c>
      <c r="F290" s="63">
        <f t="shared" si="22"/>
        <v>1</v>
      </c>
      <c r="G290" s="64" t="str">
        <f t="shared" si="19"/>
        <v>Bunn G9-2T</v>
      </c>
      <c r="H290" s="64" t="str">
        <f t="shared" si="20"/>
        <v/>
      </c>
      <c r="I290" s="63">
        <f>IF($G290="",0,IF(COUNTIF($G$2:$G290,$G290)=1,1,0))</f>
        <v>0</v>
      </c>
      <c r="J290" s="63" t="str">
        <f t="shared" si="21"/>
        <v/>
      </c>
      <c r="K290" s="63" t="str">
        <f>IF($H290="","",COUNTIF($H$2:$H290,"?*"))</f>
        <v/>
      </c>
    </row>
    <row r="291" spans="1:11" x14ac:dyDescent="0.25">
      <c r="A291" s="63" t="s">
        <v>554</v>
      </c>
      <c r="B291" s="63" t="s">
        <v>846</v>
      </c>
      <c r="C291" s="63" t="s">
        <v>556</v>
      </c>
      <c r="D291" s="63" t="str">
        <f>IF('Barn - Back Rack'!R31="","",TRIM('Barn - Back Rack'!R31))</f>
        <v>Bunn G9-2T</v>
      </c>
      <c r="E291" s="64" t="str">
        <f>IF($D291="","",'Barn - Back Rack'!S31&amp;"")</f>
        <v>N/A</v>
      </c>
      <c r="F291" s="63">
        <f t="shared" si="22"/>
        <v>1</v>
      </c>
      <c r="G291" s="64" t="str">
        <f t="shared" si="19"/>
        <v>Bunn G9-2T</v>
      </c>
      <c r="H291" s="64" t="str">
        <f t="shared" si="20"/>
        <v/>
      </c>
      <c r="I291" s="63">
        <f>IF($G291="",0,IF(COUNTIF($G$2:$G291,$G291)=1,1,0))</f>
        <v>0</v>
      </c>
      <c r="J291" s="63" t="str">
        <f t="shared" si="21"/>
        <v/>
      </c>
      <c r="K291" s="63" t="str">
        <f>IF($H291="","",COUNTIF($H$2:$H291,"?*"))</f>
        <v/>
      </c>
    </row>
    <row r="292" spans="1:11" x14ac:dyDescent="0.25">
      <c r="A292" s="63" t="s">
        <v>554</v>
      </c>
      <c r="B292" s="63" t="s">
        <v>847</v>
      </c>
      <c r="C292" s="63" t="s">
        <v>556</v>
      </c>
      <c r="D292" s="63" t="str">
        <f>IF('Barn - Back Rack'!R32="","",TRIM('Barn - Back Rack'!R32))</f>
        <v>Bunn G9-2T</v>
      </c>
      <c r="E292" s="64" t="str">
        <f>IF($D292="","",'Barn - Back Rack'!S32&amp;"")</f>
        <v>N/A</v>
      </c>
      <c r="F292" s="63">
        <f t="shared" si="22"/>
        <v>1</v>
      </c>
      <c r="G292" s="64" t="str">
        <f t="shared" si="19"/>
        <v>Bunn G9-2T</v>
      </c>
      <c r="H292" s="64" t="str">
        <f t="shared" si="20"/>
        <v/>
      </c>
      <c r="I292" s="63">
        <f>IF($G292="",0,IF(COUNTIF($G$2:$G292,$G292)=1,1,0))</f>
        <v>0</v>
      </c>
      <c r="J292" s="63" t="str">
        <f t="shared" si="21"/>
        <v/>
      </c>
      <c r="K292" s="63" t="str">
        <f>IF($H292="","",COUNTIF($H$2:$H292,"?*"))</f>
        <v/>
      </c>
    </row>
    <row r="293" spans="1:11" x14ac:dyDescent="0.25">
      <c r="A293" s="63" t="s">
        <v>554</v>
      </c>
      <c r="B293" s="63" t="s">
        <v>848</v>
      </c>
      <c r="C293" s="63" t="s">
        <v>556</v>
      </c>
      <c r="D293" s="63" t="str">
        <f>IF('Barn - Back Rack'!R33="","",TRIM('Barn - Back Rack'!R33))</f>
        <v>Bunn G9-2T</v>
      </c>
      <c r="E293" s="64" t="str">
        <f>IF($D293="","",'Barn - Back Rack'!S33&amp;"")</f>
        <v>N/A</v>
      </c>
      <c r="F293" s="63">
        <f t="shared" si="22"/>
        <v>1</v>
      </c>
      <c r="G293" s="64" t="str">
        <f t="shared" si="19"/>
        <v>Bunn G9-2T</v>
      </c>
      <c r="H293" s="64" t="str">
        <f t="shared" si="20"/>
        <v/>
      </c>
      <c r="I293" s="63">
        <f>IF($G293="",0,IF(COUNTIF($G$2:$G293,$G293)=1,1,0))</f>
        <v>0</v>
      </c>
      <c r="J293" s="63" t="str">
        <f t="shared" si="21"/>
        <v/>
      </c>
      <c r="K293" s="63" t="str">
        <f>IF($H293="","",COUNTIF($H$2:$H293,"?*"))</f>
        <v/>
      </c>
    </row>
    <row r="294" spans="1:11" x14ac:dyDescent="0.25">
      <c r="A294" s="63" t="s">
        <v>554</v>
      </c>
      <c r="B294" s="63" t="s">
        <v>849</v>
      </c>
      <c r="C294" s="63" t="s">
        <v>556</v>
      </c>
      <c r="D294" s="63" t="str">
        <f>IF('Barn - Back Rack'!R34="","",TRIM('Barn - Back Rack'!R34))</f>
        <v>Bunn G9-2T</v>
      </c>
      <c r="E294" s="64" t="str">
        <f>IF($D294="","",'Barn - Back Rack'!S34&amp;"")</f>
        <v>G9201362</v>
      </c>
      <c r="F294" s="63">
        <f t="shared" si="22"/>
        <v>1</v>
      </c>
      <c r="G294" s="64" t="str">
        <f t="shared" si="19"/>
        <v>Bunn G9-2T</v>
      </c>
      <c r="H294" s="64" t="str">
        <f t="shared" si="20"/>
        <v/>
      </c>
      <c r="I294" s="63">
        <f>IF($G294="",0,IF(COUNTIF($G$2:$G294,$G294)=1,1,0))</f>
        <v>0</v>
      </c>
      <c r="J294" s="63" t="str">
        <f t="shared" si="21"/>
        <v/>
      </c>
      <c r="K294" s="63" t="str">
        <f>IF($H294="","",COUNTIF($H$2:$H294,"?*"))</f>
        <v/>
      </c>
    </row>
    <row r="295" spans="1:11" x14ac:dyDescent="0.25">
      <c r="A295" s="63" t="s">
        <v>554</v>
      </c>
      <c r="B295" s="63" t="s">
        <v>850</v>
      </c>
      <c r="C295" s="63" t="s">
        <v>556</v>
      </c>
      <c r="D295" s="63" t="str">
        <f>IF('Barn - Back Rack'!R35="","",TRIM('Barn - Back Rack'!R35))</f>
        <v>Bunn G9-2T</v>
      </c>
      <c r="E295" s="64" t="str">
        <f>IF($D295="","",'Barn - Back Rack'!S35&amp;"")</f>
        <v>G900045131</v>
      </c>
      <c r="F295" s="63">
        <f t="shared" si="22"/>
        <v>1</v>
      </c>
      <c r="G295" s="64" t="str">
        <f t="shared" si="19"/>
        <v>Bunn G9-2T</v>
      </c>
      <c r="H295" s="64" t="str">
        <f t="shared" si="20"/>
        <v/>
      </c>
      <c r="I295" s="63">
        <f>IF($G295="",0,IF(COUNTIF($G$2:$G295,$G295)=1,1,0))</f>
        <v>0</v>
      </c>
      <c r="J295" s="63" t="str">
        <f t="shared" si="21"/>
        <v/>
      </c>
      <c r="K295" s="63" t="str">
        <f>IF($H295="","",COUNTIF($H$2:$H295,"?*"))</f>
        <v/>
      </c>
    </row>
    <row r="296" spans="1:11" x14ac:dyDescent="0.25">
      <c r="A296" s="63" t="s">
        <v>554</v>
      </c>
      <c r="B296" s="63" t="s">
        <v>851</v>
      </c>
      <c r="C296" s="63" t="s">
        <v>556</v>
      </c>
      <c r="D296" s="63" t="str">
        <f>IF('Barn - Back Rack'!R36="","",TRIM('Barn - Back Rack'!R36))</f>
        <v>Bunn G9-2T</v>
      </c>
      <c r="E296" s="64" t="str">
        <f>IF($D296="","",'Barn - Back Rack'!S36&amp;"")</f>
        <v>N/A</v>
      </c>
      <c r="F296" s="63">
        <f t="shared" si="22"/>
        <v>1</v>
      </c>
      <c r="G296" s="64" t="str">
        <f t="shared" si="19"/>
        <v>Bunn G9-2T</v>
      </c>
      <c r="H296" s="64" t="str">
        <f t="shared" si="20"/>
        <v/>
      </c>
      <c r="I296" s="63">
        <f>IF($G296="",0,IF(COUNTIF($G$2:$G296,$G296)=1,1,0))</f>
        <v>0</v>
      </c>
      <c r="J296" s="63" t="str">
        <f t="shared" si="21"/>
        <v/>
      </c>
      <c r="K296" s="63" t="str">
        <f>IF($H296="","",COUNTIF($H$2:$H296,"?*"))</f>
        <v/>
      </c>
    </row>
    <row r="297" spans="1:11" x14ac:dyDescent="0.25">
      <c r="A297" s="63" t="s">
        <v>554</v>
      </c>
      <c r="B297" s="63" t="s">
        <v>852</v>
      </c>
      <c r="C297" s="63" t="s">
        <v>556</v>
      </c>
      <c r="D297" s="63" t="str">
        <f>IF('Barn - Back Rack'!R37="","",TRIM('Barn - Back Rack'!R37))</f>
        <v>Bunn G9-2T</v>
      </c>
      <c r="E297" s="64" t="str">
        <f>IF($D297="","",'Barn - Back Rack'!S37&amp;"")</f>
        <v>G900049473</v>
      </c>
      <c r="F297" s="63">
        <f t="shared" si="22"/>
        <v>1</v>
      </c>
      <c r="G297" s="64" t="str">
        <f t="shared" si="19"/>
        <v>Bunn G9-2T</v>
      </c>
      <c r="H297" s="64" t="str">
        <f t="shared" si="20"/>
        <v/>
      </c>
      <c r="I297" s="63">
        <f>IF($G297="",0,IF(COUNTIF($G$2:$G297,$G297)=1,1,0))</f>
        <v>0</v>
      </c>
      <c r="J297" s="63" t="str">
        <f t="shared" si="21"/>
        <v/>
      </c>
      <c r="K297" s="63" t="str">
        <f>IF($H297="","",COUNTIF($H$2:$H297,"?*"))</f>
        <v/>
      </c>
    </row>
    <row r="298" spans="1:11" x14ac:dyDescent="0.25">
      <c r="A298" s="63" t="s">
        <v>554</v>
      </c>
      <c r="B298" s="63" t="s">
        <v>853</v>
      </c>
      <c r="C298" s="63" t="s">
        <v>556</v>
      </c>
      <c r="D298" s="63" t="str">
        <f>IF('Barn - Back Rack'!R38="","",TRIM('Barn - Back Rack'!R38))</f>
        <v>Bunn G9-2T</v>
      </c>
      <c r="E298" s="64" t="str">
        <f>IF($D298="","",'Barn - Back Rack'!S38&amp;"")</f>
        <v>N/A</v>
      </c>
      <c r="F298" s="63">
        <f t="shared" ref="F298:F329" si="23">IF($D298="",0,1)</f>
        <v>1</v>
      </c>
      <c r="G298" s="64" t="str">
        <f t="shared" si="19"/>
        <v>Bunn G9-2T</v>
      </c>
      <c r="H298" s="64" t="str">
        <f t="shared" si="20"/>
        <v/>
      </c>
      <c r="I298" s="63">
        <f>IF($G298="",0,IF(COUNTIF($G$2:$G298,$G298)=1,1,0))</f>
        <v>0</v>
      </c>
      <c r="J298" s="63" t="str">
        <f t="shared" si="21"/>
        <v/>
      </c>
      <c r="K298" s="63" t="str">
        <f>IF($H298="","",COUNTIF($H$2:$H298,"?*"))</f>
        <v/>
      </c>
    </row>
    <row r="299" spans="1:11" x14ac:dyDescent="0.25">
      <c r="A299" s="63" t="s">
        <v>554</v>
      </c>
      <c r="B299" s="63" t="s">
        <v>854</v>
      </c>
      <c r="C299" s="63" t="s">
        <v>556</v>
      </c>
      <c r="D299" s="63" t="str">
        <f>IF('Barn - Back Rack'!R39="","",TRIM('Barn - Back Rack'!R39))</f>
        <v/>
      </c>
      <c r="E299" s="64" t="str">
        <f>IF($D299="","",'Barn - Back Rack'!S39&amp;"")</f>
        <v/>
      </c>
      <c r="F299" s="63">
        <f t="shared" si="23"/>
        <v>0</v>
      </c>
      <c r="G299" s="64" t="str">
        <f t="shared" si="19"/>
        <v/>
      </c>
      <c r="H299" s="64" t="str">
        <f t="shared" si="20"/>
        <v/>
      </c>
      <c r="I299" s="63">
        <f>IF($G299="",0,IF(COUNTIF($G$2:$G299,$G299)=1,1,0))</f>
        <v>0</v>
      </c>
      <c r="J299" s="63" t="str">
        <f t="shared" si="21"/>
        <v/>
      </c>
      <c r="K299" s="63" t="str">
        <f>IF($H299="","",COUNTIF($H$2:$H299,"?*"))</f>
        <v/>
      </c>
    </row>
    <row r="300" spans="1:11" x14ac:dyDescent="0.25">
      <c r="A300" s="63" t="s">
        <v>554</v>
      </c>
      <c r="B300" s="63" t="s">
        <v>855</v>
      </c>
      <c r="C300" s="63" t="s">
        <v>556</v>
      </c>
      <c r="D300" s="63" t="str">
        <f>IF('Barn - Back Rack'!R40="","",TRIM('Barn - Back Rack'!R40))</f>
        <v/>
      </c>
      <c r="E300" s="64" t="str">
        <f>IF($D300="","",'Barn - Back Rack'!S40&amp;"")</f>
        <v/>
      </c>
      <c r="F300" s="63">
        <f t="shared" si="23"/>
        <v>0</v>
      </c>
      <c r="G300" s="64" t="str">
        <f t="shared" si="19"/>
        <v/>
      </c>
      <c r="H300" s="64" t="str">
        <f t="shared" si="20"/>
        <v/>
      </c>
      <c r="I300" s="63">
        <f>IF($G300="",0,IF(COUNTIF($G$2:$G300,$G300)=1,1,0))</f>
        <v>0</v>
      </c>
      <c r="J300" s="63" t="str">
        <f t="shared" si="21"/>
        <v/>
      </c>
      <c r="K300" s="63" t="str">
        <f>IF($H300="","",COUNTIF($H$2:$H300,"?*"))</f>
        <v/>
      </c>
    </row>
    <row r="301" spans="1:11" x14ac:dyDescent="0.25">
      <c r="A301" s="63" t="s">
        <v>554</v>
      </c>
      <c r="B301" s="63" t="s">
        <v>856</v>
      </c>
      <c r="C301" s="63" t="s">
        <v>556</v>
      </c>
      <c r="D301" s="63" t="str">
        <f>IF('Barn - Back Rack'!R41="","",TRIM('Barn - Back Rack'!R41))</f>
        <v/>
      </c>
      <c r="E301" s="64" t="str">
        <f>IF($D301="","",'Barn - Back Rack'!S41&amp;"")</f>
        <v/>
      </c>
      <c r="F301" s="63">
        <f t="shared" si="23"/>
        <v>0</v>
      </c>
      <c r="G301" s="64" t="str">
        <f t="shared" si="19"/>
        <v/>
      </c>
      <c r="H301" s="64" t="str">
        <f t="shared" si="20"/>
        <v/>
      </c>
      <c r="I301" s="63">
        <f>IF($G301="",0,IF(COUNTIF($G$2:$G301,$G301)=1,1,0))</f>
        <v>0</v>
      </c>
      <c r="J301" s="63" t="str">
        <f t="shared" si="21"/>
        <v/>
      </c>
      <c r="K301" s="63" t="str">
        <f>IF($H301="","",COUNTIF($H$2:$H301,"?*"))</f>
        <v/>
      </c>
    </row>
    <row r="302" spans="1:11" x14ac:dyDescent="0.25">
      <c r="A302" s="63" t="s">
        <v>554</v>
      </c>
      <c r="B302" s="63" t="s">
        <v>857</v>
      </c>
      <c r="C302" s="63" t="s">
        <v>556</v>
      </c>
      <c r="D302" s="63" t="str">
        <f>IF('Barn - Back Rack'!T30="","",TRIM('Barn - Back Rack'!T30))</f>
        <v>Bunn Axiom-APS</v>
      </c>
      <c r="E302" s="64" t="str">
        <f>IF($D302="","",'Barn - Back Rack'!U30&amp;"")</f>
        <v>AXAP048950</v>
      </c>
      <c r="F302" s="63">
        <f t="shared" si="23"/>
        <v>1</v>
      </c>
      <c r="G302" s="64" t="str">
        <f t="shared" si="19"/>
        <v>Bunn Axiom-APS</v>
      </c>
      <c r="H302" s="64" t="str">
        <f t="shared" si="20"/>
        <v/>
      </c>
      <c r="I302" s="63">
        <f>IF($G302="",0,IF(COUNTIF($G$2:$G302,$G302)=1,1,0))</f>
        <v>1</v>
      </c>
      <c r="J302" s="63">
        <f t="shared" si="21"/>
        <v>5</v>
      </c>
      <c r="K302" s="63" t="str">
        <f>IF($H302="","",COUNTIF($H$2:$H302,"?*"))</f>
        <v/>
      </c>
    </row>
    <row r="303" spans="1:11" x14ac:dyDescent="0.25">
      <c r="A303" s="63" t="s">
        <v>554</v>
      </c>
      <c r="B303" s="63" t="s">
        <v>858</v>
      </c>
      <c r="C303" s="63" t="s">
        <v>556</v>
      </c>
      <c r="D303" s="63" t="str">
        <f>IF('Barn - Back Rack'!T31="","",TRIM('Barn - Back Rack'!T31))</f>
        <v>Bunn Axiom-APS</v>
      </c>
      <c r="E303" s="64" t="str">
        <f>IF($D303="","",'Barn - Back Rack'!U31&amp;"")</f>
        <v>AXAP028650</v>
      </c>
      <c r="F303" s="63">
        <f t="shared" si="23"/>
        <v>1</v>
      </c>
      <c r="G303" s="64" t="str">
        <f t="shared" si="19"/>
        <v>Bunn Axiom-APS</v>
      </c>
      <c r="H303" s="64" t="str">
        <f t="shared" si="20"/>
        <v/>
      </c>
      <c r="I303" s="63">
        <f>IF($G303="",0,IF(COUNTIF($G$2:$G303,$G303)=1,1,0))</f>
        <v>0</v>
      </c>
      <c r="J303" s="63" t="str">
        <f t="shared" si="21"/>
        <v/>
      </c>
      <c r="K303" s="63" t="str">
        <f>IF($H303="","",COUNTIF($H$2:$H303,"?*"))</f>
        <v/>
      </c>
    </row>
    <row r="304" spans="1:11" x14ac:dyDescent="0.25">
      <c r="A304" s="63" t="s">
        <v>554</v>
      </c>
      <c r="B304" s="63" t="s">
        <v>859</v>
      </c>
      <c r="C304" s="63" t="s">
        <v>556</v>
      </c>
      <c r="D304" s="63" t="str">
        <f>IF('Barn - Back Rack'!T32="","",TRIM('Barn - Back Rack'!T32))</f>
        <v>Bunn Axiom-APS</v>
      </c>
      <c r="E304" s="64" t="str">
        <f>IF($D304="","",'Barn - Back Rack'!U32&amp;"")</f>
        <v>AXAP028068</v>
      </c>
      <c r="F304" s="63">
        <f t="shared" si="23"/>
        <v>1</v>
      </c>
      <c r="G304" s="64" t="str">
        <f t="shared" si="19"/>
        <v>Bunn Axiom-APS</v>
      </c>
      <c r="H304" s="64" t="str">
        <f t="shared" si="20"/>
        <v/>
      </c>
      <c r="I304" s="63">
        <f>IF($G304="",0,IF(COUNTIF($G$2:$G304,$G304)=1,1,0))</f>
        <v>0</v>
      </c>
      <c r="J304" s="63" t="str">
        <f t="shared" si="21"/>
        <v/>
      </c>
      <c r="K304" s="63" t="str">
        <f>IF($H304="","",COUNTIF($H$2:$H304,"?*"))</f>
        <v/>
      </c>
    </row>
    <row r="305" spans="1:11" x14ac:dyDescent="0.25">
      <c r="A305" s="63" t="s">
        <v>554</v>
      </c>
      <c r="B305" s="63" t="s">
        <v>860</v>
      </c>
      <c r="C305" s="63" t="s">
        <v>556</v>
      </c>
      <c r="D305" s="63" t="str">
        <f>IF('Barn - Back Rack'!T33="","",TRIM('Barn - Back Rack'!T33))</f>
        <v>Bunn Axiom-APS</v>
      </c>
      <c r="E305" s="64" t="str">
        <f>IF($D305="","",'Barn - Back Rack'!U33&amp;"")</f>
        <v>AXAP051199</v>
      </c>
      <c r="F305" s="63">
        <f t="shared" si="23"/>
        <v>1</v>
      </c>
      <c r="G305" s="64" t="str">
        <f t="shared" si="19"/>
        <v>Bunn Axiom-APS</v>
      </c>
      <c r="H305" s="64" t="str">
        <f t="shared" si="20"/>
        <v/>
      </c>
      <c r="I305" s="63">
        <f>IF($G305="",0,IF(COUNTIF($G$2:$G305,$G305)=1,1,0))</f>
        <v>0</v>
      </c>
      <c r="J305" s="63" t="str">
        <f t="shared" si="21"/>
        <v/>
      </c>
      <c r="K305" s="63" t="str">
        <f>IF($H305="","",COUNTIF($H$2:$H305,"?*"))</f>
        <v/>
      </c>
    </row>
    <row r="306" spans="1:11" x14ac:dyDescent="0.25">
      <c r="A306" s="63" t="s">
        <v>554</v>
      </c>
      <c r="B306" s="63" t="s">
        <v>861</v>
      </c>
      <c r="C306" s="63" t="s">
        <v>556</v>
      </c>
      <c r="D306" s="63" t="str">
        <f>IF('Barn - Back Rack'!T34="","",TRIM('Barn - Back Rack'!T34))</f>
        <v>Bunn Axiom-APS</v>
      </c>
      <c r="E306" s="64" t="str">
        <f>IF($D306="","",'Barn - Back Rack'!U34&amp;"")</f>
        <v>AXAP050695</v>
      </c>
      <c r="F306" s="63">
        <f t="shared" si="23"/>
        <v>1</v>
      </c>
      <c r="G306" s="64" t="str">
        <f t="shared" si="19"/>
        <v>Bunn Axiom-APS</v>
      </c>
      <c r="H306" s="64" t="str">
        <f t="shared" si="20"/>
        <v/>
      </c>
      <c r="I306" s="63">
        <f>IF($G306="",0,IF(COUNTIF($G$2:$G306,$G306)=1,1,0))</f>
        <v>0</v>
      </c>
      <c r="J306" s="63" t="str">
        <f t="shared" si="21"/>
        <v/>
      </c>
      <c r="K306" s="63" t="str">
        <f>IF($H306="","",COUNTIF($H$2:$H306,"?*"))</f>
        <v/>
      </c>
    </row>
    <row r="307" spans="1:11" x14ac:dyDescent="0.25">
      <c r="A307" s="63" t="s">
        <v>554</v>
      </c>
      <c r="B307" s="63" t="s">
        <v>862</v>
      </c>
      <c r="C307" s="63" t="s">
        <v>556</v>
      </c>
      <c r="D307" s="63" t="str">
        <f>IF('Barn - Back Rack'!T35="","",TRIM('Barn - Back Rack'!T35))</f>
        <v>Bunn Axiom-APS</v>
      </c>
      <c r="E307" s="64" t="str">
        <f>IF($D307="","",'Barn - Back Rack'!U35&amp;"")</f>
        <v>AXAP049761</v>
      </c>
      <c r="F307" s="63">
        <f t="shared" si="23"/>
        <v>1</v>
      </c>
      <c r="G307" s="64" t="str">
        <f t="shared" si="19"/>
        <v>Bunn Axiom-APS</v>
      </c>
      <c r="H307" s="64" t="str">
        <f t="shared" si="20"/>
        <v/>
      </c>
      <c r="I307" s="63">
        <f>IF($G307="",0,IF(COUNTIF($G$2:$G307,$G307)=1,1,0))</f>
        <v>0</v>
      </c>
      <c r="J307" s="63" t="str">
        <f t="shared" si="21"/>
        <v/>
      </c>
      <c r="K307" s="63" t="str">
        <f>IF($H307="","",COUNTIF($H$2:$H307,"?*"))</f>
        <v/>
      </c>
    </row>
    <row r="308" spans="1:11" x14ac:dyDescent="0.25">
      <c r="A308" s="63" t="s">
        <v>554</v>
      </c>
      <c r="B308" s="63" t="s">
        <v>863</v>
      </c>
      <c r="C308" s="63" t="s">
        <v>556</v>
      </c>
      <c r="D308" s="63" t="str">
        <f>IF('Barn - Back Rack'!T36="","",TRIM('Barn - Back Rack'!T36))</f>
        <v>Bunn Axiom-APS</v>
      </c>
      <c r="E308" s="64" t="str">
        <f>IF($D308="","",'Barn - Back Rack'!U36&amp;"")</f>
        <v>AXAP058908</v>
      </c>
      <c r="F308" s="63">
        <f t="shared" si="23"/>
        <v>1</v>
      </c>
      <c r="G308" s="64" t="str">
        <f t="shared" si="19"/>
        <v>Bunn Axiom-APS</v>
      </c>
      <c r="H308" s="64" t="str">
        <f t="shared" si="20"/>
        <v/>
      </c>
      <c r="I308" s="63">
        <f>IF($G308="",0,IF(COUNTIF($G$2:$G308,$G308)=1,1,0))</f>
        <v>0</v>
      </c>
      <c r="J308" s="63" t="str">
        <f t="shared" si="21"/>
        <v/>
      </c>
      <c r="K308" s="63" t="str">
        <f>IF($H308="","",COUNTIF($H$2:$H308,"?*"))</f>
        <v/>
      </c>
    </row>
    <row r="309" spans="1:11" x14ac:dyDescent="0.25">
      <c r="A309" s="63" t="s">
        <v>554</v>
      </c>
      <c r="B309" s="63" t="s">
        <v>864</v>
      </c>
      <c r="C309" s="63" t="s">
        <v>556</v>
      </c>
      <c r="D309" s="63" t="str">
        <f>IF('Barn - Back Rack'!T37="","",TRIM('Barn - Back Rack'!T37))</f>
        <v>Bunn Axiom-APS</v>
      </c>
      <c r="E309" s="64" t="str">
        <f>IF($D309="","",'Barn - Back Rack'!U37&amp;"")</f>
        <v>AXAP054421</v>
      </c>
      <c r="F309" s="63">
        <f t="shared" si="23"/>
        <v>1</v>
      </c>
      <c r="G309" s="64" t="str">
        <f t="shared" si="19"/>
        <v>Bunn Axiom-APS</v>
      </c>
      <c r="H309" s="64" t="str">
        <f t="shared" si="20"/>
        <v/>
      </c>
      <c r="I309" s="63">
        <f>IF($G309="",0,IF(COUNTIF($G$2:$G309,$G309)=1,1,0))</f>
        <v>0</v>
      </c>
      <c r="J309" s="63" t="str">
        <f t="shared" si="21"/>
        <v/>
      </c>
      <c r="K309" s="63" t="str">
        <f>IF($H309="","",COUNTIF($H$2:$H309,"?*"))</f>
        <v/>
      </c>
    </row>
    <row r="310" spans="1:11" x14ac:dyDescent="0.25">
      <c r="A310" s="63" t="s">
        <v>554</v>
      </c>
      <c r="B310" s="63" t="s">
        <v>865</v>
      </c>
      <c r="C310" s="63" t="s">
        <v>556</v>
      </c>
      <c r="D310" s="63" t="str">
        <f>IF('Barn - Back Rack'!T38="","",TRIM('Barn - Back Rack'!T38))</f>
        <v>Bunn Axiom-APS</v>
      </c>
      <c r="E310" s="64" t="str">
        <f>IF($D310="","",'Barn - Back Rack'!U38&amp;"")</f>
        <v>AXAP025208</v>
      </c>
      <c r="F310" s="63">
        <f t="shared" si="23"/>
        <v>1</v>
      </c>
      <c r="G310" s="64" t="str">
        <f t="shared" si="19"/>
        <v>Bunn Axiom-APS</v>
      </c>
      <c r="H310" s="64" t="str">
        <f t="shared" si="20"/>
        <v/>
      </c>
      <c r="I310" s="63">
        <f>IF($G310="",0,IF(COUNTIF($G$2:$G310,$G310)=1,1,0))</f>
        <v>0</v>
      </c>
      <c r="J310" s="63" t="str">
        <f t="shared" si="21"/>
        <v/>
      </c>
      <c r="K310" s="63" t="str">
        <f>IF($H310="","",COUNTIF($H$2:$H310,"?*"))</f>
        <v/>
      </c>
    </row>
    <row r="311" spans="1:11" x14ac:dyDescent="0.25">
      <c r="A311" s="63" t="s">
        <v>554</v>
      </c>
      <c r="B311" s="63" t="s">
        <v>866</v>
      </c>
      <c r="C311" s="63" t="s">
        <v>556</v>
      </c>
      <c r="D311" s="63" t="str">
        <f>IF('Barn - Back Rack'!T39="","",TRIM('Barn - Back Rack'!T39))</f>
        <v>Bunn Axiom-APS</v>
      </c>
      <c r="E311" s="64" t="str">
        <f>IF($D311="","",'Barn - Back Rack'!U39&amp;"")</f>
        <v>AXAP049092</v>
      </c>
      <c r="F311" s="63">
        <f t="shared" si="23"/>
        <v>1</v>
      </c>
      <c r="G311" s="64" t="str">
        <f t="shared" si="19"/>
        <v>Bunn Axiom-APS</v>
      </c>
      <c r="H311" s="64" t="str">
        <f t="shared" si="20"/>
        <v/>
      </c>
      <c r="I311" s="63">
        <f>IF($G311="",0,IF(COUNTIF($G$2:$G311,$G311)=1,1,0))</f>
        <v>0</v>
      </c>
      <c r="J311" s="63" t="str">
        <f t="shared" si="21"/>
        <v/>
      </c>
      <c r="K311" s="63" t="str">
        <f>IF($H311="","",COUNTIF($H$2:$H311,"?*"))</f>
        <v/>
      </c>
    </row>
    <row r="312" spans="1:11" x14ac:dyDescent="0.25">
      <c r="A312" s="63" t="s">
        <v>554</v>
      </c>
      <c r="B312" s="63" t="s">
        <v>867</v>
      </c>
      <c r="C312" s="63" t="s">
        <v>556</v>
      </c>
      <c r="D312" s="63" t="str">
        <f>IF('Barn - Back Rack'!T40="","",TRIM('Barn - Back Rack'!T40))</f>
        <v/>
      </c>
      <c r="E312" s="64" t="str">
        <f>IF($D312="","",'Barn - Back Rack'!U40&amp;"")</f>
        <v/>
      </c>
      <c r="F312" s="63">
        <f t="shared" si="23"/>
        <v>0</v>
      </c>
      <c r="G312" s="64" t="str">
        <f t="shared" si="19"/>
        <v/>
      </c>
      <c r="H312" s="64" t="str">
        <f t="shared" si="20"/>
        <v/>
      </c>
      <c r="I312" s="63">
        <f>IF($G312="",0,IF(COUNTIF($G$2:$G312,$G312)=1,1,0))</f>
        <v>0</v>
      </c>
      <c r="J312" s="63" t="str">
        <f t="shared" si="21"/>
        <v/>
      </c>
      <c r="K312" s="63" t="str">
        <f>IF($H312="","",COUNTIF($H$2:$H312,"?*"))</f>
        <v/>
      </c>
    </row>
    <row r="313" spans="1:11" x14ac:dyDescent="0.25">
      <c r="A313" s="63" t="s">
        <v>554</v>
      </c>
      <c r="B313" s="63" t="s">
        <v>868</v>
      </c>
      <c r="C313" s="63" t="s">
        <v>556</v>
      </c>
      <c r="D313" s="63" t="str">
        <f>IF('Barn - Back Rack'!T41="","",TRIM('Barn - Back Rack'!T41))</f>
        <v/>
      </c>
      <c r="E313" s="64" t="str">
        <f>IF($D313="","",'Barn - Back Rack'!U41&amp;"")</f>
        <v/>
      </c>
      <c r="F313" s="63">
        <f t="shared" si="23"/>
        <v>0</v>
      </c>
      <c r="G313" s="64" t="str">
        <f t="shared" si="19"/>
        <v/>
      </c>
      <c r="H313" s="64" t="str">
        <f t="shared" si="20"/>
        <v/>
      </c>
      <c r="I313" s="63">
        <f>IF($G313="",0,IF(COUNTIF($G$2:$G313,$G313)=1,1,0))</f>
        <v>0</v>
      </c>
      <c r="J313" s="63" t="str">
        <f t="shared" si="21"/>
        <v/>
      </c>
      <c r="K313" s="63" t="str">
        <f>IF($H313="","",COUNTIF($H$2:$H313,"?*"))</f>
        <v/>
      </c>
    </row>
    <row r="314" spans="1:11" x14ac:dyDescent="0.25">
      <c r="A314" s="63" t="s">
        <v>554</v>
      </c>
      <c r="B314" s="63" t="s">
        <v>869</v>
      </c>
      <c r="C314" s="63" t="s">
        <v>556</v>
      </c>
      <c r="D314" s="63" t="str">
        <f>IF('Barn - Back Rack'!V30="","",TRIM('Barn - Back Rack'!V30))</f>
        <v/>
      </c>
      <c r="E314" s="64" t="str">
        <f>IF($D314="","",'Barn - Back Rack'!W30&amp;"")</f>
        <v/>
      </c>
      <c r="F314" s="63">
        <f t="shared" si="23"/>
        <v>0</v>
      </c>
      <c r="G314" s="64" t="str">
        <f t="shared" si="19"/>
        <v/>
      </c>
      <c r="H314" s="64" t="str">
        <f t="shared" si="20"/>
        <v/>
      </c>
      <c r="I314" s="63">
        <f>IF($G314="",0,IF(COUNTIF($G$2:$G314,$G314)=1,1,0))</f>
        <v>0</v>
      </c>
      <c r="J314" s="63" t="str">
        <f t="shared" si="21"/>
        <v/>
      </c>
      <c r="K314" s="63" t="str">
        <f>IF($H314="","",COUNTIF($H$2:$H314,"?*"))</f>
        <v/>
      </c>
    </row>
    <row r="315" spans="1:11" x14ac:dyDescent="0.25">
      <c r="A315" s="63" t="s">
        <v>554</v>
      </c>
      <c r="B315" s="63" t="s">
        <v>870</v>
      </c>
      <c r="C315" s="63" t="s">
        <v>556</v>
      </c>
      <c r="D315" s="63" t="str">
        <f>IF('Barn - Back Rack'!V31="","",TRIM('Barn - Back Rack'!V31))</f>
        <v/>
      </c>
      <c r="E315" s="64" t="str">
        <f>IF($D315="","",'Barn - Back Rack'!W31&amp;"")</f>
        <v/>
      </c>
      <c r="F315" s="63">
        <f t="shared" si="23"/>
        <v>0</v>
      </c>
      <c r="G315" s="64" t="str">
        <f t="shared" si="19"/>
        <v/>
      </c>
      <c r="H315" s="64" t="str">
        <f t="shared" si="20"/>
        <v/>
      </c>
      <c r="I315" s="63">
        <f>IF($G315="",0,IF(COUNTIF($G$2:$G315,$G315)=1,1,0))</f>
        <v>0</v>
      </c>
      <c r="J315" s="63" t="str">
        <f t="shared" si="21"/>
        <v/>
      </c>
      <c r="K315" s="63" t="str">
        <f>IF($H315="","",COUNTIF($H$2:$H315,"?*"))</f>
        <v/>
      </c>
    </row>
    <row r="316" spans="1:11" x14ac:dyDescent="0.25">
      <c r="A316" s="63" t="s">
        <v>554</v>
      </c>
      <c r="B316" s="63" t="s">
        <v>871</v>
      </c>
      <c r="C316" s="63" t="s">
        <v>556</v>
      </c>
      <c r="D316" s="63" t="str">
        <f>IF('Barn - Back Rack'!V32="","",TRIM('Barn - Back Rack'!V32))</f>
        <v/>
      </c>
      <c r="E316" s="64" t="str">
        <f>IF($D316="","",'Barn - Back Rack'!W32&amp;"")</f>
        <v/>
      </c>
      <c r="F316" s="63">
        <f t="shared" si="23"/>
        <v>0</v>
      </c>
      <c r="G316" s="64" t="str">
        <f t="shared" si="19"/>
        <v/>
      </c>
      <c r="H316" s="64" t="str">
        <f t="shared" si="20"/>
        <v/>
      </c>
      <c r="I316" s="63">
        <f>IF($G316="",0,IF(COUNTIF($G$2:$G316,$G316)=1,1,0))</f>
        <v>0</v>
      </c>
      <c r="J316" s="63" t="str">
        <f t="shared" si="21"/>
        <v/>
      </c>
      <c r="K316" s="63" t="str">
        <f>IF($H316="","",COUNTIF($H$2:$H316,"?*"))</f>
        <v/>
      </c>
    </row>
    <row r="317" spans="1:11" x14ac:dyDescent="0.25">
      <c r="A317" s="63" t="s">
        <v>554</v>
      </c>
      <c r="B317" s="63" t="s">
        <v>872</v>
      </c>
      <c r="C317" s="63" t="s">
        <v>556</v>
      </c>
      <c r="D317" s="63" t="str">
        <f>IF('Barn - Back Rack'!V33="","",TRIM('Barn - Back Rack'!V33))</f>
        <v/>
      </c>
      <c r="E317" s="64" t="str">
        <f>IF($D317="","",'Barn - Back Rack'!W33&amp;"")</f>
        <v/>
      </c>
      <c r="F317" s="63">
        <f t="shared" si="23"/>
        <v>0</v>
      </c>
      <c r="G317" s="64" t="str">
        <f t="shared" si="19"/>
        <v/>
      </c>
      <c r="H317" s="64" t="str">
        <f t="shared" si="20"/>
        <v/>
      </c>
      <c r="I317" s="63">
        <f>IF($G317="",0,IF(COUNTIF($G$2:$G317,$G317)=1,1,0))</f>
        <v>0</v>
      </c>
      <c r="J317" s="63" t="str">
        <f t="shared" si="21"/>
        <v/>
      </c>
      <c r="K317" s="63" t="str">
        <f>IF($H317="","",COUNTIF($H$2:$H317,"?*"))</f>
        <v/>
      </c>
    </row>
    <row r="318" spans="1:11" x14ac:dyDescent="0.25">
      <c r="A318" s="63" t="s">
        <v>554</v>
      </c>
      <c r="B318" s="63" t="s">
        <v>873</v>
      </c>
      <c r="C318" s="63" t="s">
        <v>556</v>
      </c>
      <c r="D318" s="63" t="str">
        <f>IF('Barn - Back Rack'!V34="","",TRIM('Barn - Back Rack'!V34))</f>
        <v/>
      </c>
      <c r="E318" s="64" t="str">
        <f>IF($D318="","",'Barn - Back Rack'!W34&amp;"")</f>
        <v/>
      </c>
      <c r="F318" s="63">
        <f t="shared" si="23"/>
        <v>0</v>
      </c>
      <c r="G318" s="64" t="str">
        <f t="shared" si="19"/>
        <v/>
      </c>
      <c r="H318" s="64" t="str">
        <f t="shared" si="20"/>
        <v/>
      </c>
      <c r="I318" s="63">
        <f>IF($G318="",0,IF(COUNTIF($G$2:$G318,$G318)=1,1,0))</f>
        <v>0</v>
      </c>
      <c r="J318" s="63" t="str">
        <f t="shared" si="21"/>
        <v/>
      </c>
      <c r="K318" s="63" t="str">
        <f>IF($H318="","",COUNTIF($H$2:$H318,"?*"))</f>
        <v/>
      </c>
    </row>
    <row r="319" spans="1:11" x14ac:dyDescent="0.25">
      <c r="A319" s="63" t="s">
        <v>554</v>
      </c>
      <c r="B319" s="63" t="s">
        <v>874</v>
      </c>
      <c r="C319" s="63" t="s">
        <v>556</v>
      </c>
      <c r="D319" s="63" t="str">
        <f>IF('Barn - Back Rack'!V35="","",TRIM('Barn - Back Rack'!V35))</f>
        <v/>
      </c>
      <c r="E319" s="64" t="str">
        <f>IF($D319="","",'Barn - Back Rack'!W35&amp;"")</f>
        <v/>
      </c>
      <c r="F319" s="63">
        <f t="shared" si="23"/>
        <v>0</v>
      </c>
      <c r="G319" s="64" t="str">
        <f t="shared" si="19"/>
        <v/>
      </c>
      <c r="H319" s="64" t="str">
        <f t="shared" si="20"/>
        <v/>
      </c>
      <c r="I319" s="63">
        <f>IF($G319="",0,IF(COUNTIF($G$2:$G319,$G319)=1,1,0))</f>
        <v>0</v>
      </c>
      <c r="J319" s="63" t="str">
        <f t="shared" si="21"/>
        <v/>
      </c>
      <c r="K319" s="63" t="str">
        <f>IF($H319="","",COUNTIF($H$2:$H319,"?*"))</f>
        <v/>
      </c>
    </row>
    <row r="320" spans="1:11" x14ac:dyDescent="0.25">
      <c r="A320" s="63" t="s">
        <v>554</v>
      </c>
      <c r="B320" s="63" t="s">
        <v>875</v>
      </c>
      <c r="C320" s="63" t="s">
        <v>556</v>
      </c>
      <c r="D320" s="63" t="str">
        <f>IF('Barn - Back Rack'!V36="","",TRIM('Barn - Back Rack'!V36))</f>
        <v/>
      </c>
      <c r="E320" s="64" t="str">
        <f>IF($D320="","",'Barn - Back Rack'!W36&amp;"")</f>
        <v/>
      </c>
      <c r="F320" s="63">
        <f t="shared" si="23"/>
        <v>0</v>
      </c>
      <c r="G320" s="64" t="str">
        <f t="shared" si="19"/>
        <v/>
      </c>
      <c r="H320" s="64" t="str">
        <f t="shared" si="20"/>
        <v/>
      </c>
      <c r="I320" s="63">
        <f>IF($G320="",0,IF(COUNTIF($G$2:$G320,$G320)=1,1,0))</f>
        <v>0</v>
      </c>
      <c r="J320" s="63" t="str">
        <f t="shared" si="21"/>
        <v/>
      </c>
      <c r="K320" s="63" t="str">
        <f>IF($H320="","",COUNTIF($H$2:$H320,"?*"))</f>
        <v/>
      </c>
    </row>
    <row r="321" spans="1:11" x14ac:dyDescent="0.25">
      <c r="A321" s="63" t="s">
        <v>554</v>
      </c>
      <c r="B321" s="63" t="s">
        <v>876</v>
      </c>
      <c r="C321" s="63" t="s">
        <v>556</v>
      </c>
      <c r="D321" s="63" t="str">
        <f>IF('Barn - Back Rack'!V37="","",TRIM('Barn - Back Rack'!V37))</f>
        <v/>
      </c>
      <c r="E321" s="64" t="str">
        <f>IF($D321="","",'Barn - Back Rack'!W37&amp;"")</f>
        <v/>
      </c>
      <c r="F321" s="63">
        <f t="shared" si="23"/>
        <v>0</v>
      </c>
      <c r="G321" s="64" t="str">
        <f t="shared" si="19"/>
        <v/>
      </c>
      <c r="H321" s="64" t="str">
        <f t="shared" si="20"/>
        <v/>
      </c>
      <c r="I321" s="63">
        <f>IF($G321="",0,IF(COUNTIF($G$2:$G321,$G321)=1,1,0))</f>
        <v>0</v>
      </c>
      <c r="J321" s="63" t="str">
        <f t="shared" si="21"/>
        <v/>
      </c>
      <c r="K321" s="63" t="str">
        <f>IF($H321="","",COUNTIF($H$2:$H321,"?*"))</f>
        <v/>
      </c>
    </row>
    <row r="322" spans="1:11" x14ac:dyDescent="0.25">
      <c r="A322" s="63" t="s">
        <v>554</v>
      </c>
      <c r="B322" s="63" t="s">
        <v>877</v>
      </c>
      <c r="C322" s="63" t="s">
        <v>556</v>
      </c>
      <c r="D322" s="63" t="str">
        <f>IF('Barn - Back Rack'!V38="","",TRIM('Barn - Back Rack'!V38))</f>
        <v/>
      </c>
      <c r="E322" s="64" t="str">
        <f>IF($D322="","",'Barn - Back Rack'!W38&amp;"")</f>
        <v/>
      </c>
      <c r="F322" s="63">
        <f t="shared" si="23"/>
        <v>0</v>
      </c>
      <c r="G322" s="64" t="str">
        <f t="shared" ref="G322:G385" si="24">IF($D322="","",IF(ISNUMBER(FIND("(",$D322)),TRIM(LEFT($D322,FIND("(",$D322)-1)),$D322))</f>
        <v/>
      </c>
      <c r="H322" s="64" t="str">
        <f t="shared" ref="H322:H385" si="25">IF($D322="","",IF(ISNUMBER(FIND("(",$D322)),TRIM(SUBSTITUTE(MID($D322,FIND("(",$D322)+1,200),")","")),""))</f>
        <v/>
      </c>
      <c r="I322" s="63">
        <f>IF($G322="",0,IF(COUNTIF($G$2:$G322,$G322)=1,1,0))</f>
        <v>0</v>
      </c>
      <c r="J322" s="63" t="str">
        <f t="shared" ref="J322:J385" si="26">IF($I322=0,"",SUMPRODUCT(($I$2:$I$1513=1)*($G$2:$G$1513&lt;$G322))+1)</f>
        <v/>
      </c>
      <c r="K322" s="63" t="str">
        <f>IF($H322="","",COUNTIF($H$2:$H322,"?*"))</f>
        <v/>
      </c>
    </row>
    <row r="323" spans="1:11" x14ac:dyDescent="0.25">
      <c r="A323" s="63" t="s">
        <v>554</v>
      </c>
      <c r="B323" s="63" t="s">
        <v>878</v>
      </c>
      <c r="C323" s="63" t="s">
        <v>556</v>
      </c>
      <c r="D323" s="63" t="str">
        <f>IF('Barn - Back Rack'!V39="","",TRIM('Barn - Back Rack'!V39))</f>
        <v/>
      </c>
      <c r="E323" s="64" t="str">
        <f>IF($D323="","",'Barn - Back Rack'!W39&amp;"")</f>
        <v/>
      </c>
      <c r="F323" s="63">
        <f t="shared" si="23"/>
        <v>0</v>
      </c>
      <c r="G323" s="64" t="str">
        <f t="shared" si="24"/>
        <v/>
      </c>
      <c r="H323" s="64" t="str">
        <f t="shared" si="25"/>
        <v/>
      </c>
      <c r="I323" s="63">
        <f>IF($G323="",0,IF(COUNTIF($G$2:$G323,$G323)=1,1,0))</f>
        <v>0</v>
      </c>
      <c r="J323" s="63" t="str">
        <f t="shared" si="26"/>
        <v/>
      </c>
      <c r="K323" s="63" t="str">
        <f>IF($H323="","",COUNTIF($H$2:$H323,"?*"))</f>
        <v/>
      </c>
    </row>
    <row r="324" spans="1:11" x14ac:dyDescent="0.25">
      <c r="A324" s="63" t="s">
        <v>554</v>
      </c>
      <c r="B324" s="63" t="s">
        <v>879</v>
      </c>
      <c r="C324" s="63" t="s">
        <v>556</v>
      </c>
      <c r="D324" s="63" t="str">
        <f>IF('Barn - Back Rack'!V40="","",TRIM('Barn - Back Rack'!V40))</f>
        <v/>
      </c>
      <c r="E324" s="64" t="str">
        <f>IF($D324="","",'Barn - Back Rack'!W40&amp;"")</f>
        <v/>
      </c>
      <c r="F324" s="63">
        <f t="shared" si="23"/>
        <v>0</v>
      </c>
      <c r="G324" s="64" t="str">
        <f t="shared" si="24"/>
        <v/>
      </c>
      <c r="H324" s="64" t="str">
        <f t="shared" si="25"/>
        <v/>
      </c>
      <c r="I324" s="63">
        <f>IF($G324="",0,IF(COUNTIF($G$2:$G324,$G324)=1,1,0))</f>
        <v>0</v>
      </c>
      <c r="J324" s="63" t="str">
        <f t="shared" si="26"/>
        <v/>
      </c>
      <c r="K324" s="63" t="str">
        <f>IF($H324="","",COUNTIF($H$2:$H324,"?*"))</f>
        <v/>
      </c>
    </row>
    <row r="325" spans="1:11" x14ac:dyDescent="0.25">
      <c r="A325" s="63" t="s">
        <v>554</v>
      </c>
      <c r="B325" s="63" t="s">
        <v>880</v>
      </c>
      <c r="C325" s="63" t="s">
        <v>556</v>
      </c>
      <c r="D325" s="63" t="str">
        <f>IF('Barn - Back Rack'!V41="","",TRIM('Barn - Back Rack'!V41))</f>
        <v/>
      </c>
      <c r="E325" s="64" t="str">
        <f>IF($D325="","",'Barn - Back Rack'!W41&amp;"")</f>
        <v/>
      </c>
      <c r="F325" s="63">
        <f t="shared" si="23"/>
        <v>0</v>
      </c>
      <c r="G325" s="64" t="str">
        <f t="shared" si="24"/>
        <v/>
      </c>
      <c r="H325" s="64" t="str">
        <f t="shared" si="25"/>
        <v/>
      </c>
      <c r="I325" s="63">
        <f>IF($G325="",0,IF(COUNTIF($G$2:$G325,$G325)=1,1,0))</f>
        <v>0</v>
      </c>
      <c r="J325" s="63" t="str">
        <f t="shared" si="26"/>
        <v/>
      </c>
      <c r="K325" s="63" t="str">
        <f>IF($H325="","",COUNTIF($H$2:$H325,"?*"))</f>
        <v/>
      </c>
    </row>
    <row r="326" spans="1:11" x14ac:dyDescent="0.25">
      <c r="A326" s="63" t="s">
        <v>554</v>
      </c>
      <c r="B326" s="63" t="s">
        <v>881</v>
      </c>
      <c r="C326" s="63" t="s">
        <v>556</v>
      </c>
      <c r="D326" s="63" t="str">
        <f>IF('Barn - Back Rack'!X30="","",TRIM('Barn - Back Rack'!X30))</f>
        <v/>
      </c>
      <c r="E326" s="64" t="str">
        <f>IF($D326="","",'Barn - Back Rack'!Y30&amp;"")</f>
        <v/>
      </c>
      <c r="F326" s="63">
        <f t="shared" si="23"/>
        <v>0</v>
      </c>
      <c r="G326" s="64" t="str">
        <f t="shared" si="24"/>
        <v/>
      </c>
      <c r="H326" s="64" t="str">
        <f t="shared" si="25"/>
        <v/>
      </c>
      <c r="I326" s="63">
        <f>IF($G326="",0,IF(COUNTIF($G$2:$G326,$G326)=1,1,0))</f>
        <v>0</v>
      </c>
      <c r="J326" s="63" t="str">
        <f t="shared" si="26"/>
        <v/>
      </c>
      <c r="K326" s="63" t="str">
        <f>IF($H326="","",COUNTIF($H$2:$H326,"?*"))</f>
        <v/>
      </c>
    </row>
    <row r="327" spans="1:11" x14ac:dyDescent="0.25">
      <c r="A327" s="63" t="s">
        <v>554</v>
      </c>
      <c r="B327" s="63" t="s">
        <v>882</v>
      </c>
      <c r="C327" s="63" t="s">
        <v>556</v>
      </c>
      <c r="D327" s="63" t="str">
        <f>IF('Barn - Back Rack'!X31="","",TRIM('Barn - Back Rack'!X31))</f>
        <v/>
      </c>
      <c r="E327" s="64" t="str">
        <f>IF($D327="","",'Barn - Back Rack'!Y31&amp;"")</f>
        <v/>
      </c>
      <c r="F327" s="63">
        <f t="shared" si="23"/>
        <v>0</v>
      </c>
      <c r="G327" s="64" t="str">
        <f t="shared" si="24"/>
        <v/>
      </c>
      <c r="H327" s="64" t="str">
        <f t="shared" si="25"/>
        <v/>
      </c>
      <c r="I327" s="63">
        <f>IF($G327="",0,IF(COUNTIF($G$2:$G327,$G327)=1,1,0))</f>
        <v>0</v>
      </c>
      <c r="J327" s="63" t="str">
        <f t="shared" si="26"/>
        <v/>
      </c>
      <c r="K327" s="63" t="str">
        <f>IF($H327="","",COUNTIF($H$2:$H327,"?*"))</f>
        <v/>
      </c>
    </row>
    <row r="328" spans="1:11" x14ac:dyDescent="0.25">
      <c r="A328" s="63" t="s">
        <v>554</v>
      </c>
      <c r="B328" s="63" t="s">
        <v>883</v>
      </c>
      <c r="C328" s="63" t="s">
        <v>556</v>
      </c>
      <c r="D328" s="63" t="str">
        <f>IF('Barn - Back Rack'!X32="","",TRIM('Barn - Back Rack'!X32))</f>
        <v/>
      </c>
      <c r="E328" s="64" t="str">
        <f>IF($D328="","",'Barn - Back Rack'!Y32&amp;"")</f>
        <v/>
      </c>
      <c r="F328" s="63">
        <f t="shared" si="23"/>
        <v>0</v>
      </c>
      <c r="G328" s="64" t="str">
        <f t="shared" si="24"/>
        <v/>
      </c>
      <c r="H328" s="64" t="str">
        <f t="shared" si="25"/>
        <v/>
      </c>
      <c r="I328" s="63">
        <f>IF($G328="",0,IF(COUNTIF($G$2:$G328,$G328)=1,1,0))</f>
        <v>0</v>
      </c>
      <c r="J328" s="63" t="str">
        <f t="shared" si="26"/>
        <v/>
      </c>
      <c r="K328" s="63" t="str">
        <f>IF($H328="","",COUNTIF($H$2:$H328,"?*"))</f>
        <v/>
      </c>
    </row>
    <row r="329" spans="1:11" x14ac:dyDescent="0.25">
      <c r="A329" s="63" t="s">
        <v>554</v>
      </c>
      <c r="B329" s="63" t="s">
        <v>884</v>
      </c>
      <c r="C329" s="63" t="s">
        <v>556</v>
      </c>
      <c r="D329" s="63" t="str">
        <f>IF('Barn - Back Rack'!X33="","",TRIM('Barn - Back Rack'!X33))</f>
        <v/>
      </c>
      <c r="E329" s="64" t="str">
        <f>IF($D329="","",'Barn - Back Rack'!Y33&amp;"")</f>
        <v/>
      </c>
      <c r="F329" s="63">
        <f t="shared" si="23"/>
        <v>0</v>
      </c>
      <c r="G329" s="64" t="str">
        <f t="shared" si="24"/>
        <v/>
      </c>
      <c r="H329" s="64" t="str">
        <f t="shared" si="25"/>
        <v/>
      </c>
      <c r="I329" s="63">
        <f>IF($G329="",0,IF(COUNTIF($G$2:$G329,$G329)=1,1,0))</f>
        <v>0</v>
      </c>
      <c r="J329" s="63" t="str">
        <f t="shared" si="26"/>
        <v/>
      </c>
      <c r="K329" s="63" t="str">
        <f>IF($H329="","",COUNTIF($H$2:$H329,"?*"))</f>
        <v/>
      </c>
    </row>
    <row r="330" spans="1:11" x14ac:dyDescent="0.25">
      <c r="A330" s="63" t="s">
        <v>554</v>
      </c>
      <c r="B330" s="63" t="s">
        <v>885</v>
      </c>
      <c r="C330" s="63" t="s">
        <v>556</v>
      </c>
      <c r="D330" s="63" t="str">
        <f>IF('Barn - Back Rack'!X34="","",TRIM('Barn - Back Rack'!X34))</f>
        <v/>
      </c>
      <c r="E330" s="64" t="str">
        <f>IF($D330="","",'Barn - Back Rack'!Y34&amp;"")</f>
        <v/>
      </c>
      <c r="F330" s="63">
        <f t="shared" ref="F330:F361" si="27">IF($D330="",0,1)</f>
        <v>0</v>
      </c>
      <c r="G330" s="64" t="str">
        <f t="shared" si="24"/>
        <v/>
      </c>
      <c r="H330" s="64" t="str">
        <f t="shared" si="25"/>
        <v/>
      </c>
      <c r="I330" s="63">
        <f>IF($G330="",0,IF(COUNTIF($G$2:$G330,$G330)=1,1,0))</f>
        <v>0</v>
      </c>
      <c r="J330" s="63" t="str">
        <f t="shared" si="26"/>
        <v/>
      </c>
      <c r="K330" s="63" t="str">
        <f>IF($H330="","",COUNTIF($H$2:$H330,"?*"))</f>
        <v/>
      </c>
    </row>
    <row r="331" spans="1:11" x14ac:dyDescent="0.25">
      <c r="A331" s="63" t="s">
        <v>554</v>
      </c>
      <c r="B331" s="63" t="s">
        <v>886</v>
      </c>
      <c r="C331" s="63" t="s">
        <v>556</v>
      </c>
      <c r="D331" s="63" t="str">
        <f>IF('Barn - Back Rack'!X35="","",TRIM('Barn - Back Rack'!X35))</f>
        <v/>
      </c>
      <c r="E331" s="64" t="str">
        <f>IF($D331="","",'Barn - Back Rack'!Y35&amp;"")</f>
        <v/>
      </c>
      <c r="F331" s="63">
        <f t="shared" si="27"/>
        <v>0</v>
      </c>
      <c r="G331" s="64" t="str">
        <f t="shared" si="24"/>
        <v/>
      </c>
      <c r="H331" s="64" t="str">
        <f t="shared" si="25"/>
        <v/>
      </c>
      <c r="I331" s="63">
        <f>IF($G331="",0,IF(COUNTIF($G$2:$G331,$G331)=1,1,0))</f>
        <v>0</v>
      </c>
      <c r="J331" s="63" t="str">
        <f t="shared" si="26"/>
        <v/>
      </c>
      <c r="K331" s="63" t="str">
        <f>IF($H331="","",COUNTIF($H$2:$H331,"?*"))</f>
        <v/>
      </c>
    </row>
    <row r="332" spans="1:11" x14ac:dyDescent="0.25">
      <c r="A332" s="63" t="s">
        <v>554</v>
      </c>
      <c r="B332" s="63" t="s">
        <v>887</v>
      </c>
      <c r="C332" s="63" t="s">
        <v>556</v>
      </c>
      <c r="D332" s="63" t="str">
        <f>IF('Barn - Back Rack'!X36="","",TRIM('Barn - Back Rack'!X36))</f>
        <v/>
      </c>
      <c r="E332" s="64" t="str">
        <f>IF($D332="","",'Barn - Back Rack'!Y36&amp;"")</f>
        <v/>
      </c>
      <c r="F332" s="63">
        <f t="shared" si="27"/>
        <v>0</v>
      </c>
      <c r="G332" s="64" t="str">
        <f t="shared" si="24"/>
        <v/>
      </c>
      <c r="H332" s="64" t="str">
        <f t="shared" si="25"/>
        <v/>
      </c>
      <c r="I332" s="63">
        <f>IF($G332="",0,IF(COUNTIF($G$2:$G332,$G332)=1,1,0))</f>
        <v>0</v>
      </c>
      <c r="J332" s="63" t="str">
        <f t="shared" si="26"/>
        <v/>
      </c>
      <c r="K332" s="63" t="str">
        <f>IF($H332="","",COUNTIF($H$2:$H332,"?*"))</f>
        <v/>
      </c>
    </row>
    <row r="333" spans="1:11" x14ac:dyDescent="0.25">
      <c r="A333" s="63" t="s">
        <v>554</v>
      </c>
      <c r="B333" s="63" t="s">
        <v>888</v>
      </c>
      <c r="C333" s="63" t="s">
        <v>556</v>
      </c>
      <c r="D333" s="63" t="str">
        <f>IF('Barn - Back Rack'!X37="","",TRIM('Barn - Back Rack'!X37))</f>
        <v/>
      </c>
      <c r="E333" s="64" t="str">
        <f>IF($D333="","",'Barn - Back Rack'!Y37&amp;"")</f>
        <v/>
      </c>
      <c r="F333" s="63">
        <f t="shared" si="27"/>
        <v>0</v>
      </c>
      <c r="G333" s="64" t="str">
        <f t="shared" si="24"/>
        <v/>
      </c>
      <c r="H333" s="64" t="str">
        <f t="shared" si="25"/>
        <v/>
      </c>
      <c r="I333" s="63">
        <f>IF($G333="",0,IF(COUNTIF($G$2:$G333,$G333)=1,1,0))</f>
        <v>0</v>
      </c>
      <c r="J333" s="63" t="str">
        <f t="shared" si="26"/>
        <v/>
      </c>
      <c r="K333" s="63" t="str">
        <f>IF($H333="","",COUNTIF($H$2:$H333,"?*"))</f>
        <v/>
      </c>
    </row>
    <row r="334" spans="1:11" x14ac:dyDescent="0.25">
      <c r="A334" s="63" t="s">
        <v>554</v>
      </c>
      <c r="B334" s="63" t="s">
        <v>889</v>
      </c>
      <c r="C334" s="63" t="s">
        <v>556</v>
      </c>
      <c r="D334" s="63" t="str">
        <f>IF('Barn - Back Rack'!X38="","",TRIM('Barn - Back Rack'!X38))</f>
        <v/>
      </c>
      <c r="E334" s="64" t="str">
        <f>IF($D334="","",'Barn - Back Rack'!Y38&amp;"")</f>
        <v/>
      </c>
      <c r="F334" s="63">
        <f t="shared" si="27"/>
        <v>0</v>
      </c>
      <c r="G334" s="64" t="str">
        <f t="shared" si="24"/>
        <v/>
      </c>
      <c r="H334" s="64" t="str">
        <f t="shared" si="25"/>
        <v/>
      </c>
      <c r="I334" s="63">
        <f>IF($G334="",0,IF(COUNTIF($G$2:$G334,$G334)=1,1,0))</f>
        <v>0</v>
      </c>
      <c r="J334" s="63" t="str">
        <f t="shared" si="26"/>
        <v/>
      </c>
      <c r="K334" s="63" t="str">
        <f>IF($H334="","",COUNTIF($H$2:$H334,"?*"))</f>
        <v/>
      </c>
    </row>
    <row r="335" spans="1:11" x14ac:dyDescent="0.25">
      <c r="A335" s="63" t="s">
        <v>554</v>
      </c>
      <c r="B335" s="63" t="s">
        <v>890</v>
      </c>
      <c r="C335" s="63" t="s">
        <v>556</v>
      </c>
      <c r="D335" s="63" t="str">
        <f>IF('Barn - Back Rack'!X39="","",TRIM('Barn - Back Rack'!X39))</f>
        <v/>
      </c>
      <c r="E335" s="64" t="str">
        <f>IF($D335="","",'Barn - Back Rack'!Y39&amp;"")</f>
        <v/>
      </c>
      <c r="F335" s="63">
        <f t="shared" si="27"/>
        <v>0</v>
      </c>
      <c r="G335" s="64" t="str">
        <f t="shared" si="24"/>
        <v/>
      </c>
      <c r="H335" s="64" t="str">
        <f t="shared" si="25"/>
        <v/>
      </c>
      <c r="I335" s="63">
        <f>IF($G335="",0,IF(COUNTIF($G$2:$G335,$G335)=1,1,0))</f>
        <v>0</v>
      </c>
      <c r="J335" s="63" t="str">
        <f t="shared" si="26"/>
        <v/>
      </c>
      <c r="K335" s="63" t="str">
        <f>IF($H335="","",COUNTIF($H$2:$H335,"?*"))</f>
        <v/>
      </c>
    </row>
    <row r="336" spans="1:11" x14ac:dyDescent="0.25">
      <c r="A336" s="63" t="s">
        <v>554</v>
      </c>
      <c r="B336" s="63" t="s">
        <v>891</v>
      </c>
      <c r="C336" s="63" t="s">
        <v>556</v>
      </c>
      <c r="D336" s="63" t="str">
        <f>IF('Barn - Back Rack'!X40="","",TRIM('Barn - Back Rack'!X40))</f>
        <v/>
      </c>
      <c r="E336" s="64" t="str">
        <f>IF($D336="","",'Barn - Back Rack'!Y40&amp;"")</f>
        <v/>
      </c>
      <c r="F336" s="63">
        <f t="shared" si="27"/>
        <v>0</v>
      </c>
      <c r="G336" s="64" t="str">
        <f t="shared" si="24"/>
        <v/>
      </c>
      <c r="H336" s="64" t="str">
        <f t="shared" si="25"/>
        <v/>
      </c>
      <c r="I336" s="63">
        <f>IF($G336="",0,IF(COUNTIF($G$2:$G336,$G336)=1,1,0))</f>
        <v>0</v>
      </c>
      <c r="J336" s="63" t="str">
        <f t="shared" si="26"/>
        <v/>
      </c>
      <c r="K336" s="63" t="str">
        <f>IF($H336="","",COUNTIF($H$2:$H336,"?*"))</f>
        <v/>
      </c>
    </row>
    <row r="337" spans="1:11" x14ac:dyDescent="0.25">
      <c r="A337" s="63" t="s">
        <v>554</v>
      </c>
      <c r="B337" s="63" t="s">
        <v>892</v>
      </c>
      <c r="C337" s="63" t="s">
        <v>556</v>
      </c>
      <c r="D337" s="63" t="str">
        <f>IF('Barn - Back Rack'!X41="","",TRIM('Barn - Back Rack'!X41))</f>
        <v/>
      </c>
      <c r="E337" s="64" t="str">
        <f>IF($D337="","",'Barn - Back Rack'!Y41&amp;"")</f>
        <v/>
      </c>
      <c r="F337" s="63">
        <f t="shared" si="27"/>
        <v>0</v>
      </c>
      <c r="G337" s="64" t="str">
        <f t="shared" si="24"/>
        <v/>
      </c>
      <c r="H337" s="64" t="str">
        <f t="shared" si="25"/>
        <v/>
      </c>
      <c r="I337" s="63">
        <f>IF($G337="",0,IF(COUNTIF($G$2:$G337,$G337)=1,1,0))</f>
        <v>0</v>
      </c>
      <c r="J337" s="63" t="str">
        <f t="shared" si="26"/>
        <v/>
      </c>
      <c r="K337" s="63" t="str">
        <f>IF($H337="","",COUNTIF($H$2:$H337,"?*"))</f>
        <v/>
      </c>
    </row>
    <row r="338" spans="1:11" x14ac:dyDescent="0.25">
      <c r="A338" s="63" t="s">
        <v>554</v>
      </c>
      <c r="B338" s="63" t="s">
        <v>893</v>
      </c>
      <c r="C338" s="63" t="s">
        <v>556</v>
      </c>
      <c r="D338" s="63" t="str">
        <f>IF('Barn - Back Rack'!Z30="","",TRIM('Barn - Back Rack'!Z30))</f>
        <v>Bunn Axiom-15-2U1L</v>
      </c>
      <c r="E338" s="64" t="str">
        <f>IF($D338="","",'Barn - Back Rack'!AA30&amp;"")</f>
        <v>AX00067024</v>
      </c>
      <c r="F338" s="63">
        <f t="shared" si="27"/>
        <v>1</v>
      </c>
      <c r="G338" s="64" t="str">
        <f t="shared" si="24"/>
        <v>Bunn Axiom-15-2U1L</v>
      </c>
      <c r="H338" s="64" t="str">
        <f t="shared" si="25"/>
        <v/>
      </c>
      <c r="I338" s="63">
        <f>IF($G338="",0,IF(COUNTIF($G$2:$G338,$G338)=1,1,0))</f>
        <v>1</v>
      </c>
      <c r="J338" s="63">
        <f t="shared" si="26"/>
        <v>4</v>
      </c>
      <c r="K338" s="63" t="str">
        <f>IF($H338="","",COUNTIF($H$2:$H338,"?*"))</f>
        <v/>
      </c>
    </row>
    <row r="339" spans="1:11" x14ac:dyDescent="0.25">
      <c r="A339" s="63" t="s">
        <v>554</v>
      </c>
      <c r="B339" s="63" t="s">
        <v>894</v>
      </c>
      <c r="C339" s="63" t="s">
        <v>556</v>
      </c>
      <c r="D339" s="63" t="str">
        <f>IF('Barn - Back Rack'!Z31="","",TRIM('Barn - Back Rack'!Z31))</f>
        <v>Bunn Axiom-15-2U1L</v>
      </c>
      <c r="E339" s="64" t="str">
        <f>IF($D339="","",'Barn - Back Rack'!AA31&amp;"")</f>
        <v>AX00067031</v>
      </c>
      <c r="F339" s="63">
        <f t="shared" si="27"/>
        <v>1</v>
      </c>
      <c r="G339" s="64" t="str">
        <f t="shared" si="24"/>
        <v>Bunn Axiom-15-2U1L</v>
      </c>
      <c r="H339" s="64" t="str">
        <f t="shared" si="25"/>
        <v/>
      </c>
      <c r="I339" s="63">
        <f>IF($G339="",0,IF(COUNTIF($G$2:$G339,$G339)=1,1,0))</f>
        <v>0</v>
      </c>
      <c r="J339" s="63" t="str">
        <f t="shared" si="26"/>
        <v/>
      </c>
      <c r="K339" s="63" t="str">
        <f>IF($H339="","",COUNTIF($H$2:$H339,"?*"))</f>
        <v/>
      </c>
    </row>
    <row r="340" spans="1:11" x14ac:dyDescent="0.25">
      <c r="A340" s="63" t="s">
        <v>554</v>
      </c>
      <c r="B340" s="63" t="s">
        <v>895</v>
      </c>
      <c r="C340" s="63" t="s">
        <v>556</v>
      </c>
      <c r="D340" s="63" t="str">
        <f>IF('Barn - Back Rack'!Z32="","",TRIM('Barn - Back Rack'!Z32))</f>
        <v>Bunn Axiom-15-2U1L</v>
      </c>
      <c r="E340" s="64" t="str">
        <f>IF($D340="","",'Barn - Back Rack'!AA32&amp;"")</f>
        <v>AX00078697</v>
      </c>
      <c r="F340" s="63">
        <f t="shared" si="27"/>
        <v>1</v>
      </c>
      <c r="G340" s="64" t="str">
        <f t="shared" si="24"/>
        <v>Bunn Axiom-15-2U1L</v>
      </c>
      <c r="H340" s="64" t="str">
        <f t="shared" si="25"/>
        <v/>
      </c>
      <c r="I340" s="63">
        <f>IF($G340="",0,IF(COUNTIF($G$2:$G340,$G340)=1,1,0))</f>
        <v>0</v>
      </c>
      <c r="J340" s="63" t="str">
        <f t="shared" si="26"/>
        <v/>
      </c>
      <c r="K340" s="63" t="str">
        <f>IF($H340="","",COUNTIF($H$2:$H340,"?*"))</f>
        <v/>
      </c>
    </row>
    <row r="341" spans="1:11" x14ac:dyDescent="0.25">
      <c r="A341" s="63" t="s">
        <v>554</v>
      </c>
      <c r="B341" s="63" t="s">
        <v>896</v>
      </c>
      <c r="C341" s="63" t="s">
        <v>556</v>
      </c>
      <c r="D341" s="63" t="str">
        <f>IF('Barn - Back Rack'!Z33="","",TRIM('Barn - Back Rack'!Z33))</f>
        <v>Bunn CWTF-15-2U1L</v>
      </c>
      <c r="E341" s="64" t="str">
        <f>IF($D341="","",'Barn - Back Rack'!AA33&amp;"")</f>
        <v>CWTF472186</v>
      </c>
      <c r="F341" s="63">
        <f t="shared" si="27"/>
        <v>1</v>
      </c>
      <c r="G341" s="64" t="str">
        <f t="shared" si="24"/>
        <v>Bunn CWTF-15-2U1L</v>
      </c>
      <c r="H341" s="64" t="str">
        <f t="shared" si="25"/>
        <v/>
      </c>
      <c r="I341" s="63">
        <f>IF($G341="",0,IF(COUNTIF($G$2:$G341,$G341)=1,1,0))</f>
        <v>1</v>
      </c>
      <c r="J341" s="63">
        <f t="shared" si="26"/>
        <v>6</v>
      </c>
      <c r="K341" s="63" t="str">
        <f>IF($H341="","",COUNTIF($H$2:$H341,"?*"))</f>
        <v/>
      </c>
    </row>
    <row r="342" spans="1:11" x14ac:dyDescent="0.25">
      <c r="A342" s="63" t="s">
        <v>554</v>
      </c>
      <c r="B342" s="63" t="s">
        <v>897</v>
      </c>
      <c r="C342" s="63" t="s">
        <v>556</v>
      </c>
      <c r="D342" s="63" t="str">
        <f>IF('Barn - Back Rack'!Z34="","",TRIM('Barn - Back Rack'!Z34))</f>
        <v>Bunn CWTF-15-2U1L</v>
      </c>
      <c r="E342" s="64" t="str">
        <f>IF($D342="","",'Barn - Back Rack'!AA34&amp;"")</f>
        <v>CWTF563341</v>
      </c>
      <c r="F342" s="63">
        <f t="shared" si="27"/>
        <v>1</v>
      </c>
      <c r="G342" s="64" t="str">
        <f t="shared" si="24"/>
        <v>Bunn CWTF-15-2U1L</v>
      </c>
      <c r="H342" s="64" t="str">
        <f t="shared" si="25"/>
        <v/>
      </c>
      <c r="I342" s="63">
        <f>IF($G342="",0,IF(COUNTIF($G$2:$G342,$G342)=1,1,0))</f>
        <v>0</v>
      </c>
      <c r="J342" s="63" t="str">
        <f t="shared" si="26"/>
        <v/>
      </c>
      <c r="K342" s="63" t="str">
        <f>IF($H342="","",COUNTIF($H$2:$H342,"?*"))</f>
        <v/>
      </c>
    </row>
    <row r="343" spans="1:11" x14ac:dyDescent="0.25">
      <c r="A343" s="63" t="s">
        <v>554</v>
      </c>
      <c r="B343" s="63" t="s">
        <v>898</v>
      </c>
      <c r="C343" s="63" t="s">
        <v>556</v>
      </c>
      <c r="D343" s="63" t="str">
        <f>IF('Barn - Back Rack'!Z35="","",TRIM('Barn - Back Rack'!Z35))</f>
        <v>Bunn CWTF-15-2U1L</v>
      </c>
      <c r="E343" s="64" t="str">
        <f>IF($D343="","",'Barn - Back Rack'!AA35&amp;"")</f>
        <v>CWTF544341</v>
      </c>
      <c r="F343" s="63">
        <f t="shared" si="27"/>
        <v>1</v>
      </c>
      <c r="G343" s="64" t="str">
        <f t="shared" si="24"/>
        <v>Bunn CWTF-15-2U1L</v>
      </c>
      <c r="H343" s="64" t="str">
        <f t="shared" si="25"/>
        <v/>
      </c>
      <c r="I343" s="63">
        <f>IF($G343="",0,IF(COUNTIF($G$2:$G343,$G343)=1,1,0))</f>
        <v>0</v>
      </c>
      <c r="J343" s="63" t="str">
        <f t="shared" si="26"/>
        <v/>
      </c>
      <c r="K343" s="63" t="str">
        <f>IF($H343="","",COUNTIF($H$2:$H343,"?*"))</f>
        <v/>
      </c>
    </row>
    <row r="344" spans="1:11" x14ac:dyDescent="0.25">
      <c r="A344" s="63" t="s">
        <v>554</v>
      </c>
      <c r="B344" s="63" t="s">
        <v>899</v>
      </c>
      <c r="C344" s="63" t="s">
        <v>556</v>
      </c>
      <c r="D344" s="63" t="str">
        <f>IF('Barn - Back Rack'!Z36="","",TRIM('Barn - Back Rack'!Z36))</f>
        <v>Bunn Axiom-15-2U1L</v>
      </c>
      <c r="E344" s="64" t="str">
        <f>IF($D344="","",'Barn - Back Rack'!AA36&amp;"")</f>
        <v>AX00067025</v>
      </c>
      <c r="F344" s="63">
        <f t="shared" si="27"/>
        <v>1</v>
      </c>
      <c r="G344" s="64" t="str">
        <f t="shared" si="24"/>
        <v>Bunn Axiom-15-2U1L</v>
      </c>
      <c r="H344" s="64" t="str">
        <f t="shared" si="25"/>
        <v/>
      </c>
      <c r="I344" s="63">
        <f>IF($G344="",0,IF(COUNTIF($G$2:$G344,$G344)=1,1,0))</f>
        <v>0</v>
      </c>
      <c r="J344" s="63" t="str">
        <f t="shared" si="26"/>
        <v/>
      </c>
      <c r="K344" s="63" t="str">
        <f>IF($H344="","",COUNTIF($H$2:$H344,"?*"))</f>
        <v/>
      </c>
    </row>
    <row r="345" spans="1:11" x14ac:dyDescent="0.25">
      <c r="A345" s="63" t="s">
        <v>554</v>
      </c>
      <c r="B345" s="63" t="s">
        <v>900</v>
      </c>
      <c r="C345" s="63" t="s">
        <v>556</v>
      </c>
      <c r="D345" s="63" t="str">
        <f>IF('Barn - Back Rack'!Z37="","",TRIM('Barn - Back Rack'!Z37))</f>
        <v>Bunn CWTF-TC Twin</v>
      </c>
      <c r="E345" s="64" t="str">
        <f>IF($D345="","",'Barn - Back Rack'!AA37&amp;"")</f>
        <v>N/A</v>
      </c>
      <c r="F345" s="63">
        <f t="shared" si="27"/>
        <v>1</v>
      </c>
      <c r="G345" s="64" t="str">
        <f t="shared" si="24"/>
        <v>Bunn CWTF-TC Twin</v>
      </c>
      <c r="H345" s="64" t="str">
        <f t="shared" si="25"/>
        <v/>
      </c>
      <c r="I345" s="63">
        <f>IF($G345="",0,IF(COUNTIF($G$2:$G345,$G345)=1,1,0))</f>
        <v>0</v>
      </c>
      <c r="J345" s="63" t="str">
        <f t="shared" si="26"/>
        <v/>
      </c>
      <c r="K345" s="63" t="str">
        <f>IF($H345="","",COUNTIF($H$2:$H345,"?*"))</f>
        <v/>
      </c>
    </row>
    <row r="346" spans="1:11" x14ac:dyDescent="0.25">
      <c r="A346" s="63" t="s">
        <v>554</v>
      </c>
      <c r="B346" s="63" t="s">
        <v>901</v>
      </c>
      <c r="C346" s="63" t="s">
        <v>556</v>
      </c>
      <c r="D346" s="63" t="str">
        <f>IF('Barn - Back Rack'!Z38="","",TRIM('Barn - Back Rack'!Z38))</f>
        <v/>
      </c>
      <c r="E346" s="64" t="str">
        <f>IF($D346="","",'Barn - Back Rack'!AA38&amp;"")</f>
        <v/>
      </c>
      <c r="F346" s="63">
        <f t="shared" si="27"/>
        <v>0</v>
      </c>
      <c r="G346" s="64" t="str">
        <f t="shared" si="24"/>
        <v/>
      </c>
      <c r="H346" s="64" t="str">
        <f t="shared" si="25"/>
        <v/>
      </c>
      <c r="I346" s="63">
        <f>IF($G346="",0,IF(COUNTIF($G$2:$G346,$G346)=1,1,0))</f>
        <v>0</v>
      </c>
      <c r="J346" s="63" t="str">
        <f t="shared" si="26"/>
        <v/>
      </c>
      <c r="K346" s="63" t="str">
        <f>IF($H346="","",COUNTIF($H$2:$H346,"?*"))</f>
        <v/>
      </c>
    </row>
    <row r="347" spans="1:11" x14ac:dyDescent="0.25">
      <c r="A347" s="63" t="s">
        <v>554</v>
      </c>
      <c r="B347" s="63" t="s">
        <v>902</v>
      </c>
      <c r="C347" s="63" t="s">
        <v>556</v>
      </c>
      <c r="D347" s="63" t="str">
        <f>IF('Barn - Back Rack'!Z39="","",TRIM('Barn - Back Rack'!Z39))</f>
        <v/>
      </c>
      <c r="E347" s="64" t="str">
        <f>IF($D347="","",'Barn - Back Rack'!AA39&amp;"")</f>
        <v/>
      </c>
      <c r="F347" s="63">
        <f t="shared" si="27"/>
        <v>0</v>
      </c>
      <c r="G347" s="64" t="str">
        <f t="shared" si="24"/>
        <v/>
      </c>
      <c r="H347" s="64" t="str">
        <f t="shared" si="25"/>
        <v/>
      </c>
      <c r="I347" s="63">
        <f>IF($G347="",0,IF(COUNTIF($G$2:$G347,$G347)=1,1,0))</f>
        <v>0</v>
      </c>
      <c r="J347" s="63" t="str">
        <f t="shared" si="26"/>
        <v/>
      </c>
      <c r="K347" s="63" t="str">
        <f>IF($H347="","",COUNTIF($H$2:$H347,"?*"))</f>
        <v/>
      </c>
    </row>
    <row r="348" spans="1:11" x14ac:dyDescent="0.25">
      <c r="A348" s="63" t="s">
        <v>554</v>
      </c>
      <c r="B348" s="63" t="s">
        <v>903</v>
      </c>
      <c r="C348" s="63" t="s">
        <v>556</v>
      </c>
      <c r="D348" s="63" t="str">
        <f>IF('Barn - Back Rack'!Z40="","",TRIM('Barn - Back Rack'!Z40))</f>
        <v/>
      </c>
      <c r="E348" s="64" t="str">
        <f>IF($D348="","",'Barn - Back Rack'!AA40&amp;"")</f>
        <v/>
      </c>
      <c r="F348" s="63">
        <f t="shared" si="27"/>
        <v>0</v>
      </c>
      <c r="G348" s="64" t="str">
        <f t="shared" si="24"/>
        <v/>
      </c>
      <c r="H348" s="64" t="str">
        <f t="shared" si="25"/>
        <v/>
      </c>
      <c r="I348" s="63">
        <f>IF($G348="",0,IF(COUNTIF($G$2:$G348,$G348)=1,1,0))</f>
        <v>0</v>
      </c>
      <c r="J348" s="63" t="str">
        <f t="shared" si="26"/>
        <v/>
      </c>
      <c r="K348" s="63" t="str">
        <f>IF($H348="","",COUNTIF($H$2:$H348,"?*"))</f>
        <v/>
      </c>
    </row>
    <row r="349" spans="1:11" x14ac:dyDescent="0.25">
      <c r="A349" s="63" t="s">
        <v>554</v>
      </c>
      <c r="B349" s="63" t="s">
        <v>904</v>
      </c>
      <c r="C349" s="63" t="s">
        <v>556</v>
      </c>
      <c r="D349" s="63" t="str">
        <f>IF('Barn - Back Rack'!Z41="","",TRIM('Barn - Back Rack'!Z41))</f>
        <v/>
      </c>
      <c r="E349" s="64" t="str">
        <f>IF($D349="","",'Barn - Back Rack'!AA41&amp;"")</f>
        <v/>
      </c>
      <c r="F349" s="63">
        <f t="shared" si="27"/>
        <v>0</v>
      </c>
      <c r="G349" s="64" t="str">
        <f t="shared" si="24"/>
        <v/>
      </c>
      <c r="H349" s="64" t="str">
        <f t="shared" si="25"/>
        <v/>
      </c>
      <c r="I349" s="63">
        <f>IF($G349="",0,IF(COUNTIF($G$2:$G349,$G349)=1,1,0))</f>
        <v>0</v>
      </c>
      <c r="J349" s="63" t="str">
        <f t="shared" si="26"/>
        <v/>
      </c>
      <c r="K349" s="63" t="str">
        <f>IF($H349="","",COUNTIF($H$2:$H349,"?*"))</f>
        <v/>
      </c>
    </row>
    <row r="350" spans="1:11" x14ac:dyDescent="0.25">
      <c r="A350" s="63" t="s">
        <v>554</v>
      </c>
      <c r="B350" s="63" t="s">
        <v>905</v>
      </c>
      <c r="C350" s="63" t="s">
        <v>556</v>
      </c>
      <c r="D350" s="63" t="str">
        <f>IF('Barn - Back Rack'!AB30="","",TRIM('Barn - Back Rack'!AB30))</f>
        <v/>
      </c>
      <c r="E350" s="64" t="str">
        <f>IF($D350="","",'Barn - Back Rack'!AC30&amp;"")</f>
        <v/>
      </c>
      <c r="F350" s="63">
        <f t="shared" si="27"/>
        <v>0</v>
      </c>
      <c r="G350" s="64" t="str">
        <f t="shared" si="24"/>
        <v/>
      </c>
      <c r="H350" s="64" t="str">
        <f t="shared" si="25"/>
        <v/>
      </c>
      <c r="I350" s="63">
        <f>IF($G350="",0,IF(COUNTIF($G$2:$G350,$G350)=1,1,0))</f>
        <v>0</v>
      </c>
      <c r="J350" s="63" t="str">
        <f t="shared" si="26"/>
        <v/>
      </c>
      <c r="K350" s="63" t="str">
        <f>IF($H350="","",COUNTIF($H$2:$H350,"?*"))</f>
        <v/>
      </c>
    </row>
    <row r="351" spans="1:11" x14ac:dyDescent="0.25">
      <c r="A351" s="63" t="s">
        <v>554</v>
      </c>
      <c r="B351" s="63" t="s">
        <v>906</v>
      </c>
      <c r="C351" s="63" t="s">
        <v>556</v>
      </c>
      <c r="D351" s="63" t="str">
        <f>IF('Barn - Back Rack'!AB31="","",TRIM('Barn - Back Rack'!AB31))</f>
        <v/>
      </c>
      <c r="E351" s="64" t="str">
        <f>IF($D351="","",'Barn - Back Rack'!AC31&amp;"")</f>
        <v/>
      </c>
      <c r="F351" s="63">
        <f t="shared" si="27"/>
        <v>0</v>
      </c>
      <c r="G351" s="64" t="str">
        <f t="shared" si="24"/>
        <v/>
      </c>
      <c r="H351" s="64" t="str">
        <f t="shared" si="25"/>
        <v/>
      </c>
      <c r="I351" s="63">
        <f>IF($G351="",0,IF(COUNTIF($G$2:$G351,$G351)=1,1,0))</f>
        <v>0</v>
      </c>
      <c r="J351" s="63" t="str">
        <f t="shared" si="26"/>
        <v/>
      </c>
      <c r="K351" s="63" t="str">
        <f>IF($H351="","",COUNTIF($H$2:$H351,"?*"))</f>
        <v/>
      </c>
    </row>
    <row r="352" spans="1:11" x14ac:dyDescent="0.25">
      <c r="A352" s="63" t="s">
        <v>554</v>
      </c>
      <c r="B352" s="63" t="s">
        <v>907</v>
      </c>
      <c r="C352" s="63" t="s">
        <v>556</v>
      </c>
      <c r="D352" s="63" t="str">
        <f>IF('Barn - Back Rack'!AB32="","",TRIM('Barn - Back Rack'!AB32))</f>
        <v/>
      </c>
      <c r="E352" s="64" t="str">
        <f>IF($D352="","",'Barn - Back Rack'!AC32&amp;"")</f>
        <v/>
      </c>
      <c r="F352" s="63">
        <f t="shared" si="27"/>
        <v>0</v>
      </c>
      <c r="G352" s="64" t="str">
        <f t="shared" si="24"/>
        <v/>
      </c>
      <c r="H352" s="64" t="str">
        <f t="shared" si="25"/>
        <v/>
      </c>
      <c r="I352" s="63">
        <f>IF($G352="",0,IF(COUNTIF($G$2:$G352,$G352)=1,1,0))</f>
        <v>0</v>
      </c>
      <c r="J352" s="63" t="str">
        <f t="shared" si="26"/>
        <v/>
      </c>
      <c r="K352" s="63" t="str">
        <f>IF($H352="","",COUNTIF($H$2:$H352,"?*"))</f>
        <v/>
      </c>
    </row>
    <row r="353" spans="1:11" x14ac:dyDescent="0.25">
      <c r="A353" s="63" t="s">
        <v>554</v>
      </c>
      <c r="B353" s="63" t="s">
        <v>908</v>
      </c>
      <c r="C353" s="63" t="s">
        <v>556</v>
      </c>
      <c r="D353" s="63" t="str">
        <f>IF('Barn - Back Rack'!AB33="","",TRIM('Barn - Back Rack'!AB33))</f>
        <v/>
      </c>
      <c r="E353" s="64" t="str">
        <f>IF($D353="","",'Barn - Back Rack'!AC33&amp;"")</f>
        <v/>
      </c>
      <c r="F353" s="63">
        <f t="shared" si="27"/>
        <v>0</v>
      </c>
      <c r="G353" s="64" t="str">
        <f t="shared" si="24"/>
        <v/>
      </c>
      <c r="H353" s="64" t="str">
        <f t="shared" si="25"/>
        <v/>
      </c>
      <c r="I353" s="63">
        <f>IF($G353="",0,IF(COUNTIF($G$2:$G353,$G353)=1,1,0))</f>
        <v>0</v>
      </c>
      <c r="J353" s="63" t="str">
        <f t="shared" si="26"/>
        <v/>
      </c>
      <c r="K353" s="63" t="str">
        <f>IF($H353="","",COUNTIF($H$2:$H353,"?*"))</f>
        <v/>
      </c>
    </row>
    <row r="354" spans="1:11" x14ac:dyDescent="0.25">
      <c r="A354" s="63" t="s">
        <v>554</v>
      </c>
      <c r="B354" s="63" t="s">
        <v>909</v>
      </c>
      <c r="C354" s="63" t="s">
        <v>556</v>
      </c>
      <c r="D354" s="63" t="str">
        <f>IF('Barn - Back Rack'!AB34="","",TRIM('Barn - Back Rack'!AB34))</f>
        <v/>
      </c>
      <c r="E354" s="64" t="str">
        <f>IF($D354="","",'Barn - Back Rack'!AC34&amp;"")</f>
        <v/>
      </c>
      <c r="F354" s="63">
        <f t="shared" si="27"/>
        <v>0</v>
      </c>
      <c r="G354" s="64" t="str">
        <f t="shared" si="24"/>
        <v/>
      </c>
      <c r="H354" s="64" t="str">
        <f t="shared" si="25"/>
        <v/>
      </c>
      <c r="I354" s="63">
        <f>IF($G354="",0,IF(COUNTIF($G$2:$G354,$G354)=1,1,0))</f>
        <v>0</v>
      </c>
      <c r="J354" s="63" t="str">
        <f t="shared" si="26"/>
        <v/>
      </c>
      <c r="K354" s="63" t="str">
        <f>IF($H354="","",COUNTIF($H$2:$H354,"?*"))</f>
        <v/>
      </c>
    </row>
    <row r="355" spans="1:11" x14ac:dyDescent="0.25">
      <c r="A355" s="63" t="s">
        <v>554</v>
      </c>
      <c r="B355" s="63" t="s">
        <v>910</v>
      </c>
      <c r="C355" s="63" t="s">
        <v>556</v>
      </c>
      <c r="D355" s="63" t="str">
        <f>IF('Barn - Back Rack'!AB35="","",TRIM('Barn - Back Rack'!AB35))</f>
        <v/>
      </c>
      <c r="E355" s="64" t="str">
        <f>IF($D355="","",'Barn - Back Rack'!AC35&amp;"")</f>
        <v/>
      </c>
      <c r="F355" s="63">
        <f t="shared" si="27"/>
        <v>0</v>
      </c>
      <c r="G355" s="64" t="str">
        <f t="shared" si="24"/>
        <v/>
      </c>
      <c r="H355" s="64" t="str">
        <f t="shared" si="25"/>
        <v/>
      </c>
      <c r="I355" s="63">
        <f>IF($G355="",0,IF(COUNTIF($G$2:$G355,$G355)=1,1,0))</f>
        <v>0</v>
      </c>
      <c r="J355" s="63" t="str">
        <f t="shared" si="26"/>
        <v/>
      </c>
      <c r="K355" s="63" t="str">
        <f>IF($H355="","",COUNTIF($H$2:$H355,"?*"))</f>
        <v/>
      </c>
    </row>
    <row r="356" spans="1:11" x14ac:dyDescent="0.25">
      <c r="A356" s="63" t="s">
        <v>554</v>
      </c>
      <c r="B356" s="63" t="s">
        <v>911</v>
      </c>
      <c r="C356" s="63" t="s">
        <v>556</v>
      </c>
      <c r="D356" s="63" t="str">
        <f>IF('Barn - Back Rack'!AB36="","",TRIM('Barn - Back Rack'!AB36))</f>
        <v/>
      </c>
      <c r="E356" s="64" t="str">
        <f>IF($D356="","",'Barn - Back Rack'!AC36&amp;"")</f>
        <v/>
      </c>
      <c r="F356" s="63">
        <f t="shared" si="27"/>
        <v>0</v>
      </c>
      <c r="G356" s="64" t="str">
        <f t="shared" si="24"/>
        <v/>
      </c>
      <c r="H356" s="64" t="str">
        <f t="shared" si="25"/>
        <v/>
      </c>
      <c r="I356" s="63">
        <f>IF($G356="",0,IF(COUNTIF($G$2:$G356,$G356)=1,1,0))</f>
        <v>0</v>
      </c>
      <c r="J356" s="63" t="str">
        <f t="shared" si="26"/>
        <v/>
      </c>
      <c r="K356" s="63" t="str">
        <f>IF($H356="","",COUNTIF($H$2:$H356,"?*"))</f>
        <v/>
      </c>
    </row>
    <row r="357" spans="1:11" x14ac:dyDescent="0.25">
      <c r="A357" s="63" t="s">
        <v>554</v>
      </c>
      <c r="B357" s="63" t="s">
        <v>912</v>
      </c>
      <c r="C357" s="63" t="s">
        <v>556</v>
      </c>
      <c r="D357" s="63" t="str">
        <f>IF('Barn - Back Rack'!AB37="","",TRIM('Barn - Back Rack'!AB37))</f>
        <v/>
      </c>
      <c r="E357" s="64" t="str">
        <f>IF($D357="","",'Barn - Back Rack'!AC37&amp;"")</f>
        <v/>
      </c>
      <c r="F357" s="63">
        <f t="shared" si="27"/>
        <v>0</v>
      </c>
      <c r="G357" s="64" t="str">
        <f t="shared" si="24"/>
        <v/>
      </c>
      <c r="H357" s="64" t="str">
        <f t="shared" si="25"/>
        <v/>
      </c>
      <c r="I357" s="63">
        <f>IF($G357="",0,IF(COUNTIF($G$2:$G357,$G357)=1,1,0))</f>
        <v>0</v>
      </c>
      <c r="J357" s="63" t="str">
        <f t="shared" si="26"/>
        <v/>
      </c>
      <c r="K357" s="63" t="str">
        <f>IF($H357="","",COUNTIF($H$2:$H357,"?*"))</f>
        <v/>
      </c>
    </row>
    <row r="358" spans="1:11" x14ac:dyDescent="0.25">
      <c r="A358" s="63" t="s">
        <v>554</v>
      </c>
      <c r="B358" s="63" t="s">
        <v>913</v>
      </c>
      <c r="C358" s="63" t="s">
        <v>556</v>
      </c>
      <c r="D358" s="63" t="str">
        <f>IF('Barn - Back Rack'!AB38="","",TRIM('Barn - Back Rack'!AB38))</f>
        <v/>
      </c>
      <c r="E358" s="64" t="str">
        <f>IF($D358="","",'Barn - Back Rack'!AC38&amp;"")</f>
        <v/>
      </c>
      <c r="F358" s="63">
        <f t="shared" si="27"/>
        <v>0</v>
      </c>
      <c r="G358" s="64" t="str">
        <f t="shared" si="24"/>
        <v/>
      </c>
      <c r="H358" s="64" t="str">
        <f t="shared" si="25"/>
        <v/>
      </c>
      <c r="I358" s="63">
        <f>IF($G358="",0,IF(COUNTIF($G$2:$G358,$G358)=1,1,0))</f>
        <v>0</v>
      </c>
      <c r="J358" s="63" t="str">
        <f t="shared" si="26"/>
        <v/>
      </c>
      <c r="K358" s="63" t="str">
        <f>IF($H358="","",COUNTIF($H$2:$H358,"?*"))</f>
        <v/>
      </c>
    </row>
    <row r="359" spans="1:11" x14ac:dyDescent="0.25">
      <c r="A359" s="63" t="s">
        <v>554</v>
      </c>
      <c r="B359" s="63" t="s">
        <v>914</v>
      </c>
      <c r="C359" s="63" t="s">
        <v>556</v>
      </c>
      <c r="D359" s="63" t="str">
        <f>IF('Barn - Back Rack'!AB39="","",TRIM('Barn - Back Rack'!AB39))</f>
        <v/>
      </c>
      <c r="E359" s="64" t="str">
        <f>IF($D359="","",'Barn - Back Rack'!AC39&amp;"")</f>
        <v/>
      </c>
      <c r="F359" s="63">
        <f t="shared" si="27"/>
        <v>0</v>
      </c>
      <c r="G359" s="64" t="str">
        <f t="shared" si="24"/>
        <v/>
      </c>
      <c r="H359" s="64" t="str">
        <f t="shared" si="25"/>
        <v/>
      </c>
      <c r="I359" s="63">
        <f>IF($G359="",0,IF(COUNTIF($G$2:$G359,$G359)=1,1,0))</f>
        <v>0</v>
      </c>
      <c r="J359" s="63" t="str">
        <f t="shared" si="26"/>
        <v/>
      </c>
      <c r="K359" s="63" t="str">
        <f>IF($H359="","",COUNTIF($H$2:$H359,"?*"))</f>
        <v/>
      </c>
    </row>
    <row r="360" spans="1:11" x14ac:dyDescent="0.25">
      <c r="A360" s="63" t="s">
        <v>554</v>
      </c>
      <c r="B360" s="63" t="s">
        <v>915</v>
      </c>
      <c r="C360" s="63" t="s">
        <v>556</v>
      </c>
      <c r="D360" s="63" t="str">
        <f>IF('Barn - Back Rack'!AB40="","",TRIM('Barn - Back Rack'!AB40))</f>
        <v/>
      </c>
      <c r="E360" s="64" t="str">
        <f>IF($D360="","",'Barn - Back Rack'!AC40&amp;"")</f>
        <v/>
      </c>
      <c r="F360" s="63">
        <f t="shared" si="27"/>
        <v>0</v>
      </c>
      <c r="G360" s="64" t="str">
        <f t="shared" si="24"/>
        <v/>
      </c>
      <c r="H360" s="64" t="str">
        <f t="shared" si="25"/>
        <v/>
      </c>
      <c r="I360" s="63">
        <f>IF($G360="",0,IF(COUNTIF($G$2:$G360,$G360)=1,1,0))</f>
        <v>0</v>
      </c>
      <c r="J360" s="63" t="str">
        <f t="shared" si="26"/>
        <v/>
      </c>
      <c r="K360" s="63" t="str">
        <f>IF($H360="","",COUNTIF($H$2:$H360,"?*"))</f>
        <v/>
      </c>
    </row>
    <row r="361" spans="1:11" x14ac:dyDescent="0.25">
      <c r="A361" s="63" t="s">
        <v>554</v>
      </c>
      <c r="B361" s="63" t="s">
        <v>916</v>
      </c>
      <c r="C361" s="63" t="s">
        <v>556</v>
      </c>
      <c r="D361" s="63" t="str">
        <f>IF('Barn - Back Rack'!AB41="","",TRIM('Barn - Back Rack'!AB41))</f>
        <v/>
      </c>
      <c r="E361" s="64" t="str">
        <f>IF($D361="","",'Barn - Back Rack'!AC41&amp;"")</f>
        <v/>
      </c>
      <c r="F361" s="63">
        <f t="shared" si="27"/>
        <v>0</v>
      </c>
      <c r="G361" s="64" t="str">
        <f t="shared" si="24"/>
        <v/>
      </c>
      <c r="H361" s="64" t="str">
        <f t="shared" si="25"/>
        <v/>
      </c>
      <c r="I361" s="63">
        <f>IF($G361="",0,IF(COUNTIF($G$2:$G361,$G361)=1,1,0))</f>
        <v>0</v>
      </c>
      <c r="J361" s="63" t="str">
        <f t="shared" si="26"/>
        <v/>
      </c>
      <c r="K361" s="63" t="str">
        <f>IF($H361="","",COUNTIF($H$2:$H361,"?*"))</f>
        <v/>
      </c>
    </row>
    <row r="362" spans="1:11" x14ac:dyDescent="0.25">
      <c r="A362" s="63" t="s">
        <v>554</v>
      </c>
      <c r="B362" s="63" t="s">
        <v>917</v>
      </c>
      <c r="C362" s="63" t="s">
        <v>556</v>
      </c>
      <c r="D362" s="63" t="str">
        <f>IF('Barn - Back Rack'!AD30="","",TRIM('Barn - Back Rack'!AD30))</f>
        <v>Fetco 2051e</v>
      </c>
      <c r="E362" s="64" t="str">
        <f>IF($D362="","",'Barn - Back Rack'!AE30&amp;"")</f>
        <v>470102071577</v>
      </c>
      <c r="F362" s="63">
        <f t="shared" ref="F362:F393" si="28">IF($D362="",0,1)</f>
        <v>1</v>
      </c>
      <c r="G362" s="64" t="str">
        <f t="shared" si="24"/>
        <v>Fetco 2051e</v>
      </c>
      <c r="H362" s="64" t="str">
        <f t="shared" si="25"/>
        <v/>
      </c>
      <c r="I362" s="63">
        <f>IF($G362="",0,IF(COUNTIF($G$2:$G362,$G362)=1,1,0))</f>
        <v>1</v>
      </c>
      <c r="J362" s="63">
        <f t="shared" si="26"/>
        <v>54</v>
      </c>
      <c r="K362" s="63" t="str">
        <f>IF($H362="","",COUNTIF($H$2:$H362,"?*"))</f>
        <v/>
      </c>
    </row>
    <row r="363" spans="1:11" x14ac:dyDescent="0.25">
      <c r="A363" s="63" t="s">
        <v>554</v>
      </c>
      <c r="B363" s="63" t="s">
        <v>918</v>
      </c>
      <c r="C363" s="63" t="s">
        <v>556</v>
      </c>
      <c r="D363" s="63" t="str">
        <f>IF('Barn - Back Rack'!AD31="","",TRIM('Barn - Back Rack'!AD31))</f>
        <v>Fetco 2051e</v>
      </c>
      <c r="E363" s="64" t="str">
        <f>IF($D363="","",'Barn - Back Rack'!AE31&amp;"")</f>
        <v>470105071605</v>
      </c>
      <c r="F363" s="63">
        <f t="shared" si="28"/>
        <v>1</v>
      </c>
      <c r="G363" s="64" t="str">
        <f t="shared" si="24"/>
        <v>Fetco 2051e</v>
      </c>
      <c r="H363" s="64" t="str">
        <f t="shared" si="25"/>
        <v/>
      </c>
      <c r="I363" s="63">
        <f>IF($G363="",0,IF(COUNTIF($G$2:$G363,$G363)=1,1,0))</f>
        <v>0</v>
      </c>
      <c r="J363" s="63" t="str">
        <f t="shared" si="26"/>
        <v/>
      </c>
      <c r="K363" s="63" t="str">
        <f>IF($H363="","",COUNTIF($H$2:$H363,"?*"))</f>
        <v/>
      </c>
    </row>
    <row r="364" spans="1:11" x14ac:dyDescent="0.25">
      <c r="A364" s="63" t="s">
        <v>554</v>
      </c>
      <c r="B364" s="63" t="s">
        <v>919</v>
      </c>
      <c r="C364" s="63" t="s">
        <v>556</v>
      </c>
      <c r="D364" s="63" t="str">
        <f>IF('Barn - Back Rack'!AD32="","",TRIM('Barn - Back Rack'!AD32))</f>
        <v>Fetco 2051e</v>
      </c>
      <c r="E364" s="64" t="str">
        <f>IF($D364="","",'Barn - Back Rack'!AE32&amp;"")</f>
        <v>470140071828</v>
      </c>
      <c r="F364" s="63">
        <f t="shared" si="28"/>
        <v>1</v>
      </c>
      <c r="G364" s="64" t="str">
        <f t="shared" si="24"/>
        <v>Fetco 2051e</v>
      </c>
      <c r="H364" s="64" t="str">
        <f t="shared" si="25"/>
        <v/>
      </c>
      <c r="I364" s="63">
        <f>IF($G364="",0,IF(COUNTIF($G$2:$G364,$G364)=1,1,0))</f>
        <v>0</v>
      </c>
      <c r="J364" s="63" t="str">
        <f t="shared" si="26"/>
        <v/>
      </c>
      <c r="K364" s="63" t="str">
        <f>IF($H364="","",COUNTIF($H$2:$H364,"?*"))</f>
        <v/>
      </c>
    </row>
    <row r="365" spans="1:11" x14ac:dyDescent="0.25">
      <c r="A365" s="63" t="s">
        <v>554</v>
      </c>
      <c r="B365" s="63" t="s">
        <v>920</v>
      </c>
      <c r="C365" s="63" t="s">
        <v>556</v>
      </c>
      <c r="D365" s="63" t="str">
        <f>IF('Barn - Back Rack'!AD33="","",TRIM('Barn - Back Rack'!AD33))</f>
        <v>Fetco 1151 V+</v>
      </c>
      <c r="E365" s="64" t="str">
        <f>IF($D365="","",'Barn - Back Rack'!AE33&amp;"")</f>
        <v>11515145245217675</v>
      </c>
      <c r="F365" s="63">
        <f t="shared" si="28"/>
        <v>1</v>
      </c>
      <c r="G365" s="64" t="str">
        <f t="shared" si="24"/>
        <v>Fetco 1151 V+</v>
      </c>
      <c r="H365" s="64" t="str">
        <f t="shared" si="25"/>
        <v/>
      </c>
      <c r="I365" s="63">
        <f>IF($G365="",0,IF(COUNTIF($G$2:$G365,$G365)=1,1,0))</f>
        <v>1</v>
      </c>
      <c r="J365" s="63">
        <f t="shared" si="26"/>
        <v>50</v>
      </c>
      <c r="K365" s="63" t="str">
        <f>IF($H365="","",COUNTIF($H$2:$H365,"?*"))</f>
        <v/>
      </c>
    </row>
    <row r="366" spans="1:11" x14ac:dyDescent="0.25">
      <c r="A366" s="63" t="s">
        <v>554</v>
      </c>
      <c r="B366" s="63" t="s">
        <v>921</v>
      </c>
      <c r="C366" s="63" t="s">
        <v>556</v>
      </c>
      <c r="D366" s="63" t="str">
        <f>IF('Barn - Back Rack'!AD34="","",TRIM('Barn - Back Rack'!AD34))</f>
        <v>Fetco 2051e</v>
      </c>
      <c r="E366" s="64" t="str">
        <f>IF($D366="","",'Barn - Back Rack'!AE34&amp;"")</f>
        <v>470112123156</v>
      </c>
      <c r="F366" s="63">
        <f t="shared" si="28"/>
        <v>1</v>
      </c>
      <c r="G366" s="64" t="str">
        <f t="shared" si="24"/>
        <v>Fetco 2051e</v>
      </c>
      <c r="H366" s="64" t="str">
        <f t="shared" si="25"/>
        <v/>
      </c>
      <c r="I366" s="63">
        <f>IF($G366="",0,IF(COUNTIF($G$2:$G366,$G366)=1,1,0))</f>
        <v>0</v>
      </c>
      <c r="J366" s="63" t="str">
        <f t="shared" si="26"/>
        <v/>
      </c>
      <c r="K366" s="63" t="str">
        <f>IF($H366="","",COUNTIF($H$2:$H366,"?*"))</f>
        <v/>
      </c>
    </row>
    <row r="367" spans="1:11" x14ac:dyDescent="0.25">
      <c r="A367" s="63" t="s">
        <v>554</v>
      </c>
      <c r="B367" s="63" t="s">
        <v>922</v>
      </c>
      <c r="C367" s="63" t="s">
        <v>556</v>
      </c>
      <c r="D367" s="63" t="str">
        <f>IF('Barn - Back Rack'!AD35="","",TRIM('Barn - Back Rack'!AD35))</f>
        <v>Fetco 51H</v>
      </c>
      <c r="E367" s="64" t="str">
        <f>IF($D367="","",'Barn - Back Rack'!AE35&amp;"")</f>
        <v>05482600</v>
      </c>
      <c r="F367" s="63">
        <f t="shared" si="28"/>
        <v>1</v>
      </c>
      <c r="G367" s="64" t="str">
        <f t="shared" si="24"/>
        <v>Fetco 51H</v>
      </c>
      <c r="H367" s="64" t="str">
        <f t="shared" si="25"/>
        <v/>
      </c>
      <c r="I367" s="63">
        <f>IF($G367="",0,IF(COUNTIF($G$2:$G367,$G367)=1,1,0))</f>
        <v>0</v>
      </c>
      <c r="J367" s="63" t="str">
        <f t="shared" si="26"/>
        <v/>
      </c>
      <c r="K367" s="63" t="str">
        <f>IF($H367="","",COUNTIF($H$2:$H367,"?*"))</f>
        <v/>
      </c>
    </row>
    <row r="368" spans="1:11" x14ac:dyDescent="0.25">
      <c r="A368" s="63" t="s">
        <v>554</v>
      </c>
      <c r="B368" s="63" t="s">
        <v>923</v>
      </c>
      <c r="C368" s="63" t="s">
        <v>556</v>
      </c>
      <c r="D368" s="63" t="str">
        <f>IF('Barn - Back Rack'!AD36="","",TRIM('Barn - Back Rack'!AD36))</f>
        <v/>
      </c>
      <c r="E368" s="64" t="str">
        <f>IF($D368="","",'Barn - Back Rack'!AE36&amp;"")</f>
        <v/>
      </c>
      <c r="F368" s="63">
        <f t="shared" si="28"/>
        <v>0</v>
      </c>
      <c r="G368" s="64" t="str">
        <f t="shared" si="24"/>
        <v/>
      </c>
      <c r="H368" s="64" t="str">
        <f t="shared" si="25"/>
        <v/>
      </c>
      <c r="I368" s="63">
        <f>IF($G368="",0,IF(COUNTIF($G$2:$G368,$G368)=1,1,0))</f>
        <v>0</v>
      </c>
      <c r="J368" s="63" t="str">
        <f t="shared" si="26"/>
        <v/>
      </c>
      <c r="K368" s="63" t="str">
        <f>IF($H368="","",COUNTIF($H$2:$H368,"?*"))</f>
        <v/>
      </c>
    </row>
    <row r="369" spans="1:11" x14ac:dyDescent="0.25">
      <c r="A369" s="63" t="s">
        <v>554</v>
      </c>
      <c r="B369" s="63" t="s">
        <v>924</v>
      </c>
      <c r="C369" s="63" t="s">
        <v>556</v>
      </c>
      <c r="D369" s="63" t="str">
        <f>IF('Barn - Back Rack'!AD37="","",TRIM('Barn - Back Rack'!AD37))</f>
        <v/>
      </c>
      <c r="E369" s="64" t="str">
        <f>IF($D369="","",'Barn - Back Rack'!AE37&amp;"")</f>
        <v/>
      </c>
      <c r="F369" s="63">
        <f t="shared" si="28"/>
        <v>0</v>
      </c>
      <c r="G369" s="64" t="str">
        <f t="shared" si="24"/>
        <v/>
      </c>
      <c r="H369" s="64" t="str">
        <f t="shared" si="25"/>
        <v/>
      </c>
      <c r="I369" s="63">
        <f>IF($G369="",0,IF(COUNTIF($G$2:$G369,$G369)=1,1,0))</f>
        <v>0</v>
      </c>
      <c r="J369" s="63" t="str">
        <f t="shared" si="26"/>
        <v/>
      </c>
      <c r="K369" s="63" t="str">
        <f>IF($H369="","",COUNTIF($H$2:$H369,"?*"))</f>
        <v/>
      </c>
    </row>
    <row r="370" spans="1:11" x14ac:dyDescent="0.25">
      <c r="A370" s="63" t="s">
        <v>554</v>
      </c>
      <c r="B370" s="63" t="s">
        <v>925</v>
      </c>
      <c r="C370" s="63" t="s">
        <v>556</v>
      </c>
      <c r="D370" s="63" t="str">
        <f>IF('Barn - Back Rack'!AD38="","",TRIM('Barn - Back Rack'!AD38))</f>
        <v/>
      </c>
      <c r="E370" s="64" t="str">
        <f>IF($D370="","",'Barn - Back Rack'!AE38&amp;"")</f>
        <v/>
      </c>
      <c r="F370" s="63">
        <f t="shared" si="28"/>
        <v>0</v>
      </c>
      <c r="G370" s="64" t="str">
        <f t="shared" si="24"/>
        <v/>
      </c>
      <c r="H370" s="64" t="str">
        <f t="shared" si="25"/>
        <v/>
      </c>
      <c r="I370" s="63">
        <f>IF($G370="",0,IF(COUNTIF($G$2:$G370,$G370)=1,1,0))</f>
        <v>0</v>
      </c>
      <c r="J370" s="63" t="str">
        <f t="shared" si="26"/>
        <v/>
      </c>
      <c r="K370" s="63" t="str">
        <f>IF($H370="","",COUNTIF($H$2:$H370,"?*"))</f>
        <v/>
      </c>
    </row>
    <row r="371" spans="1:11" x14ac:dyDescent="0.25">
      <c r="A371" s="63" t="s">
        <v>554</v>
      </c>
      <c r="B371" s="63" t="s">
        <v>926</v>
      </c>
      <c r="C371" s="63" t="s">
        <v>556</v>
      </c>
      <c r="D371" s="63" t="str">
        <f>IF('Barn - Back Rack'!AD39="","",TRIM('Barn - Back Rack'!AD39))</f>
        <v/>
      </c>
      <c r="E371" s="64" t="str">
        <f>IF($D371="","",'Barn - Back Rack'!AE39&amp;"")</f>
        <v/>
      </c>
      <c r="F371" s="63">
        <f t="shared" si="28"/>
        <v>0</v>
      </c>
      <c r="G371" s="64" t="str">
        <f t="shared" si="24"/>
        <v/>
      </c>
      <c r="H371" s="64" t="str">
        <f t="shared" si="25"/>
        <v/>
      </c>
      <c r="I371" s="63">
        <f>IF($G371="",0,IF(COUNTIF($G$2:$G371,$G371)=1,1,0))</f>
        <v>0</v>
      </c>
      <c r="J371" s="63" t="str">
        <f t="shared" si="26"/>
        <v/>
      </c>
      <c r="K371" s="63" t="str">
        <f>IF($H371="","",COUNTIF($H$2:$H371,"?*"))</f>
        <v/>
      </c>
    </row>
    <row r="372" spans="1:11" x14ac:dyDescent="0.25">
      <c r="A372" s="63" t="s">
        <v>554</v>
      </c>
      <c r="B372" s="63" t="s">
        <v>927</v>
      </c>
      <c r="C372" s="63" t="s">
        <v>556</v>
      </c>
      <c r="D372" s="63" t="str">
        <f>IF('Barn - Back Rack'!AD40="","",TRIM('Barn - Back Rack'!AD40))</f>
        <v/>
      </c>
      <c r="E372" s="64" t="str">
        <f>IF($D372="","",'Barn - Back Rack'!AE40&amp;"")</f>
        <v/>
      </c>
      <c r="F372" s="63">
        <f t="shared" si="28"/>
        <v>0</v>
      </c>
      <c r="G372" s="64" t="str">
        <f t="shared" si="24"/>
        <v/>
      </c>
      <c r="H372" s="64" t="str">
        <f t="shared" si="25"/>
        <v/>
      </c>
      <c r="I372" s="63">
        <f>IF($G372="",0,IF(COUNTIF($G$2:$G372,$G372)=1,1,0))</f>
        <v>0</v>
      </c>
      <c r="J372" s="63" t="str">
        <f t="shared" si="26"/>
        <v/>
      </c>
      <c r="K372" s="63" t="str">
        <f>IF($H372="","",COUNTIF($H$2:$H372,"?*"))</f>
        <v/>
      </c>
    </row>
    <row r="373" spans="1:11" x14ac:dyDescent="0.25">
      <c r="A373" s="63" t="s">
        <v>554</v>
      </c>
      <c r="B373" s="63" t="s">
        <v>928</v>
      </c>
      <c r="C373" s="63" t="s">
        <v>556</v>
      </c>
      <c r="D373" s="63" t="str">
        <f>IF('Barn - Back Rack'!AD41="","",TRIM('Barn - Back Rack'!AD41))</f>
        <v/>
      </c>
      <c r="E373" s="64" t="str">
        <f>IF($D373="","",'Barn - Back Rack'!AE41&amp;"")</f>
        <v/>
      </c>
      <c r="F373" s="63">
        <f t="shared" si="28"/>
        <v>0</v>
      </c>
      <c r="G373" s="64" t="str">
        <f t="shared" si="24"/>
        <v/>
      </c>
      <c r="H373" s="64" t="str">
        <f t="shared" si="25"/>
        <v/>
      </c>
      <c r="I373" s="63">
        <f>IF($G373="",0,IF(COUNTIF($G$2:$G373,$G373)=1,1,0))</f>
        <v>0</v>
      </c>
      <c r="J373" s="63" t="str">
        <f t="shared" si="26"/>
        <v/>
      </c>
      <c r="K373" s="63" t="str">
        <f>IF($H373="","",COUNTIF($H$2:$H373,"?*"))</f>
        <v/>
      </c>
    </row>
    <row r="374" spans="1:11" x14ac:dyDescent="0.25">
      <c r="A374" s="63" t="s">
        <v>554</v>
      </c>
      <c r="B374" s="63" t="s">
        <v>929</v>
      </c>
      <c r="C374" s="63" t="s">
        <v>556</v>
      </c>
      <c r="D374" s="63" t="str">
        <f>IF('Barn - Back Rack'!AF30="","",TRIM('Barn - Back Rack'!AF30))</f>
        <v>Fetco 1232 Plus</v>
      </c>
      <c r="E374" s="64" t="str">
        <f>IF($D374="","",'Barn - Back Rack'!AG30&amp;"")</f>
        <v>12321B23006241064</v>
      </c>
      <c r="F374" s="63">
        <f t="shared" si="28"/>
        <v>1</v>
      </c>
      <c r="G374" s="64" t="str">
        <f t="shared" si="24"/>
        <v>Fetco 1232 Plus</v>
      </c>
      <c r="H374" s="64" t="str">
        <f t="shared" si="25"/>
        <v/>
      </c>
      <c r="I374" s="63">
        <f>IF($G374="",0,IF(COUNTIF($G$2:$G374,$G374)=1,1,0))</f>
        <v>1</v>
      </c>
      <c r="J374" s="63">
        <f t="shared" si="26"/>
        <v>51</v>
      </c>
      <c r="K374" s="63" t="str">
        <f>IF($H374="","",COUNTIF($H$2:$H374,"?*"))</f>
        <v/>
      </c>
    </row>
    <row r="375" spans="1:11" x14ac:dyDescent="0.25">
      <c r="A375" s="63" t="s">
        <v>554</v>
      </c>
      <c r="B375" s="63" t="s">
        <v>930</v>
      </c>
      <c r="C375" s="63" t="s">
        <v>556</v>
      </c>
      <c r="D375" s="63" t="str">
        <f>IF('Barn - Back Rack'!AF31="","",TRIM('Barn - Back Rack'!AF31))</f>
        <v>Fetco 1232 Plus</v>
      </c>
      <c r="E375" s="64" t="str">
        <f>IF($D375="","",'Barn - Back Rack'!AG31&amp;"")</f>
        <v>12321B22312252880</v>
      </c>
      <c r="F375" s="63">
        <f t="shared" si="28"/>
        <v>1</v>
      </c>
      <c r="G375" s="64" t="str">
        <f t="shared" si="24"/>
        <v>Fetco 1232 Plus</v>
      </c>
      <c r="H375" s="64" t="str">
        <f t="shared" si="25"/>
        <v/>
      </c>
      <c r="I375" s="63">
        <f>IF($G375="",0,IF(COUNTIF($G$2:$G375,$G375)=1,1,0))</f>
        <v>0</v>
      </c>
      <c r="J375" s="63" t="str">
        <f t="shared" si="26"/>
        <v/>
      </c>
      <c r="K375" s="63" t="str">
        <f>IF($H375="","",COUNTIF($H$2:$H375,"?*"))</f>
        <v/>
      </c>
    </row>
    <row r="376" spans="1:11" x14ac:dyDescent="0.25">
      <c r="A376" s="63" t="s">
        <v>554</v>
      </c>
      <c r="B376" s="63" t="s">
        <v>931</v>
      </c>
      <c r="C376" s="63" t="s">
        <v>556</v>
      </c>
      <c r="D376" s="63" t="str">
        <f>IF('Barn - Back Rack'!AF32="","",TRIM('Barn - Back Rack'!AF32))</f>
        <v>Fetco 52H</v>
      </c>
      <c r="E376" s="64" t="str">
        <f>IF($D376="","",'Barn - Back Rack'!AG32&amp;"")</f>
        <v>30105258944</v>
      </c>
      <c r="F376" s="63">
        <f t="shared" si="28"/>
        <v>1</v>
      </c>
      <c r="G376" s="64" t="str">
        <f t="shared" si="24"/>
        <v>Fetco 52H</v>
      </c>
      <c r="H376" s="64" t="str">
        <f t="shared" si="25"/>
        <v/>
      </c>
      <c r="I376" s="63">
        <f>IF($G376="",0,IF(COUNTIF($G$2:$G376,$G376)=1,1,0))</f>
        <v>1</v>
      </c>
      <c r="J376" s="63">
        <f t="shared" si="26"/>
        <v>56</v>
      </c>
      <c r="K376" s="63" t="str">
        <f>IF($H376="","",COUNTIF($H$2:$H376,"?*"))</f>
        <v/>
      </c>
    </row>
    <row r="377" spans="1:11" x14ac:dyDescent="0.25">
      <c r="A377" s="63" t="s">
        <v>554</v>
      </c>
      <c r="B377" s="63" t="s">
        <v>932</v>
      </c>
      <c r="C377" s="63" t="s">
        <v>556</v>
      </c>
      <c r="D377" s="63" t="str">
        <f>IF('Barn - Back Rack'!AF33="","",TRIM('Barn - Back Rack'!AF33))</f>
        <v/>
      </c>
      <c r="E377" s="64" t="str">
        <f>IF($D377="","",'Barn - Back Rack'!AG33&amp;"")</f>
        <v/>
      </c>
      <c r="F377" s="63">
        <f t="shared" si="28"/>
        <v>0</v>
      </c>
      <c r="G377" s="64" t="str">
        <f t="shared" si="24"/>
        <v/>
      </c>
      <c r="H377" s="64" t="str">
        <f t="shared" si="25"/>
        <v/>
      </c>
      <c r="I377" s="63">
        <f>IF($G377="",0,IF(COUNTIF($G$2:$G377,$G377)=1,1,0))</f>
        <v>0</v>
      </c>
      <c r="J377" s="63" t="str">
        <f t="shared" si="26"/>
        <v/>
      </c>
      <c r="K377" s="63" t="str">
        <f>IF($H377="","",COUNTIF($H$2:$H377,"?*"))</f>
        <v/>
      </c>
    </row>
    <row r="378" spans="1:11" x14ac:dyDescent="0.25">
      <c r="A378" s="63" t="s">
        <v>554</v>
      </c>
      <c r="B378" s="63" t="s">
        <v>933</v>
      </c>
      <c r="C378" s="63" t="s">
        <v>556</v>
      </c>
      <c r="D378" s="63" t="str">
        <f>IF('Barn - Back Rack'!AF34="","",TRIM('Barn - Back Rack'!AF34))</f>
        <v/>
      </c>
      <c r="E378" s="64" t="str">
        <f>IF($D378="","",'Barn - Back Rack'!AG34&amp;"")</f>
        <v/>
      </c>
      <c r="F378" s="63">
        <f t="shared" si="28"/>
        <v>0</v>
      </c>
      <c r="G378" s="64" t="str">
        <f t="shared" si="24"/>
        <v/>
      </c>
      <c r="H378" s="64" t="str">
        <f t="shared" si="25"/>
        <v/>
      </c>
      <c r="I378" s="63">
        <f>IF($G378="",0,IF(COUNTIF($G$2:$G378,$G378)=1,1,0))</f>
        <v>0</v>
      </c>
      <c r="J378" s="63" t="str">
        <f t="shared" si="26"/>
        <v/>
      </c>
      <c r="K378" s="63" t="str">
        <f>IF($H378="","",COUNTIF($H$2:$H378,"?*"))</f>
        <v/>
      </c>
    </row>
    <row r="379" spans="1:11" x14ac:dyDescent="0.25">
      <c r="A379" s="63" t="s">
        <v>554</v>
      </c>
      <c r="B379" s="63" t="s">
        <v>934</v>
      </c>
      <c r="C379" s="63" t="s">
        <v>556</v>
      </c>
      <c r="D379" s="63" t="str">
        <f>IF('Barn - Back Rack'!AF35="","",TRIM('Barn - Back Rack'!AF35))</f>
        <v/>
      </c>
      <c r="E379" s="64" t="str">
        <f>IF($D379="","",'Barn - Back Rack'!AG35&amp;"")</f>
        <v/>
      </c>
      <c r="F379" s="63">
        <f t="shared" si="28"/>
        <v>0</v>
      </c>
      <c r="G379" s="64" t="str">
        <f t="shared" si="24"/>
        <v/>
      </c>
      <c r="H379" s="64" t="str">
        <f t="shared" si="25"/>
        <v/>
      </c>
      <c r="I379" s="63">
        <f>IF($G379="",0,IF(COUNTIF($G$2:$G379,$G379)=1,1,0))</f>
        <v>0</v>
      </c>
      <c r="J379" s="63" t="str">
        <f t="shared" si="26"/>
        <v/>
      </c>
      <c r="K379" s="63" t="str">
        <f>IF($H379="","",COUNTIF($H$2:$H379,"?*"))</f>
        <v/>
      </c>
    </row>
    <row r="380" spans="1:11" x14ac:dyDescent="0.25">
      <c r="A380" s="63" t="s">
        <v>554</v>
      </c>
      <c r="B380" s="63" t="s">
        <v>935</v>
      </c>
      <c r="C380" s="63" t="s">
        <v>556</v>
      </c>
      <c r="D380" s="63" t="str">
        <f>IF('Barn - Back Rack'!AF36="","",TRIM('Barn - Back Rack'!AF36))</f>
        <v/>
      </c>
      <c r="E380" s="64" t="str">
        <f>IF($D380="","",'Barn - Back Rack'!AG36&amp;"")</f>
        <v/>
      </c>
      <c r="F380" s="63">
        <f t="shared" si="28"/>
        <v>0</v>
      </c>
      <c r="G380" s="64" t="str">
        <f t="shared" si="24"/>
        <v/>
      </c>
      <c r="H380" s="64" t="str">
        <f t="shared" si="25"/>
        <v/>
      </c>
      <c r="I380" s="63">
        <f>IF($G380="",0,IF(COUNTIF($G$2:$G380,$G380)=1,1,0))</f>
        <v>0</v>
      </c>
      <c r="J380" s="63" t="str">
        <f t="shared" si="26"/>
        <v/>
      </c>
      <c r="K380" s="63" t="str">
        <f>IF($H380="","",COUNTIF($H$2:$H380,"?*"))</f>
        <v/>
      </c>
    </row>
    <row r="381" spans="1:11" x14ac:dyDescent="0.25">
      <c r="A381" s="63" t="s">
        <v>554</v>
      </c>
      <c r="B381" s="63" t="s">
        <v>936</v>
      </c>
      <c r="C381" s="63" t="s">
        <v>556</v>
      </c>
      <c r="D381" s="63" t="str">
        <f>IF('Barn - Back Rack'!AF37="","",TRIM('Barn - Back Rack'!AF37))</f>
        <v/>
      </c>
      <c r="E381" s="64" t="str">
        <f>IF($D381="","",'Barn - Back Rack'!AG37&amp;"")</f>
        <v/>
      </c>
      <c r="F381" s="63">
        <f t="shared" si="28"/>
        <v>0</v>
      </c>
      <c r="G381" s="64" t="str">
        <f t="shared" si="24"/>
        <v/>
      </c>
      <c r="H381" s="64" t="str">
        <f t="shared" si="25"/>
        <v/>
      </c>
      <c r="I381" s="63">
        <f>IF($G381="",0,IF(COUNTIF($G$2:$G381,$G381)=1,1,0))</f>
        <v>0</v>
      </c>
      <c r="J381" s="63" t="str">
        <f t="shared" si="26"/>
        <v/>
      </c>
      <c r="K381" s="63" t="str">
        <f>IF($H381="","",COUNTIF($H$2:$H381,"?*"))</f>
        <v/>
      </c>
    </row>
    <row r="382" spans="1:11" x14ac:dyDescent="0.25">
      <c r="A382" s="63" t="s">
        <v>554</v>
      </c>
      <c r="B382" s="63" t="s">
        <v>937</v>
      </c>
      <c r="C382" s="63" t="s">
        <v>556</v>
      </c>
      <c r="D382" s="63" t="str">
        <f>IF('Barn - Back Rack'!AF38="","",TRIM('Barn - Back Rack'!AF38))</f>
        <v/>
      </c>
      <c r="E382" s="64" t="str">
        <f>IF($D382="","",'Barn - Back Rack'!AG38&amp;"")</f>
        <v/>
      </c>
      <c r="F382" s="63">
        <f t="shared" si="28"/>
        <v>0</v>
      </c>
      <c r="G382" s="64" t="str">
        <f t="shared" si="24"/>
        <v/>
      </c>
      <c r="H382" s="64" t="str">
        <f t="shared" si="25"/>
        <v/>
      </c>
      <c r="I382" s="63">
        <f>IF($G382="",0,IF(COUNTIF($G$2:$G382,$G382)=1,1,0))</f>
        <v>0</v>
      </c>
      <c r="J382" s="63" t="str">
        <f t="shared" si="26"/>
        <v/>
      </c>
      <c r="K382" s="63" t="str">
        <f>IF($H382="","",COUNTIF($H$2:$H382,"?*"))</f>
        <v/>
      </c>
    </row>
    <row r="383" spans="1:11" x14ac:dyDescent="0.25">
      <c r="A383" s="63" t="s">
        <v>554</v>
      </c>
      <c r="B383" s="63" t="s">
        <v>938</v>
      </c>
      <c r="C383" s="63" t="s">
        <v>556</v>
      </c>
      <c r="D383" s="63" t="str">
        <f>IF('Barn - Back Rack'!AF39="","",TRIM('Barn - Back Rack'!AF39))</f>
        <v/>
      </c>
      <c r="E383" s="64" t="str">
        <f>IF($D383="","",'Barn - Back Rack'!AG39&amp;"")</f>
        <v/>
      </c>
      <c r="F383" s="63">
        <f t="shared" si="28"/>
        <v>0</v>
      </c>
      <c r="G383" s="64" t="str">
        <f t="shared" si="24"/>
        <v/>
      </c>
      <c r="H383" s="64" t="str">
        <f t="shared" si="25"/>
        <v/>
      </c>
      <c r="I383" s="63">
        <f>IF($G383="",0,IF(COUNTIF($G$2:$G383,$G383)=1,1,0))</f>
        <v>0</v>
      </c>
      <c r="J383" s="63" t="str">
        <f t="shared" si="26"/>
        <v/>
      </c>
      <c r="K383" s="63" t="str">
        <f>IF($H383="","",COUNTIF($H$2:$H383,"?*"))</f>
        <v/>
      </c>
    </row>
    <row r="384" spans="1:11" x14ac:dyDescent="0.25">
      <c r="A384" s="63" t="s">
        <v>554</v>
      </c>
      <c r="B384" s="63" t="s">
        <v>939</v>
      </c>
      <c r="C384" s="63" t="s">
        <v>556</v>
      </c>
      <c r="D384" s="63" t="str">
        <f>IF('Barn - Back Rack'!AF40="","",TRIM('Barn - Back Rack'!AF40))</f>
        <v/>
      </c>
      <c r="E384" s="64" t="str">
        <f>IF($D384="","",'Barn - Back Rack'!AG40&amp;"")</f>
        <v/>
      </c>
      <c r="F384" s="63">
        <f t="shared" si="28"/>
        <v>0</v>
      </c>
      <c r="G384" s="64" t="str">
        <f t="shared" si="24"/>
        <v/>
      </c>
      <c r="H384" s="64" t="str">
        <f t="shared" si="25"/>
        <v/>
      </c>
      <c r="I384" s="63">
        <f>IF($G384="",0,IF(COUNTIF($G$2:$G384,$G384)=1,1,0))</f>
        <v>0</v>
      </c>
      <c r="J384" s="63" t="str">
        <f t="shared" si="26"/>
        <v/>
      </c>
      <c r="K384" s="63" t="str">
        <f>IF($H384="","",COUNTIF($H$2:$H384,"?*"))</f>
        <v/>
      </c>
    </row>
    <row r="385" spans="1:11" x14ac:dyDescent="0.25">
      <c r="A385" s="63" t="s">
        <v>554</v>
      </c>
      <c r="B385" s="63" t="s">
        <v>940</v>
      </c>
      <c r="C385" s="63" t="s">
        <v>556</v>
      </c>
      <c r="D385" s="63" t="str">
        <f>IF('Barn - Back Rack'!AF41="","",TRIM('Barn - Back Rack'!AF41))</f>
        <v/>
      </c>
      <c r="E385" s="64" t="str">
        <f>IF($D385="","",'Barn - Back Rack'!AG41&amp;"")</f>
        <v/>
      </c>
      <c r="F385" s="63">
        <f t="shared" si="28"/>
        <v>0</v>
      </c>
      <c r="G385" s="64" t="str">
        <f t="shared" si="24"/>
        <v/>
      </c>
      <c r="H385" s="64" t="str">
        <f t="shared" si="25"/>
        <v/>
      </c>
      <c r="I385" s="63">
        <f>IF($G385="",0,IF(COUNTIF($G$2:$G385,$G385)=1,1,0))</f>
        <v>0</v>
      </c>
      <c r="J385" s="63" t="str">
        <f t="shared" si="26"/>
        <v/>
      </c>
      <c r="K385" s="63" t="str">
        <f>IF($H385="","",COUNTIF($H$2:$H385,"?*"))</f>
        <v/>
      </c>
    </row>
    <row r="386" spans="1:11" x14ac:dyDescent="0.25">
      <c r="A386" s="63" t="s">
        <v>554</v>
      </c>
      <c r="B386" s="63" t="s">
        <v>941</v>
      </c>
      <c r="C386" s="63" t="s">
        <v>556</v>
      </c>
      <c r="D386" s="63" t="str">
        <f>IF('Barn - Back Rack'!B47="","",TRIM('Barn - Back Rack'!B47))</f>
        <v/>
      </c>
      <c r="E386" s="64" t="str">
        <f>IF($D386="","",'Barn - Back Rack'!C47&amp;"")</f>
        <v/>
      </c>
      <c r="F386" s="63">
        <f t="shared" si="28"/>
        <v>0</v>
      </c>
      <c r="G386" s="64" t="str">
        <f t="shared" ref="G386:G449" si="29">IF($D386="","",IF(ISNUMBER(FIND("(",$D386)),TRIM(LEFT($D386,FIND("(",$D386)-1)),$D386))</f>
        <v/>
      </c>
      <c r="H386" s="64" t="str">
        <f t="shared" ref="H386:H449" si="30">IF($D386="","",IF(ISNUMBER(FIND("(",$D386)),TRIM(SUBSTITUTE(MID($D386,FIND("(",$D386)+1,200),")","")),""))</f>
        <v/>
      </c>
      <c r="I386" s="63">
        <f>IF($G386="",0,IF(COUNTIF($G$2:$G386,$G386)=1,1,0))</f>
        <v>0</v>
      </c>
      <c r="J386" s="63" t="str">
        <f t="shared" ref="J386:J449" si="31">IF($I386=0,"",SUMPRODUCT(($I$2:$I$1513=1)*($G$2:$G$1513&lt;$G386))+1)</f>
        <v/>
      </c>
      <c r="K386" s="63" t="str">
        <f>IF($H386="","",COUNTIF($H$2:$H386,"?*"))</f>
        <v/>
      </c>
    </row>
    <row r="387" spans="1:11" x14ac:dyDescent="0.25">
      <c r="A387" s="63" t="s">
        <v>554</v>
      </c>
      <c r="B387" s="63" t="s">
        <v>942</v>
      </c>
      <c r="C387" s="63" t="s">
        <v>556</v>
      </c>
      <c r="D387" s="63" t="str">
        <f>IF('Barn - Back Rack'!B48="","",TRIM('Barn - Back Rack'!B48))</f>
        <v/>
      </c>
      <c r="E387" s="64" t="str">
        <f>IF($D387="","",'Barn - Back Rack'!C48&amp;"")</f>
        <v/>
      </c>
      <c r="F387" s="63">
        <f t="shared" si="28"/>
        <v>0</v>
      </c>
      <c r="G387" s="64" t="str">
        <f t="shared" si="29"/>
        <v/>
      </c>
      <c r="H387" s="64" t="str">
        <f t="shared" si="30"/>
        <v/>
      </c>
      <c r="I387" s="63">
        <f>IF($G387="",0,IF(COUNTIF($G$2:$G387,$G387)=1,1,0))</f>
        <v>0</v>
      </c>
      <c r="J387" s="63" t="str">
        <f t="shared" si="31"/>
        <v/>
      </c>
      <c r="K387" s="63" t="str">
        <f>IF($H387="","",COUNTIF($H$2:$H387,"?*"))</f>
        <v/>
      </c>
    </row>
    <row r="388" spans="1:11" x14ac:dyDescent="0.25">
      <c r="A388" s="63" t="s">
        <v>554</v>
      </c>
      <c r="B388" s="63" t="s">
        <v>943</v>
      </c>
      <c r="C388" s="63" t="s">
        <v>556</v>
      </c>
      <c r="D388" s="63" t="str">
        <f>IF('Barn - Back Rack'!B49="","",TRIM('Barn - Back Rack'!B49))</f>
        <v/>
      </c>
      <c r="E388" s="64" t="str">
        <f>IF($D388="","",'Barn - Back Rack'!C49&amp;"")</f>
        <v/>
      </c>
      <c r="F388" s="63">
        <f t="shared" si="28"/>
        <v>0</v>
      </c>
      <c r="G388" s="64" t="str">
        <f t="shared" si="29"/>
        <v/>
      </c>
      <c r="H388" s="64" t="str">
        <f t="shared" si="30"/>
        <v/>
      </c>
      <c r="I388" s="63">
        <f>IF($G388="",0,IF(COUNTIF($G$2:$G388,$G388)=1,1,0))</f>
        <v>0</v>
      </c>
      <c r="J388" s="63" t="str">
        <f t="shared" si="31"/>
        <v/>
      </c>
      <c r="K388" s="63" t="str">
        <f>IF($H388="","",COUNTIF($H$2:$H388,"?*"))</f>
        <v/>
      </c>
    </row>
    <row r="389" spans="1:11" x14ac:dyDescent="0.25">
      <c r="A389" s="63" t="s">
        <v>554</v>
      </c>
      <c r="B389" s="63" t="s">
        <v>944</v>
      </c>
      <c r="C389" s="63" t="s">
        <v>556</v>
      </c>
      <c r="D389" s="63" t="str">
        <f>IF('Barn - Back Rack'!B50="","",TRIM('Barn - Back Rack'!B50))</f>
        <v/>
      </c>
      <c r="E389" s="64" t="str">
        <f>IF($D389="","",'Barn - Back Rack'!C50&amp;"")</f>
        <v/>
      </c>
      <c r="F389" s="63">
        <f t="shared" si="28"/>
        <v>0</v>
      </c>
      <c r="G389" s="64" t="str">
        <f t="shared" si="29"/>
        <v/>
      </c>
      <c r="H389" s="64" t="str">
        <f t="shared" si="30"/>
        <v/>
      </c>
      <c r="I389" s="63">
        <f>IF($G389="",0,IF(COUNTIF($G$2:$G389,$G389)=1,1,0))</f>
        <v>0</v>
      </c>
      <c r="J389" s="63" t="str">
        <f t="shared" si="31"/>
        <v/>
      </c>
      <c r="K389" s="63" t="str">
        <f>IF($H389="","",COUNTIF($H$2:$H389,"?*"))</f>
        <v/>
      </c>
    </row>
    <row r="390" spans="1:11" x14ac:dyDescent="0.25">
      <c r="A390" s="63" t="s">
        <v>554</v>
      </c>
      <c r="B390" s="63" t="s">
        <v>945</v>
      </c>
      <c r="C390" s="63" t="s">
        <v>556</v>
      </c>
      <c r="D390" s="63" t="str">
        <f>IF('Barn - Back Rack'!B51="","",TRIM('Barn - Back Rack'!B51))</f>
        <v/>
      </c>
      <c r="E390" s="64" t="str">
        <f>IF($D390="","",'Barn - Back Rack'!C51&amp;"")</f>
        <v/>
      </c>
      <c r="F390" s="63">
        <f t="shared" si="28"/>
        <v>0</v>
      </c>
      <c r="G390" s="64" t="str">
        <f t="shared" si="29"/>
        <v/>
      </c>
      <c r="H390" s="64" t="str">
        <f t="shared" si="30"/>
        <v/>
      </c>
      <c r="I390" s="63">
        <f>IF($G390="",0,IF(COUNTIF($G$2:$G390,$G390)=1,1,0))</f>
        <v>0</v>
      </c>
      <c r="J390" s="63" t="str">
        <f t="shared" si="31"/>
        <v/>
      </c>
      <c r="K390" s="63" t="str">
        <f>IF($H390="","",COUNTIF($H$2:$H390,"?*"))</f>
        <v/>
      </c>
    </row>
    <row r="391" spans="1:11" x14ac:dyDescent="0.25">
      <c r="A391" s="63" t="s">
        <v>554</v>
      </c>
      <c r="B391" s="63" t="s">
        <v>946</v>
      </c>
      <c r="C391" s="63" t="s">
        <v>556</v>
      </c>
      <c r="D391" s="63" t="str">
        <f>IF('Barn - Back Rack'!B52="","",TRIM('Barn - Back Rack'!B52))</f>
        <v/>
      </c>
      <c r="E391" s="64" t="str">
        <f>IF($D391="","",'Barn - Back Rack'!C52&amp;"")</f>
        <v/>
      </c>
      <c r="F391" s="63">
        <f t="shared" si="28"/>
        <v>0</v>
      </c>
      <c r="G391" s="64" t="str">
        <f t="shared" si="29"/>
        <v/>
      </c>
      <c r="H391" s="64" t="str">
        <f t="shared" si="30"/>
        <v/>
      </c>
      <c r="I391" s="63">
        <f>IF($G391="",0,IF(COUNTIF($G$2:$G391,$G391)=1,1,0))</f>
        <v>0</v>
      </c>
      <c r="J391" s="63" t="str">
        <f t="shared" si="31"/>
        <v/>
      </c>
      <c r="K391" s="63" t="str">
        <f>IF($H391="","",COUNTIF($H$2:$H391,"?*"))</f>
        <v/>
      </c>
    </row>
    <row r="392" spans="1:11" x14ac:dyDescent="0.25">
      <c r="A392" s="63" t="s">
        <v>554</v>
      </c>
      <c r="B392" s="63" t="s">
        <v>947</v>
      </c>
      <c r="C392" s="63" t="s">
        <v>556</v>
      </c>
      <c r="D392" s="63" t="str">
        <f>IF('Barn - Back Rack'!B53="","",TRIM('Barn - Back Rack'!B53))</f>
        <v/>
      </c>
      <c r="E392" s="64" t="str">
        <f>IF($D392="","",'Barn - Back Rack'!C53&amp;"")</f>
        <v/>
      </c>
      <c r="F392" s="63">
        <f t="shared" si="28"/>
        <v>0</v>
      </c>
      <c r="G392" s="64" t="str">
        <f t="shared" si="29"/>
        <v/>
      </c>
      <c r="H392" s="64" t="str">
        <f t="shared" si="30"/>
        <v/>
      </c>
      <c r="I392" s="63">
        <f>IF($G392="",0,IF(COUNTIF($G$2:$G392,$G392)=1,1,0))</f>
        <v>0</v>
      </c>
      <c r="J392" s="63" t="str">
        <f t="shared" si="31"/>
        <v/>
      </c>
      <c r="K392" s="63" t="str">
        <f>IF($H392="","",COUNTIF($H$2:$H392,"?*"))</f>
        <v/>
      </c>
    </row>
    <row r="393" spans="1:11" x14ac:dyDescent="0.25">
      <c r="A393" s="63" t="s">
        <v>554</v>
      </c>
      <c r="B393" s="63" t="s">
        <v>948</v>
      </c>
      <c r="C393" s="63" t="s">
        <v>556</v>
      </c>
      <c r="D393" s="63" t="str">
        <f>IF('Barn - Back Rack'!B54="","",TRIM('Barn - Back Rack'!B54))</f>
        <v/>
      </c>
      <c r="E393" s="64" t="str">
        <f>IF($D393="","",'Barn - Back Rack'!C54&amp;"")</f>
        <v/>
      </c>
      <c r="F393" s="63">
        <f t="shared" si="28"/>
        <v>0</v>
      </c>
      <c r="G393" s="64" t="str">
        <f t="shared" si="29"/>
        <v/>
      </c>
      <c r="H393" s="64" t="str">
        <f t="shared" si="30"/>
        <v/>
      </c>
      <c r="I393" s="63">
        <f>IF($G393="",0,IF(COUNTIF($G$2:$G393,$G393)=1,1,0))</f>
        <v>0</v>
      </c>
      <c r="J393" s="63" t="str">
        <f t="shared" si="31"/>
        <v/>
      </c>
      <c r="K393" s="63" t="str">
        <f>IF($H393="","",COUNTIF($H$2:$H393,"?*"))</f>
        <v/>
      </c>
    </row>
    <row r="394" spans="1:11" x14ac:dyDescent="0.25">
      <c r="A394" s="63" t="s">
        <v>554</v>
      </c>
      <c r="B394" s="63" t="s">
        <v>949</v>
      </c>
      <c r="C394" s="63" t="s">
        <v>556</v>
      </c>
      <c r="D394" s="63" t="str">
        <f>IF('Barn - Back Rack'!B55="","",TRIM('Barn - Back Rack'!B55))</f>
        <v/>
      </c>
      <c r="E394" s="64" t="str">
        <f>IF($D394="","",'Barn - Back Rack'!C55&amp;"")</f>
        <v/>
      </c>
      <c r="F394" s="63">
        <f t="shared" ref="F394:F425" si="32">IF($D394="",0,1)</f>
        <v>0</v>
      </c>
      <c r="G394" s="64" t="str">
        <f t="shared" si="29"/>
        <v/>
      </c>
      <c r="H394" s="64" t="str">
        <f t="shared" si="30"/>
        <v/>
      </c>
      <c r="I394" s="63">
        <f>IF($G394="",0,IF(COUNTIF($G$2:$G394,$G394)=1,1,0))</f>
        <v>0</v>
      </c>
      <c r="J394" s="63" t="str">
        <f t="shared" si="31"/>
        <v/>
      </c>
      <c r="K394" s="63" t="str">
        <f>IF($H394="","",COUNTIF($H$2:$H394,"?*"))</f>
        <v/>
      </c>
    </row>
    <row r="395" spans="1:11" x14ac:dyDescent="0.25">
      <c r="A395" s="63" t="s">
        <v>554</v>
      </c>
      <c r="B395" s="63" t="s">
        <v>950</v>
      </c>
      <c r="C395" s="63" t="s">
        <v>556</v>
      </c>
      <c r="D395" s="63" t="str">
        <f>IF('Barn - Back Rack'!B56="","",TRIM('Barn - Back Rack'!B56))</f>
        <v/>
      </c>
      <c r="E395" s="64" t="str">
        <f>IF($D395="","",'Barn - Back Rack'!C56&amp;"")</f>
        <v/>
      </c>
      <c r="F395" s="63">
        <f t="shared" si="32"/>
        <v>0</v>
      </c>
      <c r="G395" s="64" t="str">
        <f t="shared" si="29"/>
        <v/>
      </c>
      <c r="H395" s="64" t="str">
        <f t="shared" si="30"/>
        <v/>
      </c>
      <c r="I395" s="63">
        <f>IF($G395="",0,IF(COUNTIF($G$2:$G395,$G395)=1,1,0))</f>
        <v>0</v>
      </c>
      <c r="J395" s="63" t="str">
        <f t="shared" si="31"/>
        <v/>
      </c>
      <c r="K395" s="63" t="str">
        <f>IF($H395="","",COUNTIF($H$2:$H395,"?*"))</f>
        <v/>
      </c>
    </row>
    <row r="396" spans="1:11" x14ac:dyDescent="0.25">
      <c r="A396" s="63" t="s">
        <v>554</v>
      </c>
      <c r="B396" s="63" t="s">
        <v>951</v>
      </c>
      <c r="C396" s="63" t="s">
        <v>556</v>
      </c>
      <c r="D396" s="63" t="str">
        <f>IF('Barn - Back Rack'!B57="","",TRIM('Barn - Back Rack'!B57))</f>
        <v/>
      </c>
      <c r="E396" s="64" t="str">
        <f>IF($D396="","",'Barn - Back Rack'!C57&amp;"")</f>
        <v/>
      </c>
      <c r="F396" s="63">
        <f t="shared" si="32"/>
        <v>0</v>
      </c>
      <c r="G396" s="64" t="str">
        <f t="shared" si="29"/>
        <v/>
      </c>
      <c r="H396" s="64" t="str">
        <f t="shared" si="30"/>
        <v/>
      </c>
      <c r="I396" s="63">
        <f>IF($G396="",0,IF(COUNTIF($G$2:$G396,$G396)=1,1,0))</f>
        <v>0</v>
      </c>
      <c r="J396" s="63" t="str">
        <f t="shared" si="31"/>
        <v/>
      </c>
      <c r="K396" s="63" t="str">
        <f>IF($H396="","",COUNTIF($H$2:$H396,"?*"))</f>
        <v/>
      </c>
    </row>
    <row r="397" spans="1:11" x14ac:dyDescent="0.25">
      <c r="A397" s="63" t="s">
        <v>554</v>
      </c>
      <c r="B397" s="63" t="s">
        <v>952</v>
      </c>
      <c r="C397" s="63" t="s">
        <v>556</v>
      </c>
      <c r="D397" s="63" t="str">
        <f>IF('Barn - Back Rack'!B58="","",TRIM('Barn - Back Rack'!B58))</f>
        <v/>
      </c>
      <c r="E397" s="64" t="str">
        <f>IF($D397="","",'Barn - Back Rack'!C58&amp;"")</f>
        <v/>
      </c>
      <c r="F397" s="63">
        <f t="shared" si="32"/>
        <v>0</v>
      </c>
      <c r="G397" s="64" t="str">
        <f t="shared" si="29"/>
        <v/>
      </c>
      <c r="H397" s="64" t="str">
        <f t="shared" si="30"/>
        <v/>
      </c>
      <c r="I397" s="63">
        <f>IF($G397="",0,IF(COUNTIF($G$2:$G397,$G397)=1,1,0))</f>
        <v>0</v>
      </c>
      <c r="J397" s="63" t="str">
        <f t="shared" si="31"/>
        <v/>
      </c>
      <c r="K397" s="63" t="str">
        <f>IF($H397="","",COUNTIF($H$2:$H397,"?*"))</f>
        <v/>
      </c>
    </row>
    <row r="398" spans="1:11" x14ac:dyDescent="0.25">
      <c r="A398" s="63" t="s">
        <v>554</v>
      </c>
      <c r="B398" s="63" t="s">
        <v>953</v>
      </c>
      <c r="C398" s="63" t="s">
        <v>556</v>
      </c>
      <c r="D398" s="63" t="str">
        <f>IF('Barn - Back Rack'!D47="","",TRIM('Barn - Back Rack'!D47))</f>
        <v/>
      </c>
      <c r="E398" s="64" t="str">
        <f>IF($D398="","",'Barn - Back Rack'!E47&amp;"")</f>
        <v/>
      </c>
      <c r="F398" s="63">
        <f t="shared" si="32"/>
        <v>0</v>
      </c>
      <c r="G398" s="64" t="str">
        <f t="shared" si="29"/>
        <v/>
      </c>
      <c r="H398" s="64" t="str">
        <f t="shared" si="30"/>
        <v/>
      </c>
      <c r="I398" s="63">
        <f>IF($G398="",0,IF(COUNTIF($G$2:$G398,$G398)=1,1,0))</f>
        <v>0</v>
      </c>
      <c r="J398" s="63" t="str">
        <f t="shared" si="31"/>
        <v/>
      </c>
      <c r="K398" s="63" t="str">
        <f>IF($H398="","",COUNTIF($H$2:$H398,"?*"))</f>
        <v/>
      </c>
    </row>
    <row r="399" spans="1:11" x14ac:dyDescent="0.25">
      <c r="A399" s="63" t="s">
        <v>554</v>
      </c>
      <c r="B399" s="63" t="s">
        <v>954</v>
      </c>
      <c r="C399" s="63" t="s">
        <v>556</v>
      </c>
      <c r="D399" s="63" t="str">
        <f>IF('Barn - Back Rack'!D48="","",TRIM('Barn - Back Rack'!D48))</f>
        <v/>
      </c>
      <c r="E399" s="64" t="str">
        <f>IF($D399="","",'Barn - Back Rack'!E48&amp;"")</f>
        <v/>
      </c>
      <c r="F399" s="63">
        <f t="shared" si="32"/>
        <v>0</v>
      </c>
      <c r="G399" s="64" t="str">
        <f t="shared" si="29"/>
        <v/>
      </c>
      <c r="H399" s="64" t="str">
        <f t="shared" si="30"/>
        <v/>
      </c>
      <c r="I399" s="63">
        <f>IF($G399="",0,IF(COUNTIF($G$2:$G399,$G399)=1,1,0))</f>
        <v>0</v>
      </c>
      <c r="J399" s="63" t="str">
        <f t="shared" si="31"/>
        <v/>
      </c>
      <c r="K399" s="63" t="str">
        <f>IF($H399="","",COUNTIF($H$2:$H399,"?*"))</f>
        <v/>
      </c>
    </row>
    <row r="400" spans="1:11" x14ac:dyDescent="0.25">
      <c r="A400" s="63" t="s">
        <v>554</v>
      </c>
      <c r="B400" s="63" t="s">
        <v>955</v>
      </c>
      <c r="C400" s="63" t="s">
        <v>556</v>
      </c>
      <c r="D400" s="63" t="str">
        <f>IF('Barn - Back Rack'!D49="","",TRIM('Barn - Back Rack'!D49))</f>
        <v/>
      </c>
      <c r="E400" s="64" t="str">
        <f>IF($D400="","",'Barn - Back Rack'!E49&amp;"")</f>
        <v/>
      </c>
      <c r="F400" s="63">
        <f t="shared" si="32"/>
        <v>0</v>
      </c>
      <c r="G400" s="64" t="str">
        <f t="shared" si="29"/>
        <v/>
      </c>
      <c r="H400" s="64" t="str">
        <f t="shared" si="30"/>
        <v/>
      </c>
      <c r="I400" s="63">
        <f>IF($G400="",0,IF(COUNTIF($G$2:$G400,$G400)=1,1,0))</f>
        <v>0</v>
      </c>
      <c r="J400" s="63" t="str">
        <f t="shared" si="31"/>
        <v/>
      </c>
      <c r="K400" s="63" t="str">
        <f>IF($H400="","",COUNTIF($H$2:$H400,"?*"))</f>
        <v/>
      </c>
    </row>
    <row r="401" spans="1:11" x14ac:dyDescent="0.25">
      <c r="A401" s="63" t="s">
        <v>554</v>
      </c>
      <c r="B401" s="63" t="s">
        <v>956</v>
      </c>
      <c r="C401" s="63" t="s">
        <v>556</v>
      </c>
      <c r="D401" s="63" t="str">
        <f>IF('Barn - Back Rack'!D50="","",TRIM('Barn - Back Rack'!D50))</f>
        <v/>
      </c>
      <c r="E401" s="64" t="str">
        <f>IF($D401="","",'Barn - Back Rack'!E50&amp;"")</f>
        <v/>
      </c>
      <c r="F401" s="63">
        <f t="shared" si="32"/>
        <v>0</v>
      </c>
      <c r="G401" s="64" t="str">
        <f t="shared" si="29"/>
        <v/>
      </c>
      <c r="H401" s="64" t="str">
        <f t="shared" si="30"/>
        <v/>
      </c>
      <c r="I401" s="63">
        <f>IF($G401="",0,IF(COUNTIF($G$2:$G401,$G401)=1,1,0))</f>
        <v>0</v>
      </c>
      <c r="J401" s="63" t="str">
        <f t="shared" si="31"/>
        <v/>
      </c>
      <c r="K401" s="63" t="str">
        <f>IF($H401="","",COUNTIF($H$2:$H401,"?*"))</f>
        <v/>
      </c>
    </row>
    <row r="402" spans="1:11" x14ac:dyDescent="0.25">
      <c r="A402" s="63" t="s">
        <v>554</v>
      </c>
      <c r="B402" s="63" t="s">
        <v>957</v>
      </c>
      <c r="C402" s="63" t="s">
        <v>556</v>
      </c>
      <c r="D402" s="63" t="str">
        <f>IF('Barn - Back Rack'!D51="","",TRIM('Barn - Back Rack'!D51))</f>
        <v/>
      </c>
      <c r="E402" s="64" t="str">
        <f>IF($D402="","",'Barn - Back Rack'!E51&amp;"")</f>
        <v/>
      </c>
      <c r="F402" s="63">
        <f t="shared" si="32"/>
        <v>0</v>
      </c>
      <c r="G402" s="64" t="str">
        <f t="shared" si="29"/>
        <v/>
      </c>
      <c r="H402" s="64" t="str">
        <f t="shared" si="30"/>
        <v/>
      </c>
      <c r="I402" s="63">
        <f>IF($G402="",0,IF(COUNTIF($G$2:$G402,$G402)=1,1,0))</f>
        <v>0</v>
      </c>
      <c r="J402" s="63" t="str">
        <f t="shared" si="31"/>
        <v/>
      </c>
      <c r="K402" s="63" t="str">
        <f>IF($H402="","",COUNTIF($H$2:$H402,"?*"))</f>
        <v/>
      </c>
    </row>
    <row r="403" spans="1:11" x14ac:dyDescent="0.25">
      <c r="A403" s="63" t="s">
        <v>554</v>
      </c>
      <c r="B403" s="63" t="s">
        <v>958</v>
      </c>
      <c r="C403" s="63" t="s">
        <v>556</v>
      </c>
      <c r="D403" s="63" t="str">
        <f>IF('Barn - Back Rack'!D52="","",TRIM('Barn - Back Rack'!D52))</f>
        <v/>
      </c>
      <c r="E403" s="64" t="str">
        <f>IF($D403="","",'Barn - Back Rack'!E52&amp;"")</f>
        <v/>
      </c>
      <c r="F403" s="63">
        <f t="shared" si="32"/>
        <v>0</v>
      </c>
      <c r="G403" s="64" t="str">
        <f t="shared" si="29"/>
        <v/>
      </c>
      <c r="H403" s="64" t="str">
        <f t="shared" si="30"/>
        <v/>
      </c>
      <c r="I403" s="63">
        <f>IF($G403="",0,IF(COUNTIF($G$2:$G403,$G403)=1,1,0))</f>
        <v>0</v>
      </c>
      <c r="J403" s="63" t="str">
        <f t="shared" si="31"/>
        <v/>
      </c>
      <c r="K403" s="63" t="str">
        <f>IF($H403="","",COUNTIF($H$2:$H403,"?*"))</f>
        <v/>
      </c>
    </row>
    <row r="404" spans="1:11" x14ac:dyDescent="0.25">
      <c r="A404" s="63" t="s">
        <v>554</v>
      </c>
      <c r="B404" s="63" t="s">
        <v>959</v>
      </c>
      <c r="C404" s="63" t="s">
        <v>556</v>
      </c>
      <c r="D404" s="63" t="str">
        <f>IF('Barn - Back Rack'!D53="","",TRIM('Barn - Back Rack'!D53))</f>
        <v/>
      </c>
      <c r="E404" s="64" t="str">
        <f>IF($D404="","",'Barn - Back Rack'!E53&amp;"")</f>
        <v/>
      </c>
      <c r="F404" s="63">
        <f t="shared" si="32"/>
        <v>0</v>
      </c>
      <c r="G404" s="64" t="str">
        <f t="shared" si="29"/>
        <v/>
      </c>
      <c r="H404" s="64" t="str">
        <f t="shared" si="30"/>
        <v/>
      </c>
      <c r="I404" s="63">
        <f>IF($G404="",0,IF(COUNTIF($G$2:$G404,$G404)=1,1,0))</f>
        <v>0</v>
      </c>
      <c r="J404" s="63" t="str">
        <f t="shared" si="31"/>
        <v/>
      </c>
      <c r="K404" s="63" t="str">
        <f>IF($H404="","",COUNTIF($H$2:$H404,"?*"))</f>
        <v/>
      </c>
    </row>
    <row r="405" spans="1:11" x14ac:dyDescent="0.25">
      <c r="A405" s="63" t="s">
        <v>554</v>
      </c>
      <c r="B405" s="63" t="s">
        <v>960</v>
      </c>
      <c r="C405" s="63" t="s">
        <v>556</v>
      </c>
      <c r="D405" s="63" t="str">
        <f>IF('Barn - Back Rack'!D54="","",TRIM('Barn - Back Rack'!D54))</f>
        <v/>
      </c>
      <c r="E405" s="64" t="str">
        <f>IF($D405="","",'Barn - Back Rack'!E54&amp;"")</f>
        <v/>
      </c>
      <c r="F405" s="63">
        <f t="shared" si="32"/>
        <v>0</v>
      </c>
      <c r="G405" s="64" t="str">
        <f t="shared" si="29"/>
        <v/>
      </c>
      <c r="H405" s="64" t="str">
        <f t="shared" si="30"/>
        <v/>
      </c>
      <c r="I405" s="63">
        <f>IF($G405="",0,IF(COUNTIF($G$2:$G405,$G405)=1,1,0))</f>
        <v>0</v>
      </c>
      <c r="J405" s="63" t="str">
        <f t="shared" si="31"/>
        <v/>
      </c>
      <c r="K405" s="63" t="str">
        <f>IF($H405="","",COUNTIF($H$2:$H405,"?*"))</f>
        <v/>
      </c>
    </row>
    <row r="406" spans="1:11" x14ac:dyDescent="0.25">
      <c r="A406" s="63" t="s">
        <v>554</v>
      </c>
      <c r="B406" s="63" t="s">
        <v>961</v>
      </c>
      <c r="C406" s="63" t="s">
        <v>556</v>
      </c>
      <c r="D406" s="63" t="str">
        <f>IF('Barn - Back Rack'!D55="","",TRIM('Barn - Back Rack'!D55))</f>
        <v/>
      </c>
      <c r="E406" s="64" t="str">
        <f>IF($D406="","",'Barn - Back Rack'!E55&amp;"")</f>
        <v/>
      </c>
      <c r="F406" s="63">
        <f t="shared" si="32"/>
        <v>0</v>
      </c>
      <c r="G406" s="64" t="str">
        <f t="shared" si="29"/>
        <v/>
      </c>
      <c r="H406" s="64" t="str">
        <f t="shared" si="30"/>
        <v/>
      </c>
      <c r="I406" s="63">
        <f>IF($G406="",0,IF(COUNTIF($G$2:$G406,$G406)=1,1,0))</f>
        <v>0</v>
      </c>
      <c r="J406" s="63" t="str">
        <f t="shared" si="31"/>
        <v/>
      </c>
      <c r="K406" s="63" t="str">
        <f>IF($H406="","",COUNTIF($H$2:$H406,"?*"))</f>
        <v/>
      </c>
    </row>
    <row r="407" spans="1:11" x14ac:dyDescent="0.25">
      <c r="A407" s="63" t="s">
        <v>554</v>
      </c>
      <c r="B407" s="63" t="s">
        <v>962</v>
      </c>
      <c r="C407" s="63" t="s">
        <v>556</v>
      </c>
      <c r="D407" s="63" t="str">
        <f>IF('Barn - Back Rack'!D56="","",TRIM('Barn - Back Rack'!D56))</f>
        <v/>
      </c>
      <c r="E407" s="64" t="str">
        <f>IF($D407="","",'Barn - Back Rack'!E56&amp;"")</f>
        <v/>
      </c>
      <c r="F407" s="63">
        <f t="shared" si="32"/>
        <v>0</v>
      </c>
      <c r="G407" s="64" t="str">
        <f t="shared" si="29"/>
        <v/>
      </c>
      <c r="H407" s="64" t="str">
        <f t="shared" si="30"/>
        <v/>
      </c>
      <c r="I407" s="63">
        <f>IF($G407="",0,IF(COUNTIF($G$2:$G407,$G407)=1,1,0))</f>
        <v>0</v>
      </c>
      <c r="J407" s="63" t="str">
        <f t="shared" si="31"/>
        <v/>
      </c>
      <c r="K407" s="63" t="str">
        <f>IF($H407="","",COUNTIF($H$2:$H407,"?*"))</f>
        <v/>
      </c>
    </row>
    <row r="408" spans="1:11" x14ac:dyDescent="0.25">
      <c r="A408" s="63" t="s">
        <v>554</v>
      </c>
      <c r="B408" s="63" t="s">
        <v>963</v>
      </c>
      <c r="C408" s="63" t="s">
        <v>556</v>
      </c>
      <c r="D408" s="63" t="str">
        <f>IF('Barn - Back Rack'!D57="","",TRIM('Barn - Back Rack'!D57))</f>
        <v/>
      </c>
      <c r="E408" s="64" t="str">
        <f>IF($D408="","",'Barn - Back Rack'!E57&amp;"")</f>
        <v/>
      </c>
      <c r="F408" s="63">
        <f t="shared" si="32"/>
        <v>0</v>
      </c>
      <c r="G408" s="64" t="str">
        <f t="shared" si="29"/>
        <v/>
      </c>
      <c r="H408" s="64" t="str">
        <f t="shared" si="30"/>
        <v/>
      </c>
      <c r="I408" s="63">
        <f>IF($G408="",0,IF(COUNTIF($G$2:$G408,$G408)=1,1,0))</f>
        <v>0</v>
      </c>
      <c r="J408" s="63" t="str">
        <f t="shared" si="31"/>
        <v/>
      </c>
      <c r="K408" s="63" t="str">
        <f>IF($H408="","",COUNTIF($H$2:$H408,"?*"))</f>
        <v/>
      </c>
    </row>
    <row r="409" spans="1:11" x14ac:dyDescent="0.25">
      <c r="A409" s="63" t="s">
        <v>554</v>
      </c>
      <c r="B409" s="63" t="s">
        <v>964</v>
      </c>
      <c r="C409" s="63" t="s">
        <v>556</v>
      </c>
      <c r="D409" s="63" t="str">
        <f>IF('Barn - Back Rack'!D58="","",TRIM('Barn - Back Rack'!D58))</f>
        <v/>
      </c>
      <c r="E409" s="64" t="str">
        <f>IF($D409="","",'Barn - Back Rack'!E58&amp;"")</f>
        <v/>
      </c>
      <c r="F409" s="63">
        <f t="shared" si="32"/>
        <v>0</v>
      </c>
      <c r="G409" s="64" t="str">
        <f t="shared" si="29"/>
        <v/>
      </c>
      <c r="H409" s="64" t="str">
        <f t="shared" si="30"/>
        <v/>
      </c>
      <c r="I409" s="63">
        <f>IF($G409="",0,IF(COUNTIF($G$2:$G409,$G409)=1,1,0))</f>
        <v>0</v>
      </c>
      <c r="J409" s="63" t="str">
        <f t="shared" si="31"/>
        <v/>
      </c>
      <c r="K409" s="63" t="str">
        <f>IF($H409="","",COUNTIF($H$2:$H409,"?*"))</f>
        <v/>
      </c>
    </row>
    <row r="410" spans="1:11" x14ac:dyDescent="0.25">
      <c r="A410" s="63" t="s">
        <v>554</v>
      </c>
      <c r="B410" s="63" t="s">
        <v>965</v>
      </c>
      <c r="C410" s="63" t="s">
        <v>556</v>
      </c>
      <c r="D410" s="63" t="str">
        <f>IF('Barn - Back Rack'!F47="","",TRIM('Barn - Back Rack'!F47))</f>
        <v/>
      </c>
      <c r="E410" s="64" t="str">
        <f>IF($D410="","",'Barn - Back Rack'!G47&amp;"")</f>
        <v/>
      </c>
      <c r="F410" s="63">
        <f t="shared" si="32"/>
        <v>0</v>
      </c>
      <c r="G410" s="64" t="str">
        <f t="shared" si="29"/>
        <v/>
      </c>
      <c r="H410" s="64" t="str">
        <f t="shared" si="30"/>
        <v/>
      </c>
      <c r="I410" s="63">
        <f>IF($G410="",0,IF(COUNTIF($G$2:$G410,$G410)=1,1,0))</f>
        <v>0</v>
      </c>
      <c r="J410" s="63" t="str">
        <f t="shared" si="31"/>
        <v/>
      </c>
      <c r="K410" s="63" t="str">
        <f>IF($H410="","",COUNTIF($H$2:$H410,"?*"))</f>
        <v/>
      </c>
    </row>
    <row r="411" spans="1:11" x14ac:dyDescent="0.25">
      <c r="A411" s="63" t="s">
        <v>554</v>
      </c>
      <c r="B411" s="63" t="s">
        <v>966</v>
      </c>
      <c r="C411" s="63" t="s">
        <v>556</v>
      </c>
      <c r="D411" s="63" t="str">
        <f>IF('Barn - Back Rack'!F48="","",TRIM('Barn - Back Rack'!F48))</f>
        <v/>
      </c>
      <c r="E411" s="64" t="str">
        <f>IF($D411="","",'Barn - Back Rack'!G48&amp;"")</f>
        <v/>
      </c>
      <c r="F411" s="63">
        <f t="shared" si="32"/>
        <v>0</v>
      </c>
      <c r="G411" s="64" t="str">
        <f t="shared" si="29"/>
        <v/>
      </c>
      <c r="H411" s="64" t="str">
        <f t="shared" si="30"/>
        <v/>
      </c>
      <c r="I411" s="63">
        <f>IF($G411="",0,IF(COUNTIF($G$2:$G411,$G411)=1,1,0))</f>
        <v>0</v>
      </c>
      <c r="J411" s="63" t="str">
        <f t="shared" si="31"/>
        <v/>
      </c>
      <c r="K411" s="63" t="str">
        <f>IF($H411="","",COUNTIF($H$2:$H411,"?*"))</f>
        <v/>
      </c>
    </row>
    <row r="412" spans="1:11" x14ac:dyDescent="0.25">
      <c r="A412" s="63" t="s">
        <v>554</v>
      </c>
      <c r="B412" s="63" t="s">
        <v>967</v>
      </c>
      <c r="C412" s="63" t="s">
        <v>556</v>
      </c>
      <c r="D412" s="63" t="str">
        <f>IF('Barn - Back Rack'!F49="","",TRIM('Barn - Back Rack'!F49))</f>
        <v/>
      </c>
      <c r="E412" s="64" t="str">
        <f>IF($D412="","",'Barn - Back Rack'!G49&amp;"")</f>
        <v/>
      </c>
      <c r="F412" s="63">
        <f t="shared" si="32"/>
        <v>0</v>
      </c>
      <c r="G412" s="64" t="str">
        <f t="shared" si="29"/>
        <v/>
      </c>
      <c r="H412" s="64" t="str">
        <f t="shared" si="30"/>
        <v/>
      </c>
      <c r="I412" s="63">
        <f>IF($G412="",0,IF(COUNTIF($G$2:$G412,$G412)=1,1,0))</f>
        <v>0</v>
      </c>
      <c r="J412" s="63" t="str">
        <f t="shared" si="31"/>
        <v/>
      </c>
      <c r="K412" s="63" t="str">
        <f>IF($H412="","",COUNTIF($H$2:$H412,"?*"))</f>
        <v/>
      </c>
    </row>
    <row r="413" spans="1:11" x14ac:dyDescent="0.25">
      <c r="A413" s="63" t="s">
        <v>554</v>
      </c>
      <c r="B413" s="63" t="s">
        <v>968</v>
      </c>
      <c r="C413" s="63" t="s">
        <v>556</v>
      </c>
      <c r="D413" s="63" t="str">
        <f>IF('Barn - Back Rack'!F50="","",TRIM('Barn - Back Rack'!F50))</f>
        <v/>
      </c>
      <c r="E413" s="64" t="str">
        <f>IF($D413="","",'Barn - Back Rack'!G50&amp;"")</f>
        <v/>
      </c>
      <c r="F413" s="63">
        <f t="shared" si="32"/>
        <v>0</v>
      </c>
      <c r="G413" s="64" t="str">
        <f t="shared" si="29"/>
        <v/>
      </c>
      <c r="H413" s="64" t="str">
        <f t="shared" si="30"/>
        <v/>
      </c>
      <c r="I413" s="63">
        <f>IF($G413="",0,IF(COUNTIF($G$2:$G413,$G413)=1,1,0))</f>
        <v>0</v>
      </c>
      <c r="J413" s="63" t="str">
        <f t="shared" si="31"/>
        <v/>
      </c>
      <c r="K413" s="63" t="str">
        <f>IF($H413="","",COUNTIF($H$2:$H413,"?*"))</f>
        <v/>
      </c>
    </row>
    <row r="414" spans="1:11" x14ac:dyDescent="0.25">
      <c r="A414" s="63" t="s">
        <v>554</v>
      </c>
      <c r="B414" s="63" t="s">
        <v>969</v>
      </c>
      <c r="C414" s="63" t="s">
        <v>556</v>
      </c>
      <c r="D414" s="63" t="str">
        <f>IF('Barn - Back Rack'!F51="","",TRIM('Barn - Back Rack'!F51))</f>
        <v/>
      </c>
      <c r="E414" s="64" t="str">
        <f>IF($D414="","",'Barn - Back Rack'!G51&amp;"")</f>
        <v/>
      </c>
      <c r="F414" s="63">
        <f t="shared" si="32"/>
        <v>0</v>
      </c>
      <c r="G414" s="64" t="str">
        <f t="shared" si="29"/>
        <v/>
      </c>
      <c r="H414" s="64" t="str">
        <f t="shared" si="30"/>
        <v/>
      </c>
      <c r="I414" s="63">
        <f>IF($G414="",0,IF(COUNTIF($G$2:$G414,$G414)=1,1,0))</f>
        <v>0</v>
      </c>
      <c r="J414" s="63" t="str">
        <f t="shared" si="31"/>
        <v/>
      </c>
      <c r="K414" s="63" t="str">
        <f>IF($H414="","",COUNTIF($H$2:$H414,"?*"))</f>
        <v/>
      </c>
    </row>
    <row r="415" spans="1:11" x14ac:dyDescent="0.25">
      <c r="A415" s="63" t="s">
        <v>554</v>
      </c>
      <c r="B415" s="63" t="s">
        <v>970</v>
      </c>
      <c r="C415" s="63" t="s">
        <v>556</v>
      </c>
      <c r="D415" s="63" t="str">
        <f>IF('Barn - Back Rack'!F52="","",TRIM('Barn - Back Rack'!F52))</f>
        <v/>
      </c>
      <c r="E415" s="64" t="str">
        <f>IF($D415="","",'Barn - Back Rack'!G52&amp;"")</f>
        <v/>
      </c>
      <c r="F415" s="63">
        <f t="shared" si="32"/>
        <v>0</v>
      </c>
      <c r="G415" s="64" t="str">
        <f t="shared" si="29"/>
        <v/>
      </c>
      <c r="H415" s="64" t="str">
        <f t="shared" si="30"/>
        <v/>
      </c>
      <c r="I415" s="63">
        <f>IF($G415="",0,IF(COUNTIF($G$2:$G415,$G415)=1,1,0))</f>
        <v>0</v>
      </c>
      <c r="J415" s="63" t="str">
        <f t="shared" si="31"/>
        <v/>
      </c>
      <c r="K415" s="63" t="str">
        <f>IF($H415="","",COUNTIF($H$2:$H415,"?*"))</f>
        <v/>
      </c>
    </row>
    <row r="416" spans="1:11" x14ac:dyDescent="0.25">
      <c r="A416" s="63" t="s">
        <v>554</v>
      </c>
      <c r="B416" s="63" t="s">
        <v>971</v>
      </c>
      <c r="C416" s="63" t="s">
        <v>556</v>
      </c>
      <c r="D416" s="63" t="str">
        <f>IF('Barn - Back Rack'!F53="","",TRIM('Barn - Back Rack'!F53))</f>
        <v/>
      </c>
      <c r="E416" s="64" t="str">
        <f>IF($D416="","",'Barn - Back Rack'!G53&amp;"")</f>
        <v/>
      </c>
      <c r="F416" s="63">
        <f t="shared" si="32"/>
        <v>0</v>
      </c>
      <c r="G416" s="64" t="str">
        <f t="shared" si="29"/>
        <v/>
      </c>
      <c r="H416" s="64" t="str">
        <f t="shared" si="30"/>
        <v/>
      </c>
      <c r="I416" s="63">
        <f>IF($G416="",0,IF(COUNTIF($G$2:$G416,$G416)=1,1,0))</f>
        <v>0</v>
      </c>
      <c r="J416" s="63" t="str">
        <f t="shared" si="31"/>
        <v/>
      </c>
      <c r="K416" s="63" t="str">
        <f>IF($H416="","",COUNTIF($H$2:$H416,"?*"))</f>
        <v/>
      </c>
    </row>
    <row r="417" spans="1:11" x14ac:dyDescent="0.25">
      <c r="A417" s="63" t="s">
        <v>554</v>
      </c>
      <c r="B417" s="63" t="s">
        <v>972</v>
      </c>
      <c r="C417" s="63" t="s">
        <v>556</v>
      </c>
      <c r="D417" s="63" t="str">
        <f>IF('Barn - Back Rack'!F54="","",TRIM('Barn - Back Rack'!F54))</f>
        <v/>
      </c>
      <c r="E417" s="64" t="str">
        <f>IF($D417="","",'Barn - Back Rack'!G54&amp;"")</f>
        <v/>
      </c>
      <c r="F417" s="63">
        <f t="shared" si="32"/>
        <v>0</v>
      </c>
      <c r="G417" s="64" t="str">
        <f t="shared" si="29"/>
        <v/>
      </c>
      <c r="H417" s="64" t="str">
        <f t="shared" si="30"/>
        <v/>
      </c>
      <c r="I417" s="63">
        <f>IF($G417="",0,IF(COUNTIF($G$2:$G417,$G417)=1,1,0))</f>
        <v>0</v>
      </c>
      <c r="J417" s="63" t="str">
        <f t="shared" si="31"/>
        <v/>
      </c>
      <c r="K417" s="63" t="str">
        <f>IF($H417="","",COUNTIF($H$2:$H417,"?*"))</f>
        <v/>
      </c>
    </row>
    <row r="418" spans="1:11" x14ac:dyDescent="0.25">
      <c r="A418" s="63" t="s">
        <v>554</v>
      </c>
      <c r="B418" s="63" t="s">
        <v>973</v>
      </c>
      <c r="C418" s="63" t="s">
        <v>556</v>
      </c>
      <c r="D418" s="63" t="str">
        <f>IF('Barn - Back Rack'!F55="","",TRIM('Barn - Back Rack'!F55))</f>
        <v/>
      </c>
      <c r="E418" s="64" t="str">
        <f>IF($D418="","",'Barn - Back Rack'!G55&amp;"")</f>
        <v/>
      </c>
      <c r="F418" s="63">
        <f t="shared" si="32"/>
        <v>0</v>
      </c>
      <c r="G418" s="64" t="str">
        <f t="shared" si="29"/>
        <v/>
      </c>
      <c r="H418" s="64" t="str">
        <f t="shared" si="30"/>
        <v/>
      </c>
      <c r="I418" s="63">
        <f>IF($G418="",0,IF(COUNTIF($G$2:$G418,$G418)=1,1,0))</f>
        <v>0</v>
      </c>
      <c r="J418" s="63" t="str">
        <f t="shared" si="31"/>
        <v/>
      </c>
      <c r="K418" s="63" t="str">
        <f>IF($H418="","",COUNTIF($H$2:$H418,"?*"))</f>
        <v/>
      </c>
    </row>
    <row r="419" spans="1:11" x14ac:dyDescent="0.25">
      <c r="A419" s="63" t="s">
        <v>554</v>
      </c>
      <c r="B419" s="63" t="s">
        <v>974</v>
      </c>
      <c r="C419" s="63" t="s">
        <v>556</v>
      </c>
      <c r="D419" s="63" t="str">
        <f>IF('Barn - Back Rack'!F56="","",TRIM('Barn - Back Rack'!F56))</f>
        <v/>
      </c>
      <c r="E419" s="64" t="str">
        <f>IF($D419="","",'Barn - Back Rack'!G56&amp;"")</f>
        <v/>
      </c>
      <c r="F419" s="63">
        <f t="shared" si="32"/>
        <v>0</v>
      </c>
      <c r="G419" s="64" t="str">
        <f t="shared" si="29"/>
        <v/>
      </c>
      <c r="H419" s="64" t="str">
        <f t="shared" si="30"/>
        <v/>
      </c>
      <c r="I419" s="63">
        <f>IF($G419="",0,IF(COUNTIF($G$2:$G419,$G419)=1,1,0))</f>
        <v>0</v>
      </c>
      <c r="J419" s="63" t="str">
        <f t="shared" si="31"/>
        <v/>
      </c>
      <c r="K419" s="63" t="str">
        <f>IF($H419="","",COUNTIF($H$2:$H419,"?*"))</f>
        <v/>
      </c>
    </row>
    <row r="420" spans="1:11" x14ac:dyDescent="0.25">
      <c r="A420" s="63" t="s">
        <v>554</v>
      </c>
      <c r="B420" s="63" t="s">
        <v>975</v>
      </c>
      <c r="C420" s="63" t="s">
        <v>556</v>
      </c>
      <c r="D420" s="63" t="str">
        <f>IF('Barn - Back Rack'!F57="","",TRIM('Barn - Back Rack'!F57))</f>
        <v/>
      </c>
      <c r="E420" s="64" t="str">
        <f>IF($D420="","",'Barn - Back Rack'!G57&amp;"")</f>
        <v/>
      </c>
      <c r="F420" s="63">
        <f t="shared" si="32"/>
        <v>0</v>
      </c>
      <c r="G420" s="64" t="str">
        <f t="shared" si="29"/>
        <v/>
      </c>
      <c r="H420" s="64" t="str">
        <f t="shared" si="30"/>
        <v/>
      </c>
      <c r="I420" s="63">
        <f>IF($G420="",0,IF(COUNTIF($G$2:$G420,$G420)=1,1,0))</f>
        <v>0</v>
      </c>
      <c r="J420" s="63" t="str">
        <f t="shared" si="31"/>
        <v/>
      </c>
      <c r="K420" s="63" t="str">
        <f>IF($H420="","",COUNTIF($H$2:$H420,"?*"))</f>
        <v/>
      </c>
    </row>
    <row r="421" spans="1:11" x14ac:dyDescent="0.25">
      <c r="A421" s="63" t="s">
        <v>554</v>
      </c>
      <c r="B421" s="63" t="s">
        <v>976</v>
      </c>
      <c r="C421" s="63" t="s">
        <v>556</v>
      </c>
      <c r="D421" s="63" t="str">
        <f>IF('Barn - Back Rack'!F58="","",TRIM('Barn - Back Rack'!F58))</f>
        <v/>
      </c>
      <c r="E421" s="64" t="str">
        <f>IF($D421="","",'Barn - Back Rack'!G58&amp;"")</f>
        <v/>
      </c>
      <c r="F421" s="63">
        <f t="shared" si="32"/>
        <v>0</v>
      </c>
      <c r="G421" s="64" t="str">
        <f t="shared" si="29"/>
        <v/>
      </c>
      <c r="H421" s="64" t="str">
        <f t="shared" si="30"/>
        <v/>
      </c>
      <c r="I421" s="63">
        <f>IF($G421="",0,IF(COUNTIF($G$2:$G421,$G421)=1,1,0))</f>
        <v>0</v>
      </c>
      <c r="J421" s="63" t="str">
        <f t="shared" si="31"/>
        <v/>
      </c>
      <c r="K421" s="63" t="str">
        <f>IF($H421="","",COUNTIF($H$2:$H421,"?*"))</f>
        <v/>
      </c>
    </row>
    <row r="422" spans="1:11" x14ac:dyDescent="0.25">
      <c r="A422" s="63" t="s">
        <v>554</v>
      </c>
      <c r="B422" s="63" t="s">
        <v>977</v>
      </c>
      <c r="C422" s="63" t="s">
        <v>556</v>
      </c>
      <c r="D422" s="63" t="str">
        <f>IF('Barn - Back Rack'!H47="","",TRIM('Barn - Back Rack'!H47))</f>
        <v/>
      </c>
      <c r="E422" s="64" t="str">
        <f>IF($D422="","",'Barn - Back Rack'!I47&amp;"")</f>
        <v/>
      </c>
      <c r="F422" s="63">
        <f t="shared" si="32"/>
        <v>0</v>
      </c>
      <c r="G422" s="64" t="str">
        <f t="shared" si="29"/>
        <v/>
      </c>
      <c r="H422" s="64" t="str">
        <f t="shared" si="30"/>
        <v/>
      </c>
      <c r="I422" s="63">
        <f>IF($G422="",0,IF(COUNTIF($G$2:$G422,$G422)=1,1,0))</f>
        <v>0</v>
      </c>
      <c r="J422" s="63" t="str">
        <f t="shared" si="31"/>
        <v/>
      </c>
      <c r="K422" s="63" t="str">
        <f>IF($H422="","",COUNTIF($H$2:$H422,"?*"))</f>
        <v/>
      </c>
    </row>
    <row r="423" spans="1:11" x14ac:dyDescent="0.25">
      <c r="A423" s="63" t="s">
        <v>554</v>
      </c>
      <c r="B423" s="63" t="s">
        <v>978</v>
      </c>
      <c r="C423" s="63" t="s">
        <v>556</v>
      </c>
      <c r="D423" s="63" t="str">
        <f>IF('Barn - Back Rack'!H48="","",TRIM('Barn - Back Rack'!H48))</f>
        <v/>
      </c>
      <c r="E423" s="64" t="str">
        <f>IF($D423="","",'Barn - Back Rack'!I48&amp;"")</f>
        <v/>
      </c>
      <c r="F423" s="63">
        <f t="shared" si="32"/>
        <v>0</v>
      </c>
      <c r="G423" s="64" t="str">
        <f t="shared" si="29"/>
        <v/>
      </c>
      <c r="H423" s="64" t="str">
        <f t="shared" si="30"/>
        <v/>
      </c>
      <c r="I423" s="63">
        <f>IF($G423="",0,IF(COUNTIF($G$2:$G423,$G423)=1,1,0))</f>
        <v>0</v>
      </c>
      <c r="J423" s="63" t="str">
        <f t="shared" si="31"/>
        <v/>
      </c>
      <c r="K423" s="63" t="str">
        <f>IF($H423="","",COUNTIF($H$2:$H423,"?*"))</f>
        <v/>
      </c>
    </row>
    <row r="424" spans="1:11" x14ac:dyDescent="0.25">
      <c r="A424" s="63" t="s">
        <v>554</v>
      </c>
      <c r="B424" s="63" t="s">
        <v>979</v>
      </c>
      <c r="C424" s="63" t="s">
        <v>556</v>
      </c>
      <c r="D424" s="63" t="str">
        <f>IF('Barn - Back Rack'!H49="","",TRIM('Barn - Back Rack'!H49))</f>
        <v/>
      </c>
      <c r="E424" s="64" t="str">
        <f>IF($D424="","",'Barn - Back Rack'!I49&amp;"")</f>
        <v/>
      </c>
      <c r="F424" s="63">
        <f t="shared" si="32"/>
        <v>0</v>
      </c>
      <c r="G424" s="64" t="str">
        <f t="shared" si="29"/>
        <v/>
      </c>
      <c r="H424" s="64" t="str">
        <f t="shared" si="30"/>
        <v/>
      </c>
      <c r="I424" s="63">
        <f>IF($G424="",0,IF(COUNTIF($G$2:$G424,$G424)=1,1,0))</f>
        <v>0</v>
      </c>
      <c r="J424" s="63" t="str">
        <f t="shared" si="31"/>
        <v/>
      </c>
      <c r="K424" s="63" t="str">
        <f>IF($H424="","",COUNTIF($H$2:$H424,"?*"))</f>
        <v/>
      </c>
    </row>
    <row r="425" spans="1:11" x14ac:dyDescent="0.25">
      <c r="A425" s="63" t="s">
        <v>554</v>
      </c>
      <c r="B425" s="63" t="s">
        <v>980</v>
      </c>
      <c r="C425" s="63" t="s">
        <v>556</v>
      </c>
      <c r="D425" s="63" t="str">
        <f>IF('Barn - Back Rack'!H50="","",TRIM('Barn - Back Rack'!H50))</f>
        <v/>
      </c>
      <c r="E425" s="64" t="str">
        <f>IF($D425="","",'Barn - Back Rack'!I50&amp;"")</f>
        <v/>
      </c>
      <c r="F425" s="63">
        <f t="shared" si="32"/>
        <v>0</v>
      </c>
      <c r="G425" s="64" t="str">
        <f t="shared" si="29"/>
        <v/>
      </c>
      <c r="H425" s="64" t="str">
        <f t="shared" si="30"/>
        <v/>
      </c>
      <c r="I425" s="63">
        <f>IF($G425="",0,IF(COUNTIF($G$2:$G425,$G425)=1,1,0))</f>
        <v>0</v>
      </c>
      <c r="J425" s="63" t="str">
        <f t="shared" si="31"/>
        <v/>
      </c>
      <c r="K425" s="63" t="str">
        <f>IF($H425="","",COUNTIF($H$2:$H425,"?*"))</f>
        <v/>
      </c>
    </row>
    <row r="426" spans="1:11" x14ac:dyDescent="0.25">
      <c r="A426" s="63" t="s">
        <v>554</v>
      </c>
      <c r="B426" s="63" t="s">
        <v>981</v>
      </c>
      <c r="C426" s="63" t="s">
        <v>556</v>
      </c>
      <c r="D426" s="63" t="str">
        <f>IF('Barn - Back Rack'!H51="","",TRIM('Barn - Back Rack'!H51))</f>
        <v/>
      </c>
      <c r="E426" s="64" t="str">
        <f>IF($D426="","",'Barn - Back Rack'!I51&amp;"")</f>
        <v/>
      </c>
      <c r="F426" s="63">
        <f t="shared" ref="F426:F433" si="33">IF($D426="",0,1)</f>
        <v>0</v>
      </c>
      <c r="G426" s="64" t="str">
        <f t="shared" si="29"/>
        <v/>
      </c>
      <c r="H426" s="64" t="str">
        <f t="shared" si="30"/>
        <v/>
      </c>
      <c r="I426" s="63">
        <f>IF($G426="",0,IF(COUNTIF($G$2:$G426,$G426)=1,1,0))</f>
        <v>0</v>
      </c>
      <c r="J426" s="63" t="str">
        <f t="shared" si="31"/>
        <v/>
      </c>
      <c r="K426" s="63" t="str">
        <f>IF($H426="","",COUNTIF($H$2:$H426,"?*"))</f>
        <v/>
      </c>
    </row>
    <row r="427" spans="1:11" x14ac:dyDescent="0.25">
      <c r="A427" s="63" t="s">
        <v>554</v>
      </c>
      <c r="B427" s="63" t="s">
        <v>982</v>
      </c>
      <c r="C427" s="63" t="s">
        <v>556</v>
      </c>
      <c r="D427" s="63" t="str">
        <f>IF('Barn - Back Rack'!H52="","",TRIM('Barn - Back Rack'!H52))</f>
        <v/>
      </c>
      <c r="E427" s="64" t="str">
        <f>IF($D427="","",'Barn - Back Rack'!I52&amp;"")</f>
        <v/>
      </c>
      <c r="F427" s="63">
        <f t="shared" si="33"/>
        <v>0</v>
      </c>
      <c r="G427" s="64" t="str">
        <f t="shared" si="29"/>
        <v/>
      </c>
      <c r="H427" s="64" t="str">
        <f t="shared" si="30"/>
        <v/>
      </c>
      <c r="I427" s="63">
        <f>IF($G427="",0,IF(COUNTIF($G$2:$G427,$G427)=1,1,0))</f>
        <v>0</v>
      </c>
      <c r="J427" s="63" t="str">
        <f t="shared" si="31"/>
        <v/>
      </c>
      <c r="K427" s="63" t="str">
        <f>IF($H427="","",COUNTIF($H$2:$H427,"?*"))</f>
        <v/>
      </c>
    </row>
    <row r="428" spans="1:11" x14ac:dyDescent="0.25">
      <c r="A428" s="63" t="s">
        <v>554</v>
      </c>
      <c r="B428" s="63" t="s">
        <v>983</v>
      </c>
      <c r="C428" s="63" t="s">
        <v>556</v>
      </c>
      <c r="D428" s="63" t="str">
        <f>IF('Barn - Back Rack'!H53="","",TRIM('Barn - Back Rack'!H53))</f>
        <v/>
      </c>
      <c r="E428" s="64" t="str">
        <f>IF($D428="","",'Barn - Back Rack'!I53&amp;"")</f>
        <v/>
      </c>
      <c r="F428" s="63">
        <f t="shared" si="33"/>
        <v>0</v>
      </c>
      <c r="G428" s="64" t="str">
        <f t="shared" si="29"/>
        <v/>
      </c>
      <c r="H428" s="64" t="str">
        <f t="shared" si="30"/>
        <v/>
      </c>
      <c r="I428" s="63">
        <f>IF($G428="",0,IF(COUNTIF($G$2:$G428,$G428)=1,1,0))</f>
        <v>0</v>
      </c>
      <c r="J428" s="63" t="str">
        <f t="shared" si="31"/>
        <v/>
      </c>
      <c r="K428" s="63" t="str">
        <f>IF($H428="","",COUNTIF($H$2:$H428,"?*"))</f>
        <v/>
      </c>
    </row>
    <row r="429" spans="1:11" x14ac:dyDescent="0.25">
      <c r="A429" s="63" t="s">
        <v>554</v>
      </c>
      <c r="B429" s="63" t="s">
        <v>984</v>
      </c>
      <c r="C429" s="63" t="s">
        <v>556</v>
      </c>
      <c r="D429" s="63" t="str">
        <f>IF('Barn - Back Rack'!H54="","",TRIM('Barn - Back Rack'!H54))</f>
        <v/>
      </c>
      <c r="E429" s="64" t="str">
        <f>IF($D429="","",'Barn - Back Rack'!I54&amp;"")</f>
        <v/>
      </c>
      <c r="F429" s="63">
        <f t="shared" si="33"/>
        <v>0</v>
      </c>
      <c r="G429" s="64" t="str">
        <f t="shared" si="29"/>
        <v/>
      </c>
      <c r="H429" s="64" t="str">
        <f t="shared" si="30"/>
        <v/>
      </c>
      <c r="I429" s="63">
        <f>IF($G429="",0,IF(COUNTIF($G$2:$G429,$G429)=1,1,0))</f>
        <v>0</v>
      </c>
      <c r="J429" s="63" t="str">
        <f t="shared" si="31"/>
        <v/>
      </c>
      <c r="K429" s="63" t="str">
        <f>IF($H429="","",COUNTIF($H$2:$H429,"?*"))</f>
        <v/>
      </c>
    </row>
    <row r="430" spans="1:11" x14ac:dyDescent="0.25">
      <c r="A430" s="63" t="s">
        <v>554</v>
      </c>
      <c r="B430" s="63" t="s">
        <v>985</v>
      </c>
      <c r="C430" s="63" t="s">
        <v>556</v>
      </c>
      <c r="D430" s="63" t="str">
        <f>IF('Barn - Back Rack'!H55="","",TRIM('Barn - Back Rack'!H55))</f>
        <v/>
      </c>
      <c r="E430" s="64" t="str">
        <f>IF($D430="","",'Barn - Back Rack'!I55&amp;"")</f>
        <v/>
      </c>
      <c r="F430" s="63">
        <f t="shared" si="33"/>
        <v>0</v>
      </c>
      <c r="G430" s="64" t="str">
        <f t="shared" si="29"/>
        <v/>
      </c>
      <c r="H430" s="64" t="str">
        <f t="shared" si="30"/>
        <v/>
      </c>
      <c r="I430" s="63">
        <f>IF($G430="",0,IF(COUNTIF($G$2:$G430,$G430)=1,1,0))</f>
        <v>0</v>
      </c>
      <c r="J430" s="63" t="str">
        <f t="shared" si="31"/>
        <v/>
      </c>
      <c r="K430" s="63" t="str">
        <f>IF($H430="","",COUNTIF($H$2:$H430,"?*"))</f>
        <v/>
      </c>
    </row>
    <row r="431" spans="1:11" x14ac:dyDescent="0.25">
      <c r="A431" s="63" t="s">
        <v>554</v>
      </c>
      <c r="B431" s="63" t="s">
        <v>986</v>
      </c>
      <c r="C431" s="63" t="s">
        <v>556</v>
      </c>
      <c r="D431" s="63" t="str">
        <f>IF('Barn - Back Rack'!H56="","",TRIM('Barn - Back Rack'!H56))</f>
        <v/>
      </c>
      <c r="E431" s="64" t="str">
        <f>IF($D431="","",'Barn - Back Rack'!I56&amp;"")</f>
        <v/>
      </c>
      <c r="F431" s="63">
        <f t="shared" si="33"/>
        <v>0</v>
      </c>
      <c r="G431" s="64" t="str">
        <f t="shared" si="29"/>
        <v/>
      </c>
      <c r="H431" s="64" t="str">
        <f t="shared" si="30"/>
        <v/>
      </c>
      <c r="I431" s="63">
        <f>IF($G431="",0,IF(COUNTIF($G$2:$G431,$G431)=1,1,0))</f>
        <v>0</v>
      </c>
      <c r="J431" s="63" t="str">
        <f t="shared" si="31"/>
        <v/>
      </c>
      <c r="K431" s="63" t="str">
        <f>IF($H431="","",COUNTIF($H$2:$H431,"?*"))</f>
        <v/>
      </c>
    </row>
    <row r="432" spans="1:11" x14ac:dyDescent="0.25">
      <c r="A432" s="63" t="s">
        <v>554</v>
      </c>
      <c r="B432" s="63" t="s">
        <v>987</v>
      </c>
      <c r="C432" s="63" t="s">
        <v>556</v>
      </c>
      <c r="D432" s="63" t="str">
        <f>IF('Barn - Back Rack'!H57="","",TRIM('Barn - Back Rack'!H57))</f>
        <v/>
      </c>
      <c r="E432" s="64" t="str">
        <f>IF($D432="","",'Barn - Back Rack'!I57&amp;"")</f>
        <v/>
      </c>
      <c r="F432" s="63">
        <f t="shared" si="33"/>
        <v>0</v>
      </c>
      <c r="G432" s="64" t="str">
        <f t="shared" si="29"/>
        <v/>
      </c>
      <c r="H432" s="64" t="str">
        <f t="shared" si="30"/>
        <v/>
      </c>
      <c r="I432" s="63">
        <f>IF($G432="",0,IF(COUNTIF($G$2:$G432,$G432)=1,1,0))</f>
        <v>0</v>
      </c>
      <c r="J432" s="63" t="str">
        <f t="shared" si="31"/>
        <v/>
      </c>
      <c r="K432" s="63" t="str">
        <f>IF($H432="","",COUNTIF($H$2:$H432,"?*"))</f>
        <v/>
      </c>
    </row>
    <row r="433" spans="1:11" x14ac:dyDescent="0.25">
      <c r="A433" s="63" t="s">
        <v>554</v>
      </c>
      <c r="B433" s="63" t="s">
        <v>988</v>
      </c>
      <c r="C433" s="63" t="s">
        <v>556</v>
      </c>
      <c r="D433" s="63" t="str">
        <f>IF('Barn - Back Rack'!H58="","",TRIM('Barn - Back Rack'!H58))</f>
        <v/>
      </c>
      <c r="E433" s="64" t="str">
        <f>IF($D433="","",'Barn - Back Rack'!I58&amp;"")</f>
        <v/>
      </c>
      <c r="F433" s="63">
        <f t="shared" si="33"/>
        <v>0</v>
      </c>
      <c r="G433" s="64" t="str">
        <f t="shared" si="29"/>
        <v/>
      </c>
      <c r="H433" s="64" t="str">
        <f t="shared" si="30"/>
        <v/>
      </c>
      <c r="I433" s="63">
        <f>IF($G433="",0,IF(COUNTIF($G$2:$G433,$G433)=1,1,0))</f>
        <v>0</v>
      </c>
      <c r="J433" s="63" t="str">
        <f t="shared" si="31"/>
        <v/>
      </c>
      <c r="K433" s="63" t="str">
        <f>IF($H433="","",COUNTIF($H$2:$H433,"?*"))</f>
        <v/>
      </c>
    </row>
    <row r="434" spans="1:11" x14ac:dyDescent="0.25">
      <c r="A434" s="63" t="s">
        <v>554</v>
      </c>
      <c r="B434" s="63" t="s">
        <v>989</v>
      </c>
      <c r="C434" s="63" t="s">
        <v>605</v>
      </c>
      <c r="D434" s="63" t="str">
        <f>IF('Barn - Back Rack'!J47="","",TRIM('Barn - Back Rack'!J47))</f>
        <v>Bunn TDON3.5</v>
      </c>
      <c r="E434" s="64"/>
      <c r="F434" s="65">
        <f>IF($D434="",0,IF(ISNUMBER('Barn - Back Rack'!K47),'Barn - Back Rack'!K47,1))</f>
        <v>10</v>
      </c>
      <c r="G434" s="64" t="str">
        <f t="shared" si="29"/>
        <v>Bunn TDON3.5</v>
      </c>
      <c r="H434" s="64" t="str">
        <f t="shared" si="30"/>
        <v/>
      </c>
      <c r="I434" s="63">
        <f>IF($G434="",0,IF(COUNTIF($G$2:$G434,$G434)=1,1,0))</f>
        <v>1</v>
      </c>
      <c r="J434" s="63">
        <f t="shared" si="31"/>
        <v>35</v>
      </c>
      <c r="K434" s="63" t="str">
        <f>IF($H434="","",COUNTIF($H$2:$H434,"?*"))</f>
        <v/>
      </c>
    </row>
    <row r="435" spans="1:11" x14ac:dyDescent="0.25">
      <c r="A435" s="63" t="s">
        <v>554</v>
      </c>
      <c r="B435" s="63" t="s">
        <v>990</v>
      </c>
      <c r="C435" s="63" t="s">
        <v>605</v>
      </c>
      <c r="D435" s="63" t="str">
        <f>IF('Barn - Back Rack'!J48="","",TRIM('Barn - Back Rack'!J48))</f>
        <v/>
      </c>
      <c r="E435" s="64"/>
      <c r="F435" s="63">
        <f>IF($D435="",0,IF(ISNUMBER('Barn - Back Rack'!K48),'Barn - Back Rack'!K48,1))</f>
        <v>0</v>
      </c>
      <c r="G435" s="64" t="str">
        <f t="shared" si="29"/>
        <v/>
      </c>
      <c r="H435" s="64" t="str">
        <f t="shared" si="30"/>
        <v/>
      </c>
      <c r="I435" s="63">
        <f>IF($G435="",0,IF(COUNTIF($G$2:$G435,$G435)=1,1,0))</f>
        <v>0</v>
      </c>
      <c r="J435" s="63" t="str">
        <f t="shared" si="31"/>
        <v/>
      </c>
      <c r="K435" s="63" t="str">
        <f>IF($H435="","",COUNTIF($H$2:$H435,"?*"))</f>
        <v/>
      </c>
    </row>
    <row r="436" spans="1:11" x14ac:dyDescent="0.25">
      <c r="A436" s="63" t="s">
        <v>554</v>
      </c>
      <c r="B436" s="63" t="s">
        <v>991</v>
      </c>
      <c r="C436" s="63" t="s">
        <v>605</v>
      </c>
      <c r="D436" s="63" t="str">
        <f>IF('Barn - Back Rack'!J49="","",TRIM('Barn - Back Rack'!J49))</f>
        <v/>
      </c>
      <c r="E436" s="64"/>
      <c r="F436" s="63">
        <f>IF($D436="",0,IF(ISNUMBER('Barn - Back Rack'!K49),'Barn - Back Rack'!K49,1))</f>
        <v>0</v>
      </c>
      <c r="G436" s="64" t="str">
        <f t="shared" si="29"/>
        <v/>
      </c>
      <c r="H436" s="64" t="str">
        <f t="shared" si="30"/>
        <v/>
      </c>
      <c r="I436" s="63">
        <f>IF($G436="",0,IF(COUNTIF($G$2:$G436,$G436)=1,1,0))</f>
        <v>0</v>
      </c>
      <c r="J436" s="63" t="str">
        <f t="shared" si="31"/>
        <v/>
      </c>
      <c r="K436" s="63" t="str">
        <f>IF($H436="","",COUNTIF($H$2:$H436,"?*"))</f>
        <v/>
      </c>
    </row>
    <row r="437" spans="1:11" x14ac:dyDescent="0.25">
      <c r="A437" s="63" t="s">
        <v>554</v>
      </c>
      <c r="B437" s="63" t="s">
        <v>992</v>
      </c>
      <c r="C437" s="63" t="s">
        <v>605</v>
      </c>
      <c r="D437" s="63" t="str">
        <f>IF('Barn - Back Rack'!J50="","",TRIM('Barn - Back Rack'!J50))</f>
        <v/>
      </c>
      <c r="E437" s="64"/>
      <c r="F437" s="63">
        <f>IF($D437="",0,IF(ISNUMBER('Barn - Back Rack'!K50),'Barn - Back Rack'!K50,1))</f>
        <v>0</v>
      </c>
      <c r="G437" s="64" t="str">
        <f t="shared" si="29"/>
        <v/>
      </c>
      <c r="H437" s="64" t="str">
        <f t="shared" si="30"/>
        <v/>
      </c>
      <c r="I437" s="63">
        <f>IF($G437="",0,IF(COUNTIF($G$2:$G437,$G437)=1,1,0))</f>
        <v>0</v>
      </c>
      <c r="J437" s="63" t="str">
        <f t="shared" si="31"/>
        <v/>
      </c>
      <c r="K437" s="63" t="str">
        <f>IF($H437="","",COUNTIF($H$2:$H437,"?*"))</f>
        <v/>
      </c>
    </row>
    <row r="438" spans="1:11" x14ac:dyDescent="0.25">
      <c r="A438" s="63" t="s">
        <v>554</v>
      </c>
      <c r="B438" s="63" t="s">
        <v>993</v>
      </c>
      <c r="C438" s="63" t="s">
        <v>605</v>
      </c>
      <c r="D438" s="63" t="str">
        <f>IF('Barn - Back Rack'!J51="","",TRIM('Barn - Back Rack'!J51))</f>
        <v/>
      </c>
      <c r="E438" s="64"/>
      <c r="F438" s="63">
        <f>IF($D438="",0,IF(ISNUMBER('Barn - Back Rack'!K51),'Barn - Back Rack'!K51,1))</f>
        <v>0</v>
      </c>
      <c r="G438" s="64" t="str">
        <f t="shared" si="29"/>
        <v/>
      </c>
      <c r="H438" s="64" t="str">
        <f t="shared" si="30"/>
        <v/>
      </c>
      <c r="I438" s="63">
        <f>IF($G438="",0,IF(COUNTIF($G$2:$G438,$G438)=1,1,0))</f>
        <v>0</v>
      </c>
      <c r="J438" s="63" t="str">
        <f t="shared" si="31"/>
        <v/>
      </c>
      <c r="K438" s="63" t="str">
        <f>IF($H438="","",COUNTIF($H$2:$H438,"?*"))</f>
        <v/>
      </c>
    </row>
    <row r="439" spans="1:11" x14ac:dyDescent="0.25">
      <c r="A439" s="63" t="s">
        <v>554</v>
      </c>
      <c r="B439" s="63" t="s">
        <v>994</v>
      </c>
      <c r="C439" s="63" t="s">
        <v>605</v>
      </c>
      <c r="D439" s="63" t="str">
        <f>IF('Barn - Back Rack'!J52="","",TRIM('Barn - Back Rack'!J52))</f>
        <v/>
      </c>
      <c r="E439" s="64"/>
      <c r="F439" s="63">
        <f>IF($D439="",0,IF(ISNUMBER('Barn - Back Rack'!K52),'Barn - Back Rack'!K52,1))</f>
        <v>0</v>
      </c>
      <c r="G439" s="64" t="str">
        <f t="shared" si="29"/>
        <v/>
      </c>
      <c r="H439" s="64" t="str">
        <f t="shared" si="30"/>
        <v/>
      </c>
      <c r="I439" s="63">
        <f>IF($G439="",0,IF(COUNTIF($G$2:$G439,$G439)=1,1,0))</f>
        <v>0</v>
      </c>
      <c r="J439" s="63" t="str">
        <f t="shared" si="31"/>
        <v/>
      </c>
      <c r="K439" s="63" t="str">
        <f>IF($H439="","",COUNTIF($H$2:$H439,"?*"))</f>
        <v/>
      </c>
    </row>
    <row r="440" spans="1:11" x14ac:dyDescent="0.25">
      <c r="A440" s="63" t="s">
        <v>554</v>
      </c>
      <c r="B440" s="63" t="s">
        <v>995</v>
      </c>
      <c r="C440" s="63" t="s">
        <v>605</v>
      </c>
      <c r="D440" s="63" t="str">
        <f>IF('Barn - Back Rack'!J53="","",TRIM('Barn - Back Rack'!J53))</f>
        <v/>
      </c>
      <c r="E440" s="64"/>
      <c r="F440" s="63">
        <f>IF($D440="",0,IF(ISNUMBER('Barn - Back Rack'!K53),'Barn - Back Rack'!K53,1))</f>
        <v>0</v>
      </c>
      <c r="G440" s="64" t="str">
        <f t="shared" si="29"/>
        <v/>
      </c>
      <c r="H440" s="64" t="str">
        <f t="shared" si="30"/>
        <v/>
      </c>
      <c r="I440" s="63">
        <f>IF($G440="",0,IF(COUNTIF($G$2:$G440,$G440)=1,1,0))</f>
        <v>0</v>
      </c>
      <c r="J440" s="63" t="str">
        <f t="shared" si="31"/>
        <v/>
      </c>
      <c r="K440" s="63" t="str">
        <f>IF($H440="","",COUNTIF($H$2:$H440,"?*"))</f>
        <v/>
      </c>
    </row>
    <row r="441" spans="1:11" x14ac:dyDescent="0.25">
      <c r="A441" s="63" t="s">
        <v>554</v>
      </c>
      <c r="B441" s="63" t="s">
        <v>996</v>
      </c>
      <c r="C441" s="63" t="s">
        <v>605</v>
      </c>
      <c r="D441" s="63" t="str">
        <f>IF('Barn - Back Rack'!J54="","",TRIM('Barn - Back Rack'!J54))</f>
        <v/>
      </c>
      <c r="E441" s="64"/>
      <c r="F441" s="63">
        <f>IF($D441="",0,IF(ISNUMBER('Barn - Back Rack'!K54),'Barn - Back Rack'!K54,1))</f>
        <v>0</v>
      </c>
      <c r="G441" s="64" t="str">
        <f t="shared" si="29"/>
        <v/>
      </c>
      <c r="H441" s="64" t="str">
        <f t="shared" si="30"/>
        <v/>
      </c>
      <c r="I441" s="63">
        <f>IF($G441="",0,IF(COUNTIF($G$2:$G441,$G441)=1,1,0))</f>
        <v>0</v>
      </c>
      <c r="J441" s="63" t="str">
        <f t="shared" si="31"/>
        <v/>
      </c>
      <c r="K441" s="63" t="str">
        <f>IF($H441="","",COUNTIF($H$2:$H441,"?*"))</f>
        <v/>
      </c>
    </row>
    <row r="442" spans="1:11" x14ac:dyDescent="0.25">
      <c r="A442" s="63" t="s">
        <v>554</v>
      </c>
      <c r="B442" s="63" t="s">
        <v>997</v>
      </c>
      <c r="C442" s="63" t="s">
        <v>605</v>
      </c>
      <c r="D442" s="63" t="str">
        <f>IF('Barn - Back Rack'!J55="","",TRIM('Barn - Back Rack'!J55))</f>
        <v/>
      </c>
      <c r="E442" s="64"/>
      <c r="F442" s="63">
        <f>IF($D442="",0,IF(ISNUMBER('Barn - Back Rack'!K55),'Barn - Back Rack'!K55,1))</f>
        <v>0</v>
      </c>
      <c r="G442" s="64" t="str">
        <f t="shared" si="29"/>
        <v/>
      </c>
      <c r="H442" s="64" t="str">
        <f t="shared" si="30"/>
        <v/>
      </c>
      <c r="I442" s="63">
        <f>IF($G442="",0,IF(COUNTIF($G$2:$G442,$G442)=1,1,0))</f>
        <v>0</v>
      </c>
      <c r="J442" s="63" t="str">
        <f t="shared" si="31"/>
        <v/>
      </c>
      <c r="K442" s="63" t="str">
        <f>IF($H442="","",COUNTIF($H$2:$H442,"?*"))</f>
        <v/>
      </c>
    </row>
    <row r="443" spans="1:11" x14ac:dyDescent="0.25">
      <c r="A443" s="63" t="s">
        <v>554</v>
      </c>
      <c r="B443" s="63" t="s">
        <v>998</v>
      </c>
      <c r="C443" s="63" t="s">
        <v>605</v>
      </c>
      <c r="D443" s="63" t="str">
        <f>IF('Barn - Back Rack'!J56="","",TRIM('Barn - Back Rack'!J56))</f>
        <v/>
      </c>
      <c r="E443" s="64"/>
      <c r="F443" s="63">
        <f>IF($D443="",0,IF(ISNUMBER('Barn - Back Rack'!K56),'Barn - Back Rack'!K56,1))</f>
        <v>0</v>
      </c>
      <c r="G443" s="64" t="str">
        <f t="shared" si="29"/>
        <v/>
      </c>
      <c r="H443" s="64" t="str">
        <f t="shared" si="30"/>
        <v/>
      </c>
      <c r="I443" s="63">
        <f>IF($G443="",0,IF(COUNTIF($G$2:$G443,$G443)=1,1,0))</f>
        <v>0</v>
      </c>
      <c r="J443" s="63" t="str">
        <f t="shared" si="31"/>
        <v/>
      </c>
      <c r="K443" s="63" t="str">
        <f>IF($H443="","",COUNTIF($H$2:$H443,"?*"))</f>
        <v/>
      </c>
    </row>
    <row r="444" spans="1:11" x14ac:dyDescent="0.25">
      <c r="A444" s="63" t="s">
        <v>554</v>
      </c>
      <c r="B444" s="63" t="s">
        <v>999</v>
      </c>
      <c r="C444" s="63" t="s">
        <v>605</v>
      </c>
      <c r="D444" s="63" t="str">
        <f>IF('Barn - Back Rack'!J57="","",TRIM('Barn - Back Rack'!J57))</f>
        <v/>
      </c>
      <c r="E444" s="64"/>
      <c r="F444" s="63">
        <f>IF($D444="",0,IF(ISNUMBER('Barn - Back Rack'!K57),'Barn - Back Rack'!K57,1))</f>
        <v>0</v>
      </c>
      <c r="G444" s="64" t="str">
        <f t="shared" si="29"/>
        <v/>
      </c>
      <c r="H444" s="64" t="str">
        <f t="shared" si="30"/>
        <v/>
      </c>
      <c r="I444" s="63">
        <f>IF($G444="",0,IF(COUNTIF($G$2:$G444,$G444)=1,1,0))</f>
        <v>0</v>
      </c>
      <c r="J444" s="63" t="str">
        <f t="shared" si="31"/>
        <v/>
      </c>
      <c r="K444" s="63" t="str">
        <f>IF($H444="","",COUNTIF($H$2:$H444,"?*"))</f>
        <v/>
      </c>
    </row>
    <row r="445" spans="1:11" x14ac:dyDescent="0.25">
      <c r="A445" s="63" t="s">
        <v>554</v>
      </c>
      <c r="B445" s="63" t="s">
        <v>1000</v>
      </c>
      <c r="C445" s="63" t="s">
        <v>605</v>
      </c>
      <c r="D445" s="63" t="str">
        <f>IF('Barn - Back Rack'!J58="","",TRIM('Barn - Back Rack'!J58))</f>
        <v/>
      </c>
      <c r="E445" s="64"/>
      <c r="F445" s="63">
        <f>IF($D445="",0,IF(ISNUMBER('Barn - Back Rack'!K58),'Barn - Back Rack'!K58,1))</f>
        <v>0</v>
      </c>
      <c r="G445" s="64" t="str">
        <f t="shared" si="29"/>
        <v/>
      </c>
      <c r="H445" s="64" t="str">
        <f t="shared" si="30"/>
        <v/>
      </c>
      <c r="I445" s="63">
        <f>IF($G445="",0,IF(COUNTIF($G$2:$G445,$G445)=1,1,0))</f>
        <v>0</v>
      </c>
      <c r="J445" s="63" t="str">
        <f t="shared" si="31"/>
        <v/>
      </c>
      <c r="K445" s="63" t="str">
        <f>IF($H445="","",COUNTIF($H$2:$H445,"?*"))</f>
        <v/>
      </c>
    </row>
    <row r="446" spans="1:11" x14ac:dyDescent="0.25">
      <c r="A446" s="63" t="s">
        <v>554</v>
      </c>
      <c r="B446" s="63" t="s">
        <v>1001</v>
      </c>
      <c r="C446" s="63" t="s">
        <v>605</v>
      </c>
      <c r="D446" s="63" t="str">
        <f>IF('Barn - Back Rack'!L47="","",TRIM('Barn - Back Rack'!L47))</f>
        <v>Fetco L4D-15</v>
      </c>
      <c r="E446" s="64"/>
      <c r="F446" s="65">
        <f>IF($D446="",0,IF(ISNUMBER('Barn - Back Rack'!M47),'Barn - Back Rack'!M47,1))</f>
        <v>17</v>
      </c>
      <c r="G446" s="64" t="str">
        <f t="shared" si="29"/>
        <v>Fetco L4D-15</v>
      </c>
      <c r="H446" s="64" t="str">
        <f t="shared" si="30"/>
        <v/>
      </c>
      <c r="I446" s="63">
        <f>IF($G446="",0,IF(COUNTIF($G$2:$G446,$G446)=1,1,0))</f>
        <v>1</v>
      </c>
      <c r="J446" s="63">
        <f t="shared" si="31"/>
        <v>61</v>
      </c>
      <c r="K446" s="63" t="str">
        <f>IF($H446="","",COUNTIF($H$2:$H446,"?*"))</f>
        <v/>
      </c>
    </row>
    <row r="447" spans="1:11" x14ac:dyDescent="0.25">
      <c r="A447" s="63" t="s">
        <v>554</v>
      </c>
      <c r="B447" s="63" t="s">
        <v>1002</v>
      </c>
      <c r="C447" s="63" t="s">
        <v>605</v>
      </c>
      <c r="D447" s="63" t="str">
        <f>IF('Barn - Back Rack'!L48="","",TRIM('Barn - Back Rack'!L48))</f>
        <v/>
      </c>
      <c r="E447" s="64"/>
      <c r="F447" s="63">
        <f>IF($D447="",0,IF(ISNUMBER('Barn - Back Rack'!M48),'Barn - Back Rack'!M48,1))</f>
        <v>0</v>
      </c>
      <c r="G447" s="64" t="str">
        <f t="shared" si="29"/>
        <v/>
      </c>
      <c r="H447" s="64" t="str">
        <f t="shared" si="30"/>
        <v/>
      </c>
      <c r="I447" s="63">
        <f>IF($G447="",0,IF(COUNTIF($G$2:$G447,$G447)=1,1,0))</f>
        <v>0</v>
      </c>
      <c r="J447" s="63" t="str">
        <f t="shared" si="31"/>
        <v/>
      </c>
      <c r="K447" s="63" t="str">
        <f>IF($H447="","",COUNTIF($H$2:$H447,"?*"))</f>
        <v/>
      </c>
    </row>
    <row r="448" spans="1:11" x14ac:dyDescent="0.25">
      <c r="A448" s="63" t="s">
        <v>554</v>
      </c>
      <c r="B448" s="63" t="s">
        <v>1003</v>
      </c>
      <c r="C448" s="63" t="s">
        <v>605</v>
      </c>
      <c r="D448" s="63" t="str">
        <f>IF('Barn - Back Rack'!L49="","",TRIM('Barn - Back Rack'!L49))</f>
        <v/>
      </c>
      <c r="E448" s="64"/>
      <c r="F448" s="63">
        <f>IF($D448="",0,IF(ISNUMBER('Barn - Back Rack'!M49),'Barn - Back Rack'!M49,1))</f>
        <v>0</v>
      </c>
      <c r="G448" s="64" t="str">
        <f t="shared" si="29"/>
        <v/>
      </c>
      <c r="H448" s="64" t="str">
        <f t="shared" si="30"/>
        <v/>
      </c>
      <c r="I448" s="63">
        <f>IF($G448="",0,IF(COUNTIF($G$2:$G448,$G448)=1,1,0))</f>
        <v>0</v>
      </c>
      <c r="J448" s="63" t="str">
        <f t="shared" si="31"/>
        <v/>
      </c>
      <c r="K448" s="63" t="str">
        <f>IF($H448="","",COUNTIF($H$2:$H448,"?*"))</f>
        <v/>
      </c>
    </row>
    <row r="449" spans="1:11" x14ac:dyDescent="0.25">
      <c r="A449" s="63" t="s">
        <v>554</v>
      </c>
      <c r="B449" s="63" t="s">
        <v>1004</v>
      </c>
      <c r="C449" s="63" t="s">
        <v>605</v>
      </c>
      <c r="D449" s="63" t="str">
        <f>IF('Barn - Back Rack'!L50="","",TRIM('Barn - Back Rack'!L50))</f>
        <v/>
      </c>
      <c r="E449" s="64"/>
      <c r="F449" s="63">
        <f>IF($D449="",0,IF(ISNUMBER('Barn - Back Rack'!M50),'Barn - Back Rack'!M50,1))</f>
        <v>0</v>
      </c>
      <c r="G449" s="64" t="str">
        <f t="shared" si="29"/>
        <v/>
      </c>
      <c r="H449" s="64" t="str">
        <f t="shared" si="30"/>
        <v/>
      </c>
      <c r="I449" s="63">
        <f>IF($G449="",0,IF(COUNTIF($G$2:$G449,$G449)=1,1,0))</f>
        <v>0</v>
      </c>
      <c r="J449" s="63" t="str">
        <f t="shared" si="31"/>
        <v/>
      </c>
      <c r="K449" s="63" t="str">
        <f>IF($H449="","",COUNTIF($H$2:$H449,"?*"))</f>
        <v/>
      </c>
    </row>
    <row r="450" spans="1:11" x14ac:dyDescent="0.25">
      <c r="A450" s="63" t="s">
        <v>554</v>
      </c>
      <c r="B450" s="63" t="s">
        <v>1005</v>
      </c>
      <c r="C450" s="63" t="s">
        <v>605</v>
      </c>
      <c r="D450" s="63" t="str">
        <f>IF('Barn - Back Rack'!L51="","",TRIM('Barn - Back Rack'!L51))</f>
        <v/>
      </c>
      <c r="E450" s="64"/>
      <c r="F450" s="63">
        <f>IF($D450="",0,IF(ISNUMBER('Barn - Back Rack'!M51),'Barn - Back Rack'!M51,1))</f>
        <v>0</v>
      </c>
      <c r="G450" s="64" t="str">
        <f t="shared" ref="G450:G513" si="34">IF($D450="","",IF(ISNUMBER(FIND("(",$D450)),TRIM(LEFT($D450,FIND("(",$D450)-1)),$D450))</f>
        <v/>
      </c>
      <c r="H450" s="64" t="str">
        <f t="shared" ref="H450:H513" si="35">IF($D450="","",IF(ISNUMBER(FIND("(",$D450)),TRIM(SUBSTITUTE(MID($D450,FIND("(",$D450)+1,200),")","")),""))</f>
        <v/>
      </c>
      <c r="I450" s="63">
        <f>IF($G450="",0,IF(COUNTIF($G$2:$G450,$G450)=1,1,0))</f>
        <v>0</v>
      </c>
      <c r="J450" s="63" t="str">
        <f t="shared" ref="J450:J513" si="36">IF($I450=0,"",SUMPRODUCT(($I$2:$I$1513=1)*($G$2:$G$1513&lt;$G450))+1)</f>
        <v/>
      </c>
      <c r="K450" s="63" t="str">
        <f>IF($H450="","",COUNTIF($H$2:$H450,"?*"))</f>
        <v/>
      </c>
    </row>
    <row r="451" spans="1:11" x14ac:dyDescent="0.25">
      <c r="A451" s="63" t="s">
        <v>554</v>
      </c>
      <c r="B451" s="63" t="s">
        <v>1006</v>
      </c>
      <c r="C451" s="63" t="s">
        <v>605</v>
      </c>
      <c r="D451" s="63" t="str">
        <f>IF('Barn - Back Rack'!L52="","",TRIM('Barn - Back Rack'!L52))</f>
        <v/>
      </c>
      <c r="E451" s="64"/>
      <c r="F451" s="63">
        <f>IF($D451="",0,IF(ISNUMBER('Barn - Back Rack'!M52),'Barn - Back Rack'!M52,1))</f>
        <v>0</v>
      </c>
      <c r="G451" s="64" t="str">
        <f t="shared" si="34"/>
        <v/>
      </c>
      <c r="H451" s="64" t="str">
        <f t="shared" si="35"/>
        <v/>
      </c>
      <c r="I451" s="63">
        <f>IF($G451="",0,IF(COUNTIF($G$2:$G451,$G451)=1,1,0))</f>
        <v>0</v>
      </c>
      <c r="J451" s="63" t="str">
        <f t="shared" si="36"/>
        <v/>
      </c>
      <c r="K451" s="63" t="str">
        <f>IF($H451="","",COUNTIF($H$2:$H451,"?*"))</f>
        <v/>
      </c>
    </row>
    <row r="452" spans="1:11" x14ac:dyDescent="0.25">
      <c r="A452" s="63" t="s">
        <v>554</v>
      </c>
      <c r="B452" s="63" t="s">
        <v>1007</v>
      </c>
      <c r="C452" s="63" t="s">
        <v>605</v>
      </c>
      <c r="D452" s="63" t="str">
        <f>IF('Barn - Back Rack'!L53="","",TRIM('Barn - Back Rack'!L53))</f>
        <v/>
      </c>
      <c r="E452" s="64"/>
      <c r="F452" s="63">
        <f>IF($D452="",0,IF(ISNUMBER('Barn - Back Rack'!M53),'Barn - Back Rack'!M53,1))</f>
        <v>0</v>
      </c>
      <c r="G452" s="64" t="str">
        <f t="shared" si="34"/>
        <v/>
      </c>
      <c r="H452" s="64" t="str">
        <f t="shared" si="35"/>
        <v/>
      </c>
      <c r="I452" s="63">
        <f>IF($G452="",0,IF(COUNTIF($G$2:$G452,$G452)=1,1,0))</f>
        <v>0</v>
      </c>
      <c r="J452" s="63" t="str">
        <f t="shared" si="36"/>
        <v/>
      </c>
      <c r="K452" s="63" t="str">
        <f>IF($H452="","",COUNTIF($H$2:$H452,"?*"))</f>
        <v/>
      </c>
    </row>
    <row r="453" spans="1:11" x14ac:dyDescent="0.25">
      <c r="A453" s="63" t="s">
        <v>554</v>
      </c>
      <c r="B453" s="63" t="s">
        <v>1008</v>
      </c>
      <c r="C453" s="63" t="s">
        <v>605</v>
      </c>
      <c r="D453" s="63" t="str">
        <f>IF('Barn - Back Rack'!L54="","",TRIM('Barn - Back Rack'!L54))</f>
        <v/>
      </c>
      <c r="E453" s="64"/>
      <c r="F453" s="63">
        <f>IF($D453="",0,IF(ISNUMBER('Barn - Back Rack'!M54),'Barn - Back Rack'!M54,1))</f>
        <v>0</v>
      </c>
      <c r="G453" s="64" t="str">
        <f t="shared" si="34"/>
        <v/>
      </c>
      <c r="H453" s="64" t="str">
        <f t="shared" si="35"/>
        <v/>
      </c>
      <c r="I453" s="63">
        <f>IF($G453="",0,IF(COUNTIF($G$2:$G453,$G453)=1,1,0))</f>
        <v>0</v>
      </c>
      <c r="J453" s="63" t="str">
        <f t="shared" si="36"/>
        <v/>
      </c>
      <c r="K453" s="63" t="str">
        <f>IF($H453="","",COUNTIF($H$2:$H453,"?*"))</f>
        <v/>
      </c>
    </row>
    <row r="454" spans="1:11" x14ac:dyDescent="0.25">
      <c r="A454" s="63" t="s">
        <v>554</v>
      </c>
      <c r="B454" s="63" t="s">
        <v>1009</v>
      </c>
      <c r="C454" s="63" t="s">
        <v>605</v>
      </c>
      <c r="D454" s="63" t="str">
        <f>IF('Barn - Back Rack'!L55="","",TRIM('Barn - Back Rack'!L55))</f>
        <v/>
      </c>
      <c r="E454" s="64"/>
      <c r="F454" s="63">
        <f>IF($D454="",0,IF(ISNUMBER('Barn - Back Rack'!M55),'Barn - Back Rack'!M55,1))</f>
        <v>0</v>
      </c>
      <c r="G454" s="64" t="str">
        <f t="shared" si="34"/>
        <v/>
      </c>
      <c r="H454" s="64" t="str">
        <f t="shared" si="35"/>
        <v/>
      </c>
      <c r="I454" s="63">
        <f>IF($G454="",0,IF(COUNTIF($G$2:$G454,$G454)=1,1,0))</f>
        <v>0</v>
      </c>
      <c r="J454" s="63" t="str">
        <f t="shared" si="36"/>
        <v/>
      </c>
      <c r="K454" s="63" t="str">
        <f>IF($H454="","",COUNTIF($H$2:$H454,"?*"))</f>
        <v/>
      </c>
    </row>
    <row r="455" spans="1:11" x14ac:dyDescent="0.25">
      <c r="A455" s="63" t="s">
        <v>554</v>
      </c>
      <c r="B455" s="63" t="s">
        <v>1010</v>
      </c>
      <c r="C455" s="63" t="s">
        <v>605</v>
      </c>
      <c r="D455" s="63" t="str">
        <f>IF('Barn - Back Rack'!L56="","",TRIM('Barn - Back Rack'!L56))</f>
        <v/>
      </c>
      <c r="E455" s="64"/>
      <c r="F455" s="63">
        <f>IF($D455="",0,IF(ISNUMBER('Barn - Back Rack'!M56),'Barn - Back Rack'!M56,1))</f>
        <v>0</v>
      </c>
      <c r="G455" s="64" t="str">
        <f t="shared" si="34"/>
        <v/>
      </c>
      <c r="H455" s="64" t="str">
        <f t="shared" si="35"/>
        <v/>
      </c>
      <c r="I455" s="63">
        <f>IF($G455="",0,IF(COUNTIF($G$2:$G455,$G455)=1,1,0))</f>
        <v>0</v>
      </c>
      <c r="J455" s="63" t="str">
        <f t="shared" si="36"/>
        <v/>
      </c>
      <c r="K455" s="63" t="str">
        <f>IF($H455="","",COUNTIF($H$2:$H455,"?*"))</f>
        <v/>
      </c>
    </row>
    <row r="456" spans="1:11" x14ac:dyDescent="0.25">
      <c r="A456" s="63" t="s">
        <v>554</v>
      </c>
      <c r="B456" s="63" t="s">
        <v>1011</v>
      </c>
      <c r="C456" s="63" t="s">
        <v>605</v>
      </c>
      <c r="D456" s="63" t="str">
        <f>IF('Barn - Back Rack'!L57="","",TRIM('Barn - Back Rack'!L57))</f>
        <v/>
      </c>
      <c r="E456" s="64"/>
      <c r="F456" s="63">
        <f>IF($D456="",0,IF(ISNUMBER('Barn - Back Rack'!M57),'Barn - Back Rack'!M57,1))</f>
        <v>0</v>
      </c>
      <c r="G456" s="64" t="str">
        <f t="shared" si="34"/>
        <v/>
      </c>
      <c r="H456" s="64" t="str">
        <f t="shared" si="35"/>
        <v/>
      </c>
      <c r="I456" s="63">
        <f>IF($G456="",0,IF(COUNTIF($G$2:$G456,$G456)=1,1,0))</f>
        <v>0</v>
      </c>
      <c r="J456" s="63" t="str">
        <f t="shared" si="36"/>
        <v/>
      </c>
      <c r="K456" s="63" t="str">
        <f>IF($H456="","",COUNTIF($H$2:$H456,"?*"))</f>
        <v/>
      </c>
    </row>
    <row r="457" spans="1:11" x14ac:dyDescent="0.25">
      <c r="A457" s="63" t="s">
        <v>554</v>
      </c>
      <c r="B457" s="63" t="s">
        <v>1012</v>
      </c>
      <c r="C457" s="63" t="s">
        <v>605</v>
      </c>
      <c r="D457" s="63" t="str">
        <f>IF('Barn - Back Rack'!L58="","",TRIM('Barn - Back Rack'!L58))</f>
        <v/>
      </c>
      <c r="E457" s="64"/>
      <c r="F457" s="63">
        <f>IF($D457="",0,IF(ISNUMBER('Barn - Back Rack'!M58),'Barn - Back Rack'!M58,1))</f>
        <v>0</v>
      </c>
      <c r="G457" s="64" t="str">
        <f t="shared" si="34"/>
        <v/>
      </c>
      <c r="H457" s="64" t="str">
        <f t="shared" si="35"/>
        <v/>
      </c>
      <c r="I457" s="63">
        <f>IF($G457="",0,IF(COUNTIF($G$2:$G457,$G457)=1,1,0))</f>
        <v>0</v>
      </c>
      <c r="J457" s="63" t="str">
        <f t="shared" si="36"/>
        <v/>
      </c>
      <c r="K457" s="63" t="str">
        <f>IF($H457="","",COUNTIF($H$2:$H457,"?*"))</f>
        <v/>
      </c>
    </row>
    <row r="458" spans="1:11" x14ac:dyDescent="0.25">
      <c r="A458" s="63" t="s">
        <v>554</v>
      </c>
      <c r="B458" s="63" t="s">
        <v>1013</v>
      </c>
      <c r="C458" s="63" t="s">
        <v>556</v>
      </c>
      <c r="D458" s="63" t="str">
        <f>IF('Barn - Back Rack'!N47="","",TRIM('Barn - Back Rack'!N47))</f>
        <v>Eversys e'4m</v>
      </c>
      <c r="E458" s="64" t="str">
        <f>IF($D458="","",'Barn - Back Rack'!O47&amp;"")</f>
        <v>110710024283E0008</v>
      </c>
      <c r="F458" s="63">
        <f t="shared" ref="F458:F489" si="37">IF($D458="",0,1)</f>
        <v>1</v>
      </c>
      <c r="G458" s="64" t="str">
        <f t="shared" si="34"/>
        <v>Eversys e'4m</v>
      </c>
      <c r="H458" s="64" t="str">
        <f t="shared" si="35"/>
        <v/>
      </c>
      <c r="I458" s="63">
        <f>IF($G458="",0,IF(COUNTIF($G$2:$G458,$G458)=1,1,0))</f>
        <v>1</v>
      </c>
      <c r="J458" s="63">
        <f t="shared" si="36"/>
        <v>41</v>
      </c>
      <c r="K458" s="63" t="str">
        <f>IF($H458="","",COUNTIF($H$2:$H458,"?*"))</f>
        <v/>
      </c>
    </row>
    <row r="459" spans="1:11" x14ac:dyDescent="0.25">
      <c r="A459" s="63" t="s">
        <v>554</v>
      </c>
      <c r="B459" s="63" t="s">
        <v>1014</v>
      </c>
      <c r="C459" s="63" t="s">
        <v>556</v>
      </c>
      <c r="D459" s="63" t="str">
        <f>IF('Barn - Back Rack'!N48="","",TRIM('Barn - Back Rack'!N48))</f>
        <v/>
      </c>
      <c r="E459" s="64" t="str">
        <f>IF($D459="","",'Barn - Back Rack'!O48&amp;"")</f>
        <v/>
      </c>
      <c r="F459" s="63">
        <f t="shared" si="37"/>
        <v>0</v>
      </c>
      <c r="G459" s="64" t="str">
        <f t="shared" si="34"/>
        <v/>
      </c>
      <c r="H459" s="64" t="str">
        <f t="shared" si="35"/>
        <v/>
      </c>
      <c r="I459" s="63">
        <f>IF($G459="",0,IF(COUNTIF($G$2:$G459,$G459)=1,1,0))</f>
        <v>0</v>
      </c>
      <c r="J459" s="63" t="str">
        <f t="shared" si="36"/>
        <v/>
      </c>
      <c r="K459" s="63" t="str">
        <f>IF($H459="","",COUNTIF($H$2:$H459,"?*"))</f>
        <v/>
      </c>
    </row>
    <row r="460" spans="1:11" x14ac:dyDescent="0.25">
      <c r="A460" s="63" t="s">
        <v>554</v>
      </c>
      <c r="B460" s="63" t="s">
        <v>1015</v>
      </c>
      <c r="C460" s="63" t="s">
        <v>556</v>
      </c>
      <c r="D460" s="63" t="str">
        <f>IF('Barn - Back Rack'!N49="","",TRIM('Barn - Back Rack'!N49))</f>
        <v/>
      </c>
      <c r="E460" s="64" t="str">
        <f>IF($D460="","",'Barn - Back Rack'!O49&amp;"")</f>
        <v/>
      </c>
      <c r="F460" s="63">
        <f t="shared" si="37"/>
        <v>0</v>
      </c>
      <c r="G460" s="64" t="str">
        <f t="shared" si="34"/>
        <v/>
      </c>
      <c r="H460" s="64" t="str">
        <f t="shared" si="35"/>
        <v/>
      </c>
      <c r="I460" s="63">
        <f>IF($G460="",0,IF(COUNTIF($G$2:$G460,$G460)=1,1,0))</f>
        <v>0</v>
      </c>
      <c r="J460" s="63" t="str">
        <f t="shared" si="36"/>
        <v/>
      </c>
      <c r="K460" s="63" t="str">
        <f>IF($H460="","",COUNTIF($H$2:$H460,"?*"))</f>
        <v/>
      </c>
    </row>
    <row r="461" spans="1:11" x14ac:dyDescent="0.25">
      <c r="A461" s="63" t="s">
        <v>554</v>
      </c>
      <c r="B461" s="63" t="s">
        <v>1016</v>
      </c>
      <c r="C461" s="63" t="s">
        <v>556</v>
      </c>
      <c r="D461" s="63" t="str">
        <f>IF('Barn - Back Rack'!N50="","",TRIM('Barn - Back Rack'!N50))</f>
        <v/>
      </c>
      <c r="E461" s="64" t="str">
        <f>IF($D461="","",'Barn - Back Rack'!O50&amp;"")</f>
        <v/>
      </c>
      <c r="F461" s="63">
        <f t="shared" si="37"/>
        <v>0</v>
      </c>
      <c r="G461" s="64" t="str">
        <f t="shared" si="34"/>
        <v/>
      </c>
      <c r="H461" s="64" t="str">
        <f t="shared" si="35"/>
        <v/>
      </c>
      <c r="I461" s="63">
        <f>IF($G461="",0,IF(COUNTIF($G$2:$G461,$G461)=1,1,0))</f>
        <v>0</v>
      </c>
      <c r="J461" s="63" t="str">
        <f t="shared" si="36"/>
        <v/>
      </c>
      <c r="K461" s="63" t="str">
        <f>IF($H461="","",COUNTIF($H$2:$H461,"?*"))</f>
        <v/>
      </c>
    </row>
    <row r="462" spans="1:11" x14ac:dyDescent="0.25">
      <c r="A462" s="63" t="s">
        <v>554</v>
      </c>
      <c r="B462" s="63" t="s">
        <v>1017</v>
      </c>
      <c r="C462" s="63" t="s">
        <v>556</v>
      </c>
      <c r="D462" s="63" t="str">
        <f>IF('Barn - Back Rack'!N51="","",TRIM('Barn - Back Rack'!N51))</f>
        <v/>
      </c>
      <c r="E462" s="64" t="str">
        <f>IF($D462="","",'Barn - Back Rack'!O51&amp;"")</f>
        <v/>
      </c>
      <c r="F462" s="63">
        <f t="shared" si="37"/>
        <v>0</v>
      </c>
      <c r="G462" s="64" t="str">
        <f t="shared" si="34"/>
        <v/>
      </c>
      <c r="H462" s="64" t="str">
        <f t="shared" si="35"/>
        <v/>
      </c>
      <c r="I462" s="63">
        <f>IF($G462="",0,IF(COUNTIF($G$2:$G462,$G462)=1,1,0))</f>
        <v>0</v>
      </c>
      <c r="J462" s="63" t="str">
        <f t="shared" si="36"/>
        <v/>
      </c>
      <c r="K462" s="63" t="str">
        <f>IF($H462="","",COUNTIF($H$2:$H462,"?*"))</f>
        <v/>
      </c>
    </row>
    <row r="463" spans="1:11" x14ac:dyDescent="0.25">
      <c r="A463" s="63" t="s">
        <v>554</v>
      </c>
      <c r="B463" s="63" t="s">
        <v>1018</v>
      </c>
      <c r="C463" s="63" t="s">
        <v>556</v>
      </c>
      <c r="D463" s="63" t="str">
        <f>IF('Barn - Back Rack'!N52="","",TRIM('Barn - Back Rack'!N52))</f>
        <v/>
      </c>
      <c r="E463" s="64" t="str">
        <f>IF($D463="","",'Barn - Back Rack'!O52&amp;"")</f>
        <v/>
      </c>
      <c r="F463" s="63">
        <f t="shared" si="37"/>
        <v>0</v>
      </c>
      <c r="G463" s="64" t="str">
        <f t="shared" si="34"/>
        <v/>
      </c>
      <c r="H463" s="64" t="str">
        <f t="shared" si="35"/>
        <v/>
      </c>
      <c r="I463" s="63">
        <f>IF($G463="",0,IF(COUNTIF($G$2:$G463,$G463)=1,1,0))</f>
        <v>0</v>
      </c>
      <c r="J463" s="63" t="str">
        <f t="shared" si="36"/>
        <v/>
      </c>
      <c r="K463" s="63" t="str">
        <f>IF($H463="","",COUNTIF($H$2:$H463,"?*"))</f>
        <v/>
      </c>
    </row>
    <row r="464" spans="1:11" x14ac:dyDescent="0.25">
      <c r="A464" s="63" t="s">
        <v>554</v>
      </c>
      <c r="B464" s="63" t="s">
        <v>1019</v>
      </c>
      <c r="C464" s="63" t="s">
        <v>556</v>
      </c>
      <c r="D464" s="63" t="str">
        <f>IF('Barn - Back Rack'!N53="","",TRIM('Barn - Back Rack'!N53))</f>
        <v/>
      </c>
      <c r="E464" s="64" t="str">
        <f>IF($D464="","",'Barn - Back Rack'!O53&amp;"")</f>
        <v/>
      </c>
      <c r="F464" s="63">
        <f t="shared" si="37"/>
        <v>0</v>
      </c>
      <c r="G464" s="64" t="str">
        <f t="shared" si="34"/>
        <v/>
      </c>
      <c r="H464" s="64" t="str">
        <f t="shared" si="35"/>
        <v/>
      </c>
      <c r="I464" s="63">
        <f>IF($G464="",0,IF(COUNTIF($G$2:$G464,$G464)=1,1,0))</f>
        <v>0</v>
      </c>
      <c r="J464" s="63" t="str">
        <f t="shared" si="36"/>
        <v/>
      </c>
      <c r="K464" s="63" t="str">
        <f>IF($H464="","",COUNTIF($H$2:$H464,"?*"))</f>
        <v/>
      </c>
    </row>
    <row r="465" spans="1:11" x14ac:dyDescent="0.25">
      <c r="A465" s="63" t="s">
        <v>554</v>
      </c>
      <c r="B465" s="63" t="s">
        <v>1020</v>
      </c>
      <c r="C465" s="63" t="s">
        <v>556</v>
      </c>
      <c r="D465" s="63" t="str">
        <f>IF('Barn - Back Rack'!N54="","",TRIM('Barn - Back Rack'!N54))</f>
        <v/>
      </c>
      <c r="E465" s="64" t="str">
        <f>IF($D465="","",'Barn - Back Rack'!O54&amp;"")</f>
        <v/>
      </c>
      <c r="F465" s="63">
        <f t="shared" si="37"/>
        <v>0</v>
      </c>
      <c r="G465" s="64" t="str">
        <f t="shared" si="34"/>
        <v/>
      </c>
      <c r="H465" s="64" t="str">
        <f t="shared" si="35"/>
        <v/>
      </c>
      <c r="I465" s="63">
        <f>IF($G465="",0,IF(COUNTIF($G$2:$G465,$G465)=1,1,0))</f>
        <v>0</v>
      </c>
      <c r="J465" s="63" t="str">
        <f t="shared" si="36"/>
        <v/>
      </c>
      <c r="K465" s="63" t="str">
        <f>IF($H465="","",COUNTIF($H$2:$H465,"?*"))</f>
        <v/>
      </c>
    </row>
    <row r="466" spans="1:11" x14ac:dyDescent="0.25">
      <c r="A466" s="63" t="s">
        <v>554</v>
      </c>
      <c r="B466" s="63" t="s">
        <v>1021</v>
      </c>
      <c r="C466" s="63" t="s">
        <v>556</v>
      </c>
      <c r="D466" s="63" t="str">
        <f>IF('Barn - Back Rack'!N55="","",TRIM('Barn - Back Rack'!N55))</f>
        <v/>
      </c>
      <c r="E466" s="64" t="str">
        <f>IF($D466="","",'Barn - Back Rack'!O55&amp;"")</f>
        <v/>
      </c>
      <c r="F466" s="63">
        <f t="shared" si="37"/>
        <v>0</v>
      </c>
      <c r="G466" s="64" t="str">
        <f t="shared" si="34"/>
        <v/>
      </c>
      <c r="H466" s="64" t="str">
        <f t="shared" si="35"/>
        <v/>
      </c>
      <c r="I466" s="63">
        <f>IF($G466="",0,IF(COUNTIF($G$2:$G466,$G466)=1,1,0))</f>
        <v>0</v>
      </c>
      <c r="J466" s="63" t="str">
        <f t="shared" si="36"/>
        <v/>
      </c>
      <c r="K466" s="63" t="str">
        <f>IF($H466="","",COUNTIF($H$2:$H466,"?*"))</f>
        <v/>
      </c>
    </row>
    <row r="467" spans="1:11" x14ac:dyDescent="0.25">
      <c r="A467" s="63" t="s">
        <v>554</v>
      </c>
      <c r="B467" s="63" t="s">
        <v>1022</v>
      </c>
      <c r="C467" s="63" t="s">
        <v>556</v>
      </c>
      <c r="D467" s="63" t="str">
        <f>IF('Barn - Back Rack'!N56="","",TRIM('Barn - Back Rack'!N56))</f>
        <v/>
      </c>
      <c r="E467" s="64" t="str">
        <f>IF($D467="","",'Barn - Back Rack'!O56&amp;"")</f>
        <v/>
      </c>
      <c r="F467" s="63">
        <f t="shared" si="37"/>
        <v>0</v>
      </c>
      <c r="G467" s="64" t="str">
        <f t="shared" si="34"/>
        <v/>
      </c>
      <c r="H467" s="64" t="str">
        <f t="shared" si="35"/>
        <v/>
      </c>
      <c r="I467" s="63">
        <f>IF($G467="",0,IF(COUNTIF($G$2:$G467,$G467)=1,1,0))</f>
        <v>0</v>
      </c>
      <c r="J467" s="63" t="str">
        <f t="shared" si="36"/>
        <v/>
      </c>
      <c r="K467" s="63" t="str">
        <f>IF($H467="","",COUNTIF($H$2:$H467,"?*"))</f>
        <v/>
      </c>
    </row>
    <row r="468" spans="1:11" x14ac:dyDescent="0.25">
      <c r="A468" s="63" t="s">
        <v>554</v>
      </c>
      <c r="B468" s="63" t="s">
        <v>1023</v>
      </c>
      <c r="C468" s="63" t="s">
        <v>556</v>
      </c>
      <c r="D468" s="63" t="str">
        <f>IF('Barn - Back Rack'!N57="","",TRIM('Barn - Back Rack'!N57))</f>
        <v/>
      </c>
      <c r="E468" s="64" t="str">
        <f>IF($D468="","",'Barn - Back Rack'!O57&amp;"")</f>
        <v/>
      </c>
      <c r="F468" s="63">
        <f t="shared" si="37"/>
        <v>0</v>
      </c>
      <c r="G468" s="64" t="str">
        <f t="shared" si="34"/>
        <v/>
      </c>
      <c r="H468" s="64" t="str">
        <f t="shared" si="35"/>
        <v/>
      </c>
      <c r="I468" s="63">
        <f>IF($G468="",0,IF(COUNTIF($G$2:$G468,$G468)=1,1,0))</f>
        <v>0</v>
      </c>
      <c r="J468" s="63" t="str">
        <f t="shared" si="36"/>
        <v/>
      </c>
      <c r="K468" s="63" t="str">
        <f>IF($H468="","",COUNTIF($H$2:$H468,"?*"))</f>
        <v/>
      </c>
    </row>
    <row r="469" spans="1:11" x14ac:dyDescent="0.25">
      <c r="A469" s="63" t="s">
        <v>554</v>
      </c>
      <c r="B469" s="63" t="s">
        <v>1024</v>
      </c>
      <c r="C469" s="63" t="s">
        <v>556</v>
      </c>
      <c r="D469" s="63" t="str">
        <f>IF('Barn - Back Rack'!N58="","",TRIM('Barn - Back Rack'!N58))</f>
        <v/>
      </c>
      <c r="E469" s="64" t="str">
        <f>IF($D469="","",'Barn - Back Rack'!O58&amp;"")</f>
        <v/>
      </c>
      <c r="F469" s="63">
        <f t="shared" si="37"/>
        <v>0</v>
      </c>
      <c r="G469" s="64" t="str">
        <f t="shared" si="34"/>
        <v/>
      </c>
      <c r="H469" s="64" t="str">
        <f t="shared" si="35"/>
        <v/>
      </c>
      <c r="I469" s="63">
        <f>IF($G469="",0,IF(COUNTIF($G$2:$G469,$G469)=1,1,0))</f>
        <v>0</v>
      </c>
      <c r="J469" s="63" t="str">
        <f t="shared" si="36"/>
        <v/>
      </c>
      <c r="K469" s="63" t="str">
        <f>IF($H469="","",COUNTIF($H$2:$H469,"?*"))</f>
        <v/>
      </c>
    </row>
    <row r="470" spans="1:11" x14ac:dyDescent="0.25">
      <c r="A470" s="63" t="s">
        <v>554</v>
      </c>
      <c r="B470" s="63" t="s">
        <v>1025</v>
      </c>
      <c r="C470" s="63" t="s">
        <v>556</v>
      </c>
      <c r="D470" s="63" t="str">
        <f>IF('Barn - Back Rack'!P47="","",TRIM('Barn - Back Rack'!P47))</f>
        <v>Eversys e'4s ST X-Wide</v>
      </c>
      <c r="E470" s="64" t="str">
        <f>IF($D470="","",'Barn - Back Rack'!Q47&amp;"")</f>
        <v>1166000250770</v>
      </c>
      <c r="F470" s="63">
        <f t="shared" si="37"/>
        <v>1</v>
      </c>
      <c r="G470" s="64" t="str">
        <f t="shared" si="34"/>
        <v>Eversys e'4s ST X-Wide</v>
      </c>
      <c r="H470" s="64" t="str">
        <f t="shared" si="35"/>
        <v/>
      </c>
      <c r="I470" s="63">
        <f>IF($G470="",0,IF(COUNTIF($G$2:$G470,$G470)=1,1,0))</f>
        <v>1</v>
      </c>
      <c r="J470" s="63">
        <f t="shared" si="36"/>
        <v>43</v>
      </c>
      <c r="K470" s="63" t="str">
        <f>IF($H470="","",COUNTIF($H$2:$H470,"?*"))</f>
        <v/>
      </c>
    </row>
    <row r="471" spans="1:11" x14ac:dyDescent="0.25">
      <c r="A471" s="63" t="s">
        <v>554</v>
      </c>
      <c r="B471" s="63" t="s">
        <v>1026</v>
      </c>
      <c r="C471" s="63" t="s">
        <v>556</v>
      </c>
      <c r="D471" s="63" t="str">
        <f>IF('Barn - Back Rack'!P48="","",TRIM('Barn - Back Rack'!P48))</f>
        <v/>
      </c>
      <c r="E471" s="64" t="str">
        <f>IF($D471="","",'Barn - Back Rack'!Q48&amp;"")</f>
        <v/>
      </c>
      <c r="F471" s="63">
        <f t="shared" si="37"/>
        <v>0</v>
      </c>
      <c r="G471" s="64" t="str">
        <f t="shared" si="34"/>
        <v/>
      </c>
      <c r="H471" s="64" t="str">
        <f t="shared" si="35"/>
        <v/>
      </c>
      <c r="I471" s="63">
        <f>IF($G471="",0,IF(COUNTIF($G$2:$G471,$G471)=1,1,0))</f>
        <v>0</v>
      </c>
      <c r="J471" s="63" t="str">
        <f t="shared" si="36"/>
        <v/>
      </c>
      <c r="K471" s="63" t="str">
        <f>IF($H471="","",COUNTIF($H$2:$H471,"?*"))</f>
        <v/>
      </c>
    </row>
    <row r="472" spans="1:11" x14ac:dyDescent="0.25">
      <c r="A472" s="63" t="s">
        <v>554</v>
      </c>
      <c r="B472" s="63" t="s">
        <v>1027</v>
      </c>
      <c r="C472" s="63" t="s">
        <v>556</v>
      </c>
      <c r="D472" s="63" t="str">
        <f>IF('Barn - Back Rack'!P49="","",TRIM('Barn - Back Rack'!P49))</f>
        <v/>
      </c>
      <c r="E472" s="64" t="str">
        <f>IF($D472="","",'Barn - Back Rack'!Q49&amp;"")</f>
        <v/>
      </c>
      <c r="F472" s="63">
        <f t="shared" si="37"/>
        <v>0</v>
      </c>
      <c r="G472" s="64" t="str">
        <f t="shared" si="34"/>
        <v/>
      </c>
      <c r="H472" s="64" t="str">
        <f t="shared" si="35"/>
        <v/>
      </c>
      <c r="I472" s="63">
        <f>IF($G472="",0,IF(COUNTIF($G$2:$G472,$G472)=1,1,0))</f>
        <v>0</v>
      </c>
      <c r="J472" s="63" t="str">
        <f t="shared" si="36"/>
        <v/>
      </c>
      <c r="K472" s="63" t="str">
        <f>IF($H472="","",COUNTIF($H$2:$H472,"?*"))</f>
        <v/>
      </c>
    </row>
    <row r="473" spans="1:11" x14ac:dyDescent="0.25">
      <c r="A473" s="63" t="s">
        <v>554</v>
      </c>
      <c r="B473" s="63" t="s">
        <v>1028</v>
      </c>
      <c r="C473" s="63" t="s">
        <v>556</v>
      </c>
      <c r="D473" s="63" t="str">
        <f>IF('Barn - Back Rack'!P50="","",TRIM('Barn - Back Rack'!P50))</f>
        <v/>
      </c>
      <c r="E473" s="64" t="str">
        <f>IF($D473="","",'Barn - Back Rack'!Q50&amp;"")</f>
        <v/>
      </c>
      <c r="F473" s="63">
        <f t="shared" si="37"/>
        <v>0</v>
      </c>
      <c r="G473" s="64" t="str">
        <f t="shared" si="34"/>
        <v/>
      </c>
      <c r="H473" s="64" t="str">
        <f t="shared" si="35"/>
        <v/>
      </c>
      <c r="I473" s="63">
        <f>IF($G473="",0,IF(COUNTIF($G$2:$G473,$G473)=1,1,0))</f>
        <v>0</v>
      </c>
      <c r="J473" s="63" t="str">
        <f t="shared" si="36"/>
        <v/>
      </c>
      <c r="K473" s="63" t="str">
        <f>IF($H473="","",COUNTIF($H$2:$H473,"?*"))</f>
        <v/>
      </c>
    </row>
    <row r="474" spans="1:11" x14ac:dyDescent="0.25">
      <c r="A474" s="63" t="s">
        <v>554</v>
      </c>
      <c r="B474" s="63" t="s">
        <v>1029</v>
      </c>
      <c r="C474" s="63" t="s">
        <v>556</v>
      </c>
      <c r="D474" s="63" t="str">
        <f>IF('Barn - Back Rack'!P51="","",TRIM('Barn - Back Rack'!P51))</f>
        <v/>
      </c>
      <c r="E474" s="64" t="str">
        <f>IF($D474="","",'Barn - Back Rack'!Q51&amp;"")</f>
        <v/>
      </c>
      <c r="F474" s="63">
        <f t="shared" si="37"/>
        <v>0</v>
      </c>
      <c r="G474" s="64" t="str">
        <f t="shared" si="34"/>
        <v/>
      </c>
      <c r="H474" s="64" t="str">
        <f t="shared" si="35"/>
        <v/>
      </c>
      <c r="I474" s="63">
        <f>IF($G474="",0,IF(COUNTIF($G$2:$G474,$G474)=1,1,0))</f>
        <v>0</v>
      </c>
      <c r="J474" s="63" t="str">
        <f t="shared" si="36"/>
        <v/>
      </c>
      <c r="K474" s="63" t="str">
        <f>IF($H474="","",COUNTIF($H$2:$H474,"?*"))</f>
        <v/>
      </c>
    </row>
    <row r="475" spans="1:11" x14ac:dyDescent="0.25">
      <c r="A475" s="63" t="s">
        <v>554</v>
      </c>
      <c r="B475" s="63" t="s">
        <v>1030</v>
      </c>
      <c r="C475" s="63" t="s">
        <v>556</v>
      </c>
      <c r="D475" s="63" t="str">
        <f>IF('Barn - Back Rack'!P52="","",TRIM('Barn - Back Rack'!P52))</f>
        <v/>
      </c>
      <c r="E475" s="64" t="str">
        <f>IF($D475="","",'Barn - Back Rack'!Q52&amp;"")</f>
        <v/>
      </c>
      <c r="F475" s="63">
        <f t="shared" si="37"/>
        <v>0</v>
      </c>
      <c r="G475" s="64" t="str">
        <f t="shared" si="34"/>
        <v/>
      </c>
      <c r="H475" s="64" t="str">
        <f t="shared" si="35"/>
        <v/>
      </c>
      <c r="I475" s="63">
        <f>IF($G475="",0,IF(COUNTIF($G$2:$G475,$G475)=1,1,0))</f>
        <v>0</v>
      </c>
      <c r="J475" s="63" t="str">
        <f t="shared" si="36"/>
        <v/>
      </c>
      <c r="K475" s="63" t="str">
        <f>IF($H475="","",COUNTIF($H$2:$H475,"?*"))</f>
        <v/>
      </c>
    </row>
    <row r="476" spans="1:11" x14ac:dyDescent="0.25">
      <c r="A476" s="63" t="s">
        <v>554</v>
      </c>
      <c r="B476" s="63" t="s">
        <v>1031</v>
      </c>
      <c r="C476" s="63" t="s">
        <v>556</v>
      </c>
      <c r="D476" s="63" t="str">
        <f>IF('Barn - Back Rack'!P53="","",TRIM('Barn - Back Rack'!P53))</f>
        <v/>
      </c>
      <c r="E476" s="64" t="str">
        <f>IF($D476="","",'Barn - Back Rack'!Q53&amp;"")</f>
        <v/>
      </c>
      <c r="F476" s="63">
        <f t="shared" si="37"/>
        <v>0</v>
      </c>
      <c r="G476" s="64" t="str">
        <f t="shared" si="34"/>
        <v/>
      </c>
      <c r="H476" s="64" t="str">
        <f t="shared" si="35"/>
        <v/>
      </c>
      <c r="I476" s="63">
        <f>IF($G476="",0,IF(COUNTIF($G$2:$G476,$G476)=1,1,0))</f>
        <v>0</v>
      </c>
      <c r="J476" s="63" t="str">
        <f t="shared" si="36"/>
        <v/>
      </c>
      <c r="K476" s="63" t="str">
        <f>IF($H476="","",COUNTIF($H$2:$H476,"?*"))</f>
        <v/>
      </c>
    </row>
    <row r="477" spans="1:11" x14ac:dyDescent="0.25">
      <c r="A477" s="63" t="s">
        <v>554</v>
      </c>
      <c r="B477" s="63" t="s">
        <v>1032</v>
      </c>
      <c r="C477" s="63" t="s">
        <v>556</v>
      </c>
      <c r="D477" s="63" t="str">
        <f>IF('Barn - Back Rack'!P54="","",TRIM('Barn - Back Rack'!P54))</f>
        <v/>
      </c>
      <c r="E477" s="64" t="str">
        <f>IF($D477="","",'Barn - Back Rack'!Q54&amp;"")</f>
        <v/>
      </c>
      <c r="F477" s="63">
        <f t="shared" si="37"/>
        <v>0</v>
      </c>
      <c r="G477" s="64" t="str">
        <f t="shared" si="34"/>
        <v/>
      </c>
      <c r="H477" s="64" t="str">
        <f t="shared" si="35"/>
        <v/>
      </c>
      <c r="I477" s="63">
        <f>IF($G477="",0,IF(COUNTIF($G$2:$G477,$G477)=1,1,0))</f>
        <v>0</v>
      </c>
      <c r="J477" s="63" t="str">
        <f t="shared" si="36"/>
        <v/>
      </c>
      <c r="K477" s="63" t="str">
        <f>IF($H477="","",COUNTIF($H$2:$H477,"?*"))</f>
        <v/>
      </c>
    </row>
    <row r="478" spans="1:11" x14ac:dyDescent="0.25">
      <c r="A478" s="63" t="s">
        <v>554</v>
      </c>
      <c r="B478" s="63" t="s">
        <v>1033</v>
      </c>
      <c r="C478" s="63" t="s">
        <v>556</v>
      </c>
      <c r="D478" s="63" t="str">
        <f>IF('Barn - Back Rack'!P55="","",TRIM('Barn - Back Rack'!P55))</f>
        <v/>
      </c>
      <c r="E478" s="64" t="str">
        <f>IF($D478="","",'Barn - Back Rack'!Q55&amp;"")</f>
        <v/>
      </c>
      <c r="F478" s="63">
        <f t="shared" si="37"/>
        <v>0</v>
      </c>
      <c r="G478" s="64" t="str">
        <f t="shared" si="34"/>
        <v/>
      </c>
      <c r="H478" s="64" t="str">
        <f t="shared" si="35"/>
        <v/>
      </c>
      <c r="I478" s="63">
        <f>IF($G478="",0,IF(COUNTIF($G$2:$G478,$G478)=1,1,0))</f>
        <v>0</v>
      </c>
      <c r="J478" s="63" t="str">
        <f t="shared" si="36"/>
        <v/>
      </c>
      <c r="K478" s="63" t="str">
        <f>IF($H478="","",COUNTIF($H$2:$H478,"?*"))</f>
        <v/>
      </c>
    </row>
    <row r="479" spans="1:11" x14ac:dyDescent="0.25">
      <c r="A479" s="63" t="s">
        <v>554</v>
      </c>
      <c r="B479" s="63" t="s">
        <v>1034</v>
      </c>
      <c r="C479" s="63" t="s">
        <v>556</v>
      </c>
      <c r="D479" s="63" t="str">
        <f>IF('Barn - Back Rack'!P56="","",TRIM('Barn - Back Rack'!P56))</f>
        <v/>
      </c>
      <c r="E479" s="64" t="str">
        <f>IF($D479="","",'Barn - Back Rack'!Q56&amp;"")</f>
        <v/>
      </c>
      <c r="F479" s="63">
        <f t="shared" si="37"/>
        <v>0</v>
      </c>
      <c r="G479" s="64" t="str">
        <f t="shared" si="34"/>
        <v/>
      </c>
      <c r="H479" s="64" t="str">
        <f t="shared" si="35"/>
        <v/>
      </c>
      <c r="I479" s="63">
        <f>IF($G479="",0,IF(COUNTIF($G$2:$G479,$G479)=1,1,0))</f>
        <v>0</v>
      </c>
      <c r="J479" s="63" t="str">
        <f t="shared" si="36"/>
        <v/>
      </c>
      <c r="K479" s="63" t="str">
        <f>IF($H479="","",COUNTIF($H$2:$H479,"?*"))</f>
        <v/>
      </c>
    </row>
    <row r="480" spans="1:11" x14ac:dyDescent="0.25">
      <c r="A480" s="63" t="s">
        <v>554</v>
      </c>
      <c r="B480" s="63" t="s">
        <v>1035</v>
      </c>
      <c r="C480" s="63" t="s">
        <v>556</v>
      </c>
      <c r="D480" s="63" t="str">
        <f>IF('Barn - Back Rack'!P57="","",TRIM('Barn - Back Rack'!P57))</f>
        <v/>
      </c>
      <c r="E480" s="64" t="str">
        <f>IF($D480="","",'Barn - Back Rack'!Q57&amp;"")</f>
        <v/>
      </c>
      <c r="F480" s="63">
        <f t="shared" si="37"/>
        <v>0</v>
      </c>
      <c r="G480" s="64" t="str">
        <f t="shared" si="34"/>
        <v/>
      </c>
      <c r="H480" s="64" t="str">
        <f t="shared" si="35"/>
        <v/>
      </c>
      <c r="I480" s="63">
        <f>IF($G480="",0,IF(COUNTIF($G$2:$G480,$G480)=1,1,0))</f>
        <v>0</v>
      </c>
      <c r="J480" s="63" t="str">
        <f t="shared" si="36"/>
        <v/>
      </c>
      <c r="K480" s="63" t="str">
        <f>IF($H480="","",COUNTIF($H$2:$H480,"?*"))</f>
        <v/>
      </c>
    </row>
    <row r="481" spans="1:11" x14ac:dyDescent="0.25">
      <c r="A481" s="63" t="s">
        <v>554</v>
      </c>
      <c r="B481" s="63" t="s">
        <v>1036</v>
      </c>
      <c r="C481" s="63" t="s">
        <v>556</v>
      </c>
      <c r="D481" s="63" t="str">
        <f>IF('Barn - Back Rack'!P58="","",TRIM('Barn - Back Rack'!P58))</f>
        <v/>
      </c>
      <c r="E481" s="64" t="str">
        <f>IF($D481="","",'Barn - Back Rack'!Q58&amp;"")</f>
        <v/>
      </c>
      <c r="F481" s="63">
        <f t="shared" si="37"/>
        <v>0</v>
      </c>
      <c r="G481" s="64" t="str">
        <f t="shared" si="34"/>
        <v/>
      </c>
      <c r="H481" s="64" t="str">
        <f t="shared" si="35"/>
        <v/>
      </c>
      <c r="I481" s="63">
        <f>IF($G481="",0,IF(COUNTIF($G$2:$G481,$G481)=1,1,0))</f>
        <v>0</v>
      </c>
      <c r="J481" s="63" t="str">
        <f t="shared" si="36"/>
        <v/>
      </c>
      <c r="K481" s="63" t="str">
        <f>IF($H481="","",COUNTIF($H$2:$H481,"?*"))</f>
        <v/>
      </c>
    </row>
    <row r="482" spans="1:11" x14ac:dyDescent="0.25">
      <c r="A482" s="63" t="s">
        <v>554</v>
      </c>
      <c r="B482" s="63" t="s">
        <v>1037</v>
      </c>
      <c r="C482" s="63" t="s">
        <v>556</v>
      </c>
      <c r="D482" s="63" t="str">
        <f>IF('Barn - Back Rack'!R47="","",TRIM('Barn - Back Rack'!R47))</f>
        <v>Bunn G9-2T</v>
      </c>
      <c r="E482" s="64" t="str">
        <f>IF($D482="","",'Barn - Back Rack'!S47&amp;"")</f>
        <v>N/A</v>
      </c>
      <c r="F482" s="63">
        <f t="shared" si="37"/>
        <v>1</v>
      </c>
      <c r="G482" s="64" t="str">
        <f t="shared" si="34"/>
        <v>Bunn G9-2T</v>
      </c>
      <c r="H482" s="64" t="str">
        <f t="shared" si="35"/>
        <v/>
      </c>
      <c r="I482" s="63">
        <f>IF($G482="",0,IF(COUNTIF($G$2:$G482,$G482)=1,1,0))</f>
        <v>0</v>
      </c>
      <c r="J482" s="63" t="str">
        <f t="shared" si="36"/>
        <v/>
      </c>
      <c r="K482" s="63" t="str">
        <f>IF($H482="","",COUNTIF($H$2:$H482,"?*"))</f>
        <v/>
      </c>
    </row>
    <row r="483" spans="1:11" x14ac:dyDescent="0.25">
      <c r="A483" s="63" t="s">
        <v>554</v>
      </c>
      <c r="B483" s="63" t="s">
        <v>1038</v>
      </c>
      <c r="C483" s="63" t="s">
        <v>556</v>
      </c>
      <c r="D483" s="63" t="str">
        <f>IF('Barn - Back Rack'!R48="","",TRIM('Barn - Back Rack'!R48))</f>
        <v>Bunn G9-2T</v>
      </c>
      <c r="E483" s="64" t="str">
        <f>IF($D483="","",'Barn - Back Rack'!S48&amp;"")</f>
        <v>N/A</v>
      </c>
      <c r="F483" s="63">
        <f t="shared" si="37"/>
        <v>1</v>
      </c>
      <c r="G483" s="64" t="str">
        <f t="shared" si="34"/>
        <v>Bunn G9-2T</v>
      </c>
      <c r="H483" s="64" t="str">
        <f t="shared" si="35"/>
        <v/>
      </c>
      <c r="I483" s="63">
        <f>IF($G483="",0,IF(COUNTIF($G$2:$G483,$G483)=1,1,0))</f>
        <v>0</v>
      </c>
      <c r="J483" s="63" t="str">
        <f t="shared" si="36"/>
        <v/>
      </c>
      <c r="K483" s="63" t="str">
        <f>IF($H483="","",COUNTIF($H$2:$H483,"?*"))</f>
        <v/>
      </c>
    </row>
    <row r="484" spans="1:11" x14ac:dyDescent="0.25">
      <c r="A484" s="63" t="s">
        <v>554</v>
      </c>
      <c r="B484" s="63" t="s">
        <v>1039</v>
      </c>
      <c r="C484" s="63" t="s">
        <v>556</v>
      </c>
      <c r="D484" s="63" t="str">
        <f>IF('Barn - Back Rack'!R49="","",TRIM('Barn - Back Rack'!R49))</f>
        <v>Bunn G9-2T</v>
      </c>
      <c r="E484" s="64" t="str">
        <f>IF($D484="","",'Barn - Back Rack'!S49&amp;"")</f>
        <v>G900003345</v>
      </c>
      <c r="F484" s="63">
        <f t="shared" si="37"/>
        <v>1</v>
      </c>
      <c r="G484" s="64" t="str">
        <f t="shared" si="34"/>
        <v>Bunn G9-2T</v>
      </c>
      <c r="H484" s="64" t="str">
        <f t="shared" si="35"/>
        <v/>
      </c>
      <c r="I484" s="63">
        <f>IF($G484="",0,IF(COUNTIF($G$2:$G484,$G484)=1,1,0))</f>
        <v>0</v>
      </c>
      <c r="J484" s="63" t="str">
        <f t="shared" si="36"/>
        <v/>
      </c>
      <c r="K484" s="63" t="str">
        <f>IF($H484="","",COUNTIF($H$2:$H484,"?*"))</f>
        <v/>
      </c>
    </row>
    <row r="485" spans="1:11" x14ac:dyDescent="0.25">
      <c r="A485" s="63" t="s">
        <v>554</v>
      </c>
      <c r="B485" s="63" t="s">
        <v>1040</v>
      </c>
      <c r="C485" s="63" t="s">
        <v>556</v>
      </c>
      <c r="D485" s="63" t="str">
        <f>IF('Barn - Back Rack'!R50="","",TRIM('Barn - Back Rack'!R50))</f>
        <v>Bunn G9-2T</v>
      </c>
      <c r="E485" s="64" t="str">
        <f>IF($D485="","",'Barn - Back Rack'!S50&amp;"")</f>
        <v>G900025272</v>
      </c>
      <c r="F485" s="63">
        <f t="shared" si="37"/>
        <v>1</v>
      </c>
      <c r="G485" s="64" t="str">
        <f t="shared" si="34"/>
        <v>Bunn G9-2T</v>
      </c>
      <c r="H485" s="64" t="str">
        <f t="shared" si="35"/>
        <v/>
      </c>
      <c r="I485" s="63">
        <f>IF($G485="",0,IF(COUNTIF($G$2:$G485,$G485)=1,1,0))</f>
        <v>0</v>
      </c>
      <c r="J485" s="63" t="str">
        <f t="shared" si="36"/>
        <v/>
      </c>
      <c r="K485" s="63" t="str">
        <f>IF($H485="","",COUNTIF($H$2:$H485,"?*"))</f>
        <v/>
      </c>
    </row>
    <row r="486" spans="1:11" x14ac:dyDescent="0.25">
      <c r="A486" s="63" t="s">
        <v>554</v>
      </c>
      <c r="B486" s="63" t="s">
        <v>1041</v>
      </c>
      <c r="C486" s="63" t="s">
        <v>556</v>
      </c>
      <c r="D486" s="63" t="str">
        <f>IF('Barn - Back Rack'!R51="","",TRIM('Barn - Back Rack'!R51))</f>
        <v>Bunn G9-2T</v>
      </c>
      <c r="E486" s="64" t="str">
        <f>IF($D486="","",'Barn - Back Rack'!S51&amp;"")</f>
        <v>G900057889</v>
      </c>
      <c r="F486" s="63">
        <f t="shared" si="37"/>
        <v>1</v>
      </c>
      <c r="G486" s="64" t="str">
        <f t="shared" si="34"/>
        <v>Bunn G9-2T</v>
      </c>
      <c r="H486" s="64" t="str">
        <f t="shared" si="35"/>
        <v/>
      </c>
      <c r="I486" s="63">
        <f>IF($G486="",0,IF(COUNTIF($G$2:$G486,$G486)=1,1,0))</f>
        <v>0</v>
      </c>
      <c r="J486" s="63" t="str">
        <f t="shared" si="36"/>
        <v/>
      </c>
      <c r="K486" s="63" t="str">
        <f>IF($H486="","",COUNTIF($H$2:$H486,"?*"))</f>
        <v/>
      </c>
    </row>
    <row r="487" spans="1:11" x14ac:dyDescent="0.25">
      <c r="A487" s="63" t="s">
        <v>554</v>
      </c>
      <c r="B487" s="63" t="s">
        <v>1042</v>
      </c>
      <c r="C487" s="63" t="s">
        <v>556</v>
      </c>
      <c r="D487" s="63" t="str">
        <f>IF('Barn - Back Rack'!R52="","",TRIM('Barn - Back Rack'!R52))</f>
        <v>Bunn G9-2T</v>
      </c>
      <c r="E487" s="64" t="str">
        <f>IF($D487="","",'Barn - Back Rack'!S52&amp;"")</f>
        <v>N/A</v>
      </c>
      <c r="F487" s="63">
        <f t="shared" si="37"/>
        <v>1</v>
      </c>
      <c r="G487" s="64" t="str">
        <f t="shared" si="34"/>
        <v>Bunn G9-2T</v>
      </c>
      <c r="H487" s="64" t="str">
        <f t="shared" si="35"/>
        <v/>
      </c>
      <c r="I487" s="63">
        <f>IF($G487="",0,IF(COUNTIF($G$2:$G487,$G487)=1,1,0))</f>
        <v>0</v>
      </c>
      <c r="J487" s="63" t="str">
        <f t="shared" si="36"/>
        <v/>
      </c>
      <c r="K487" s="63" t="str">
        <f>IF($H487="","",COUNTIF($H$2:$H487,"?*"))</f>
        <v/>
      </c>
    </row>
    <row r="488" spans="1:11" x14ac:dyDescent="0.25">
      <c r="A488" s="63" t="s">
        <v>554</v>
      </c>
      <c r="B488" s="63" t="s">
        <v>1043</v>
      </c>
      <c r="C488" s="63" t="s">
        <v>556</v>
      </c>
      <c r="D488" s="63" t="str">
        <f>IF('Barn - Back Rack'!R53="","",TRIM('Barn - Back Rack'!R53))</f>
        <v>Bunn G9-2T</v>
      </c>
      <c r="E488" s="64" t="str">
        <f>IF($D488="","",'Barn - Back Rack'!S53&amp;"")</f>
        <v>N/A</v>
      </c>
      <c r="F488" s="63">
        <f t="shared" si="37"/>
        <v>1</v>
      </c>
      <c r="G488" s="64" t="str">
        <f t="shared" si="34"/>
        <v>Bunn G9-2T</v>
      </c>
      <c r="H488" s="64" t="str">
        <f t="shared" si="35"/>
        <v/>
      </c>
      <c r="I488" s="63">
        <f>IF($G488="",0,IF(COUNTIF($G$2:$G488,$G488)=1,1,0))</f>
        <v>0</v>
      </c>
      <c r="J488" s="63" t="str">
        <f t="shared" si="36"/>
        <v/>
      </c>
      <c r="K488" s="63" t="str">
        <f>IF($H488="","",COUNTIF($H$2:$H488,"?*"))</f>
        <v/>
      </c>
    </row>
    <row r="489" spans="1:11" x14ac:dyDescent="0.25">
      <c r="A489" s="63" t="s">
        <v>554</v>
      </c>
      <c r="B489" s="63" t="s">
        <v>1044</v>
      </c>
      <c r="C489" s="63" t="s">
        <v>556</v>
      </c>
      <c r="D489" s="63" t="str">
        <f>IF('Barn - Back Rack'!R54="","",TRIM('Barn - Back Rack'!R54))</f>
        <v>Bunn G9-2T</v>
      </c>
      <c r="E489" s="64" t="str">
        <f>IF($D489="","",'Barn - Back Rack'!S54&amp;"")</f>
        <v>N/A</v>
      </c>
      <c r="F489" s="63">
        <f t="shared" si="37"/>
        <v>1</v>
      </c>
      <c r="G489" s="64" t="str">
        <f t="shared" si="34"/>
        <v>Bunn G9-2T</v>
      </c>
      <c r="H489" s="64" t="str">
        <f t="shared" si="35"/>
        <v/>
      </c>
      <c r="I489" s="63">
        <f>IF($G489="",0,IF(COUNTIF($G$2:$G489,$G489)=1,1,0))</f>
        <v>0</v>
      </c>
      <c r="J489" s="63" t="str">
        <f t="shared" si="36"/>
        <v/>
      </c>
      <c r="K489" s="63" t="str">
        <f>IF($H489="","",COUNTIF($H$2:$H489,"?*"))</f>
        <v/>
      </c>
    </row>
    <row r="490" spans="1:11" x14ac:dyDescent="0.25">
      <c r="A490" s="63" t="s">
        <v>554</v>
      </c>
      <c r="B490" s="63" t="s">
        <v>1045</v>
      </c>
      <c r="C490" s="63" t="s">
        <v>556</v>
      </c>
      <c r="D490" s="63" t="str">
        <f>IF('Barn - Back Rack'!R55="","",TRIM('Barn - Back Rack'!R55))</f>
        <v>Bunn G9-2T</v>
      </c>
      <c r="E490" s="64" t="str">
        <f>IF($D490="","",'Barn - Back Rack'!S55&amp;"")</f>
        <v>G900048144</v>
      </c>
      <c r="F490" s="63">
        <f t="shared" ref="F490:F521" si="38">IF($D490="",0,1)</f>
        <v>1</v>
      </c>
      <c r="G490" s="64" t="str">
        <f t="shared" si="34"/>
        <v>Bunn G9-2T</v>
      </c>
      <c r="H490" s="64" t="str">
        <f t="shared" si="35"/>
        <v/>
      </c>
      <c r="I490" s="63">
        <f>IF($G490="",0,IF(COUNTIF($G$2:$G490,$G490)=1,1,0))</f>
        <v>0</v>
      </c>
      <c r="J490" s="63" t="str">
        <f t="shared" si="36"/>
        <v/>
      </c>
      <c r="K490" s="63" t="str">
        <f>IF($H490="","",COUNTIF($H$2:$H490,"?*"))</f>
        <v/>
      </c>
    </row>
    <row r="491" spans="1:11" x14ac:dyDescent="0.25">
      <c r="A491" s="63" t="s">
        <v>554</v>
      </c>
      <c r="B491" s="63" t="s">
        <v>1046</v>
      </c>
      <c r="C491" s="63" t="s">
        <v>556</v>
      </c>
      <c r="D491" s="63" t="str">
        <f>IF('Barn - Back Rack'!R56="","",TRIM('Barn - Back Rack'!R56))</f>
        <v>Bunn G9-2T</v>
      </c>
      <c r="E491" s="64" t="str">
        <f>IF($D491="","",'Barn - Back Rack'!S56&amp;"")</f>
        <v>G900186939</v>
      </c>
      <c r="F491" s="63">
        <f t="shared" si="38"/>
        <v>1</v>
      </c>
      <c r="G491" s="64" t="str">
        <f t="shared" si="34"/>
        <v>Bunn G9-2T</v>
      </c>
      <c r="H491" s="64" t="str">
        <f t="shared" si="35"/>
        <v/>
      </c>
      <c r="I491" s="63">
        <f>IF($G491="",0,IF(COUNTIF($G$2:$G491,$G491)=1,1,0))</f>
        <v>0</v>
      </c>
      <c r="J491" s="63" t="str">
        <f t="shared" si="36"/>
        <v/>
      </c>
      <c r="K491" s="63" t="str">
        <f>IF($H491="","",COUNTIF($H$2:$H491,"?*"))</f>
        <v/>
      </c>
    </row>
    <row r="492" spans="1:11" x14ac:dyDescent="0.25">
      <c r="A492" s="63" t="s">
        <v>554</v>
      </c>
      <c r="B492" s="63" t="s">
        <v>1047</v>
      </c>
      <c r="C492" s="63" t="s">
        <v>556</v>
      </c>
      <c r="D492" s="63" t="str">
        <f>IF('Barn - Back Rack'!R57="","",TRIM('Barn - Back Rack'!R57))</f>
        <v>Bunn G9-2T</v>
      </c>
      <c r="E492" s="64" t="str">
        <f>IF($D492="","",'Barn - Back Rack'!S57&amp;"")</f>
        <v>G901202015</v>
      </c>
      <c r="F492" s="63">
        <f t="shared" si="38"/>
        <v>1</v>
      </c>
      <c r="G492" s="64" t="str">
        <f t="shared" si="34"/>
        <v>Bunn G9-2T</v>
      </c>
      <c r="H492" s="64" t="str">
        <f t="shared" si="35"/>
        <v/>
      </c>
      <c r="I492" s="63">
        <f>IF($G492="",0,IF(COUNTIF($G$2:$G492,$G492)=1,1,0))</f>
        <v>0</v>
      </c>
      <c r="J492" s="63" t="str">
        <f t="shared" si="36"/>
        <v/>
      </c>
      <c r="K492" s="63" t="str">
        <f>IF($H492="","",COUNTIF($H$2:$H492,"?*"))</f>
        <v/>
      </c>
    </row>
    <row r="493" spans="1:11" x14ac:dyDescent="0.25">
      <c r="A493" s="63" t="s">
        <v>554</v>
      </c>
      <c r="B493" s="63" t="s">
        <v>1048</v>
      </c>
      <c r="C493" s="63" t="s">
        <v>556</v>
      </c>
      <c r="D493" s="63" t="str">
        <f>IF('Barn - Back Rack'!R58="","",TRIM('Barn - Back Rack'!R58))</f>
        <v/>
      </c>
      <c r="E493" s="64" t="str">
        <f>IF($D493="","",'Barn - Back Rack'!S58&amp;"")</f>
        <v/>
      </c>
      <c r="F493" s="63">
        <f t="shared" si="38"/>
        <v>0</v>
      </c>
      <c r="G493" s="64" t="str">
        <f t="shared" si="34"/>
        <v/>
      </c>
      <c r="H493" s="64" t="str">
        <f t="shared" si="35"/>
        <v/>
      </c>
      <c r="I493" s="63">
        <f>IF($G493="",0,IF(COUNTIF($G$2:$G493,$G493)=1,1,0))</f>
        <v>0</v>
      </c>
      <c r="J493" s="63" t="str">
        <f t="shared" si="36"/>
        <v/>
      </c>
      <c r="K493" s="63" t="str">
        <f>IF($H493="","",COUNTIF($H$2:$H493,"?*"))</f>
        <v/>
      </c>
    </row>
    <row r="494" spans="1:11" x14ac:dyDescent="0.25">
      <c r="A494" s="63" t="s">
        <v>554</v>
      </c>
      <c r="B494" s="63" t="s">
        <v>1049</v>
      </c>
      <c r="C494" s="63" t="s">
        <v>556</v>
      </c>
      <c r="D494" s="63" t="str">
        <f>IF('Barn - Back Rack'!T47="","",TRIM('Barn - Back Rack'!T47))</f>
        <v>Bunn Axiom-APS</v>
      </c>
      <c r="E494" s="64" t="str">
        <f>IF($D494="","",'Barn - Back Rack'!U47&amp;"")</f>
        <v>AXAP028453</v>
      </c>
      <c r="F494" s="63">
        <f t="shared" si="38"/>
        <v>1</v>
      </c>
      <c r="G494" s="64" t="str">
        <f t="shared" si="34"/>
        <v>Bunn Axiom-APS</v>
      </c>
      <c r="H494" s="64" t="str">
        <f t="shared" si="35"/>
        <v/>
      </c>
      <c r="I494" s="63">
        <f>IF($G494="",0,IF(COUNTIF($G$2:$G494,$G494)=1,1,0))</f>
        <v>0</v>
      </c>
      <c r="J494" s="63" t="str">
        <f t="shared" si="36"/>
        <v/>
      </c>
      <c r="K494" s="63" t="str">
        <f>IF($H494="","",COUNTIF($H$2:$H494,"?*"))</f>
        <v/>
      </c>
    </row>
    <row r="495" spans="1:11" x14ac:dyDescent="0.25">
      <c r="A495" s="63" t="s">
        <v>554</v>
      </c>
      <c r="B495" s="63" t="s">
        <v>1050</v>
      </c>
      <c r="C495" s="63" t="s">
        <v>556</v>
      </c>
      <c r="D495" s="63" t="str">
        <f>IF('Barn - Back Rack'!T48="","",TRIM('Barn - Back Rack'!T48))</f>
        <v>Bunn Axiom-APS</v>
      </c>
      <c r="E495" s="64" t="str">
        <f>IF($D495="","",'Barn - Back Rack'!U48&amp;"")</f>
        <v>AXAP026839</v>
      </c>
      <c r="F495" s="63">
        <f t="shared" si="38"/>
        <v>1</v>
      </c>
      <c r="G495" s="64" t="str">
        <f t="shared" si="34"/>
        <v>Bunn Axiom-APS</v>
      </c>
      <c r="H495" s="64" t="str">
        <f t="shared" si="35"/>
        <v/>
      </c>
      <c r="I495" s="63">
        <f>IF($G495="",0,IF(COUNTIF($G$2:$G495,$G495)=1,1,0))</f>
        <v>0</v>
      </c>
      <c r="J495" s="63" t="str">
        <f t="shared" si="36"/>
        <v/>
      </c>
      <c r="K495" s="63" t="str">
        <f>IF($H495="","",COUNTIF($H$2:$H495,"?*"))</f>
        <v/>
      </c>
    </row>
    <row r="496" spans="1:11" x14ac:dyDescent="0.25">
      <c r="A496" s="63" t="s">
        <v>554</v>
      </c>
      <c r="B496" s="63" t="s">
        <v>1051</v>
      </c>
      <c r="C496" s="63" t="s">
        <v>556</v>
      </c>
      <c r="D496" s="63" t="str">
        <f>IF('Barn - Back Rack'!T49="","",TRIM('Barn - Back Rack'!T49))</f>
        <v>Bunn Axiom-APS</v>
      </c>
      <c r="E496" s="64" t="str">
        <f>IF($D496="","",'Barn - Back Rack'!U49&amp;"")</f>
        <v>AXAP098948</v>
      </c>
      <c r="F496" s="63">
        <f t="shared" si="38"/>
        <v>1</v>
      </c>
      <c r="G496" s="64" t="str">
        <f t="shared" si="34"/>
        <v>Bunn Axiom-APS</v>
      </c>
      <c r="H496" s="64" t="str">
        <f t="shared" si="35"/>
        <v/>
      </c>
      <c r="I496" s="63">
        <f>IF($G496="",0,IF(COUNTIF($G$2:$G496,$G496)=1,1,0))</f>
        <v>0</v>
      </c>
      <c r="J496" s="63" t="str">
        <f t="shared" si="36"/>
        <v/>
      </c>
      <c r="K496" s="63" t="str">
        <f>IF($H496="","",COUNTIF($H$2:$H496,"?*"))</f>
        <v/>
      </c>
    </row>
    <row r="497" spans="1:11" x14ac:dyDescent="0.25">
      <c r="A497" s="63" t="s">
        <v>554</v>
      </c>
      <c r="B497" s="63" t="s">
        <v>1052</v>
      </c>
      <c r="C497" s="63" t="s">
        <v>556</v>
      </c>
      <c r="D497" s="63" t="str">
        <f>IF('Barn - Back Rack'!T50="","",TRIM('Barn - Back Rack'!T50))</f>
        <v>Bunn Axiom-APS</v>
      </c>
      <c r="E497" s="64" t="str">
        <f>IF($D497="","",'Barn - Back Rack'!U50&amp;"")</f>
        <v>AXAP049086</v>
      </c>
      <c r="F497" s="63">
        <f t="shared" si="38"/>
        <v>1</v>
      </c>
      <c r="G497" s="64" t="str">
        <f t="shared" si="34"/>
        <v>Bunn Axiom-APS</v>
      </c>
      <c r="H497" s="64" t="str">
        <f t="shared" si="35"/>
        <v/>
      </c>
      <c r="I497" s="63">
        <f>IF($G497="",0,IF(COUNTIF($G$2:$G497,$G497)=1,1,0))</f>
        <v>0</v>
      </c>
      <c r="J497" s="63" t="str">
        <f t="shared" si="36"/>
        <v/>
      </c>
      <c r="K497" s="63" t="str">
        <f>IF($H497="","",COUNTIF($H$2:$H497,"?*"))</f>
        <v/>
      </c>
    </row>
    <row r="498" spans="1:11" x14ac:dyDescent="0.25">
      <c r="A498" s="63" t="s">
        <v>554</v>
      </c>
      <c r="B498" s="63" t="s">
        <v>1053</v>
      </c>
      <c r="C498" s="63" t="s">
        <v>556</v>
      </c>
      <c r="D498" s="63" t="str">
        <f>IF('Barn - Back Rack'!T51="","",TRIM('Barn - Back Rack'!T51))</f>
        <v>Bunn Axiom-APS</v>
      </c>
      <c r="E498" s="64" t="str">
        <f>IF($D498="","",'Barn - Back Rack'!U51&amp;"")</f>
        <v>AXAP024418</v>
      </c>
      <c r="F498" s="63">
        <f t="shared" si="38"/>
        <v>1</v>
      </c>
      <c r="G498" s="64" t="str">
        <f t="shared" si="34"/>
        <v>Bunn Axiom-APS</v>
      </c>
      <c r="H498" s="64" t="str">
        <f t="shared" si="35"/>
        <v/>
      </c>
      <c r="I498" s="63">
        <f>IF($G498="",0,IF(COUNTIF($G$2:$G498,$G498)=1,1,0))</f>
        <v>0</v>
      </c>
      <c r="J498" s="63" t="str">
        <f t="shared" si="36"/>
        <v/>
      </c>
      <c r="K498" s="63" t="str">
        <f>IF($H498="","",COUNTIF($H$2:$H498,"?*"))</f>
        <v/>
      </c>
    </row>
    <row r="499" spans="1:11" x14ac:dyDescent="0.25">
      <c r="A499" s="63" t="s">
        <v>554</v>
      </c>
      <c r="B499" s="63" t="s">
        <v>1054</v>
      </c>
      <c r="C499" s="63" t="s">
        <v>556</v>
      </c>
      <c r="D499" s="63" t="str">
        <f>IF('Barn - Back Rack'!T52="","",TRIM('Barn - Back Rack'!T52))</f>
        <v>Bunn Axiom-APS</v>
      </c>
      <c r="E499" s="64" t="str">
        <f>IF($D499="","",'Barn - Back Rack'!U52&amp;"")</f>
        <v>AXAP053501</v>
      </c>
      <c r="F499" s="63">
        <f t="shared" si="38"/>
        <v>1</v>
      </c>
      <c r="G499" s="64" t="str">
        <f t="shared" si="34"/>
        <v>Bunn Axiom-APS</v>
      </c>
      <c r="H499" s="64" t="str">
        <f t="shared" si="35"/>
        <v/>
      </c>
      <c r="I499" s="63">
        <f>IF($G499="",0,IF(COUNTIF($G$2:$G499,$G499)=1,1,0))</f>
        <v>0</v>
      </c>
      <c r="J499" s="63" t="str">
        <f t="shared" si="36"/>
        <v/>
      </c>
      <c r="K499" s="63" t="str">
        <f>IF($H499="","",COUNTIF($H$2:$H499,"?*"))</f>
        <v/>
      </c>
    </row>
    <row r="500" spans="1:11" x14ac:dyDescent="0.25">
      <c r="A500" s="63" t="s">
        <v>554</v>
      </c>
      <c r="B500" s="63" t="s">
        <v>1055</v>
      </c>
      <c r="C500" s="63" t="s">
        <v>556</v>
      </c>
      <c r="D500" s="63" t="str">
        <f>IF('Barn - Back Rack'!T53="","",TRIM('Barn - Back Rack'!T53))</f>
        <v>Bunn Axiom-APS</v>
      </c>
      <c r="E500" s="64" t="str">
        <f>IF($D500="","",'Barn - Back Rack'!U53&amp;"")</f>
        <v>AXAP037164</v>
      </c>
      <c r="F500" s="63">
        <f t="shared" si="38"/>
        <v>1</v>
      </c>
      <c r="G500" s="64" t="str">
        <f t="shared" si="34"/>
        <v>Bunn Axiom-APS</v>
      </c>
      <c r="H500" s="64" t="str">
        <f t="shared" si="35"/>
        <v/>
      </c>
      <c r="I500" s="63">
        <f>IF($G500="",0,IF(COUNTIF($G$2:$G500,$G500)=1,1,0))</f>
        <v>0</v>
      </c>
      <c r="J500" s="63" t="str">
        <f t="shared" si="36"/>
        <v/>
      </c>
      <c r="K500" s="63" t="str">
        <f>IF($H500="","",COUNTIF($H$2:$H500,"?*"))</f>
        <v/>
      </c>
    </row>
    <row r="501" spans="1:11" x14ac:dyDescent="0.25">
      <c r="A501" s="63" t="s">
        <v>554</v>
      </c>
      <c r="B501" s="63" t="s">
        <v>1056</v>
      </c>
      <c r="C501" s="63" t="s">
        <v>556</v>
      </c>
      <c r="D501" s="63" t="str">
        <f>IF('Barn - Back Rack'!T54="","",TRIM('Barn - Back Rack'!T54))</f>
        <v>Bunn Axiom-APS</v>
      </c>
      <c r="E501" s="64" t="str">
        <f>IF($D501="","",'Barn - Back Rack'!U54&amp;"")</f>
        <v>AXAP028484</v>
      </c>
      <c r="F501" s="63">
        <f t="shared" si="38"/>
        <v>1</v>
      </c>
      <c r="G501" s="64" t="str">
        <f t="shared" si="34"/>
        <v>Bunn Axiom-APS</v>
      </c>
      <c r="H501" s="64" t="str">
        <f t="shared" si="35"/>
        <v/>
      </c>
      <c r="I501" s="63">
        <f>IF($G501="",0,IF(COUNTIF($G$2:$G501,$G501)=1,1,0))</f>
        <v>0</v>
      </c>
      <c r="J501" s="63" t="str">
        <f t="shared" si="36"/>
        <v/>
      </c>
      <c r="K501" s="63" t="str">
        <f>IF($H501="","",COUNTIF($H$2:$H501,"?*"))</f>
        <v/>
      </c>
    </row>
    <row r="502" spans="1:11" x14ac:dyDescent="0.25">
      <c r="A502" s="63" t="s">
        <v>554</v>
      </c>
      <c r="B502" s="63" t="s">
        <v>1057</v>
      </c>
      <c r="C502" s="63" t="s">
        <v>556</v>
      </c>
      <c r="D502" s="63" t="str">
        <f>IF('Barn - Back Rack'!T55="","",TRIM('Barn - Back Rack'!T55))</f>
        <v>Bunn Axiom-APS</v>
      </c>
      <c r="E502" s="64" t="str">
        <f>IF($D502="","",'Barn - Back Rack'!U55&amp;"")</f>
        <v>AXAP028324</v>
      </c>
      <c r="F502" s="63">
        <f t="shared" si="38"/>
        <v>1</v>
      </c>
      <c r="G502" s="64" t="str">
        <f t="shared" si="34"/>
        <v>Bunn Axiom-APS</v>
      </c>
      <c r="H502" s="64" t="str">
        <f t="shared" si="35"/>
        <v/>
      </c>
      <c r="I502" s="63">
        <f>IF($G502="",0,IF(COUNTIF($G$2:$G502,$G502)=1,1,0))</f>
        <v>0</v>
      </c>
      <c r="J502" s="63" t="str">
        <f t="shared" si="36"/>
        <v/>
      </c>
      <c r="K502" s="63" t="str">
        <f>IF($H502="","",COUNTIF($H$2:$H502,"?*"))</f>
        <v/>
      </c>
    </row>
    <row r="503" spans="1:11" x14ac:dyDescent="0.25">
      <c r="A503" s="63" t="s">
        <v>554</v>
      </c>
      <c r="B503" s="63" t="s">
        <v>1058</v>
      </c>
      <c r="C503" s="63" t="s">
        <v>556</v>
      </c>
      <c r="D503" s="63" t="str">
        <f>IF('Barn - Back Rack'!T56="","",TRIM('Barn - Back Rack'!T56))</f>
        <v>Bunn Axiom-APS</v>
      </c>
      <c r="E503" s="64" t="str">
        <f>IF($D503="","",'Barn - Back Rack'!U56&amp;"")</f>
        <v>N/A</v>
      </c>
      <c r="F503" s="63">
        <f t="shared" si="38"/>
        <v>1</v>
      </c>
      <c r="G503" s="64" t="str">
        <f t="shared" si="34"/>
        <v>Bunn Axiom-APS</v>
      </c>
      <c r="H503" s="64" t="str">
        <f t="shared" si="35"/>
        <v/>
      </c>
      <c r="I503" s="63">
        <f>IF($G503="",0,IF(COUNTIF($G$2:$G503,$G503)=1,1,0))</f>
        <v>0</v>
      </c>
      <c r="J503" s="63" t="str">
        <f t="shared" si="36"/>
        <v/>
      </c>
      <c r="K503" s="63" t="str">
        <f>IF($H503="","",COUNTIF($H$2:$H503,"?*"))</f>
        <v/>
      </c>
    </row>
    <row r="504" spans="1:11" x14ac:dyDescent="0.25">
      <c r="A504" s="63" t="s">
        <v>554</v>
      </c>
      <c r="B504" s="63" t="s">
        <v>1059</v>
      </c>
      <c r="C504" s="63" t="s">
        <v>556</v>
      </c>
      <c r="D504" s="63" t="str">
        <f>IF('Barn - Back Rack'!T57="","",TRIM('Barn - Back Rack'!T57))</f>
        <v/>
      </c>
      <c r="E504" s="64" t="str">
        <f>IF($D504="","",'Barn - Back Rack'!U57&amp;"")</f>
        <v/>
      </c>
      <c r="F504" s="63">
        <f t="shared" si="38"/>
        <v>0</v>
      </c>
      <c r="G504" s="64" t="str">
        <f t="shared" si="34"/>
        <v/>
      </c>
      <c r="H504" s="64" t="str">
        <f t="shared" si="35"/>
        <v/>
      </c>
      <c r="I504" s="63">
        <f>IF($G504="",0,IF(COUNTIF($G$2:$G504,$G504)=1,1,0))</f>
        <v>0</v>
      </c>
      <c r="J504" s="63" t="str">
        <f t="shared" si="36"/>
        <v/>
      </c>
      <c r="K504" s="63" t="str">
        <f>IF($H504="","",COUNTIF($H$2:$H504,"?*"))</f>
        <v/>
      </c>
    </row>
    <row r="505" spans="1:11" x14ac:dyDescent="0.25">
      <c r="A505" s="63" t="s">
        <v>554</v>
      </c>
      <c r="B505" s="63" t="s">
        <v>1060</v>
      </c>
      <c r="C505" s="63" t="s">
        <v>556</v>
      </c>
      <c r="D505" s="63" t="str">
        <f>IF('Barn - Back Rack'!T58="","",TRIM('Barn - Back Rack'!T58))</f>
        <v/>
      </c>
      <c r="E505" s="64" t="str">
        <f>IF($D505="","",'Barn - Back Rack'!U58&amp;"")</f>
        <v/>
      </c>
      <c r="F505" s="63">
        <f t="shared" si="38"/>
        <v>0</v>
      </c>
      <c r="G505" s="64" t="str">
        <f t="shared" si="34"/>
        <v/>
      </c>
      <c r="H505" s="64" t="str">
        <f t="shared" si="35"/>
        <v/>
      </c>
      <c r="I505" s="63">
        <f>IF($G505="",0,IF(COUNTIF($G$2:$G505,$G505)=1,1,0))</f>
        <v>0</v>
      </c>
      <c r="J505" s="63" t="str">
        <f t="shared" si="36"/>
        <v/>
      </c>
      <c r="K505" s="63" t="str">
        <f>IF($H505="","",COUNTIF($H$2:$H505,"?*"))</f>
        <v/>
      </c>
    </row>
    <row r="506" spans="1:11" x14ac:dyDescent="0.25">
      <c r="A506" s="63" t="s">
        <v>554</v>
      </c>
      <c r="B506" s="63" t="s">
        <v>1061</v>
      </c>
      <c r="C506" s="63" t="s">
        <v>556</v>
      </c>
      <c r="D506" s="63" t="str">
        <f>IF('Barn - Back Rack'!V47="","",TRIM('Barn - Back Rack'!V47))</f>
        <v>Bunn TB3</v>
      </c>
      <c r="E506" s="64" t="str">
        <f>IF($D506="","",'Barn - Back Rack'!W47&amp;"")</f>
        <v>TU00250664</v>
      </c>
      <c r="F506" s="63">
        <f t="shared" si="38"/>
        <v>1</v>
      </c>
      <c r="G506" s="64" t="str">
        <f t="shared" si="34"/>
        <v>Bunn TB3</v>
      </c>
      <c r="H506" s="64" t="str">
        <f t="shared" si="35"/>
        <v/>
      </c>
      <c r="I506" s="63">
        <f>IF($G506="",0,IF(COUNTIF($G$2:$G506,$G506)=1,1,0))</f>
        <v>1</v>
      </c>
      <c r="J506" s="63">
        <f t="shared" si="36"/>
        <v>30</v>
      </c>
      <c r="K506" s="63" t="str">
        <f>IF($H506="","",COUNTIF($H$2:$H506,"?*"))</f>
        <v/>
      </c>
    </row>
    <row r="507" spans="1:11" x14ac:dyDescent="0.25">
      <c r="A507" s="63" t="s">
        <v>554</v>
      </c>
      <c r="B507" s="63" t="s">
        <v>1062</v>
      </c>
      <c r="C507" s="63" t="s">
        <v>556</v>
      </c>
      <c r="D507" s="63" t="str">
        <f>IF('Barn - Back Rack'!V48="","",TRIM('Barn - Back Rack'!V48))</f>
        <v>Bunn TB3</v>
      </c>
      <c r="E507" s="64" t="str">
        <f>IF($D507="","",'Barn - Back Rack'!W48&amp;"")</f>
        <v>N/A</v>
      </c>
      <c r="F507" s="63">
        <f t="shared" si="38"/>
        <v>1</v>
      </c>
      <c r="G507" s="64" t="str">
        <f t="shared" si="34"/>
        <v>Bunn TB3</v>
      </c>
      <c r="H507" s="64" t="str">
        <f t="shared" si="35"/>
        <v/>
      </c>
      <c r="I507" s="63">
        <f>IF($G507="",0,IF(COUNTIF($G$2:$G507,$G507)=1,1,0))</f>
        <v>0</v>
      </c>
      <c r="J507" s="63" t="str">
        <f t="shared" si="36"/>
        <v/>
      </c>
      <c r="K507" s="63" t="str">
        <f>IF($H507="","",COUNTIF($H$2:$H507,"?*"))</f>
        <v/>
      </c>
    </row>
    <row r="508" spans="1:11" x14ac:dyDescent="0.25">
      <c r="A508" s="63" t="s">
        <v>554</v>
      </c>
      <c r="B508" s="63" t="s">
        <v>1063</v>
      </c>
      <c r="C508" s="63" t="s">
        <v>556</v>
      </c>
      <c r="D508" s="63" t="str">
        <f>IF('Barn - Back Rack'!V49="","",TRIM('Barn - Back Rack'!V49))</f>
        <v>Bunn TB3</v>
      </c>
      <c r="E508" s="64" t="str">
        <f>IF($D508="","",'Barn - Back Rack'!W49&amp;"")</f>
        <v>TU00347329</v>
      </c>
      <c r="F508" s="63">
        <f t="shared" si="38"/>
        <v>1</v>
      </c>
      <c r="G508" s="64" t="str">
        <f t="shared" si="34"/>
        <v>Bunn TB3</v>
      </c>
      <c r="H508" s="64" t="str">
        <f t="shared" si="35"/>
        <v/>
      </c>
      <c r="I508" s="63">
        <f>IF($G508="",0,IF(COUNTIF($G$2:$G508,$G508)=1,1,0))</f>
        <v>0</v>
      </c>
      <c r="J508" s="63" t="str">
        <f t="shared" si="36"/>
        <v/>
      </c>
      <c r="K508" s="63" t="str">
        <f>IF($H508="","",COUNTIF($H$2:$H508,"?*"))</f>
        <v/>
      </c>
    </row>
    <row r="509" spans="1:11" x14ac:dyDescent="0.25">
      <c r="A509" s="63" t="s">
        <v>554</v>
      </c>
      <c r="B509" s="63" t="s">
        <v>1064</v>
      </c>
      <c r="C509" s="63" t="s">
        <v>556</v>
      </c>
      <c r="D509" s="63" t="str">
        <f>IF('Barn - Back Rack'!V50="","",TRIM('Barn - Back Rack'!V50))</f>
        <v>Bunn TB3</v>
      </c>
      <c r="E509" s="64" t="str">
        <f>IF($D509="","",'Barn - Back Rack'!W50&amp;"")</f>
        <v>TU00347728</v>
      </c>
      <c r="F509" s="63">
        <f t="shared" si="38"/>
        <v>1</v>
      </c>
      <c r="G509" s="64" t="str">
        <f t="shared" si="34"/>
        <v>Bunn TB3</v>
      </c>
      <c r="H509" s="64" t="str">
        <f t="shared" si="35"/>
        <v/>
      </c>
      <c r="I509" s="63">
        <f>IF($G509="",0,IF(COUNTIF($G$2:$G509,$G509)=1,1,0))</f>
        <v>0</v>
      </c>
      <c r="J509" s="63" t="str">
        <f t="shared" si="36"/>
        <v/>
      </c>
      <c r="K509" s="63" t="str">
        <f>IF($H509="","",COUNTIF($H$2:$H509,"?*"))</f>
        <v/>
      </c>
    </row>
    <row r="510" spans="1:11" x14ac:dyDescent="0.25">
      <c r="A510" s="63" t="s">
        <v>554</v>
      </c>
      <c r="B510" s="63" t="s">
        <v>1065</v>
      </c>
      <c r="C510" s="63" t="s">
        <v>556</v>
      </c>
      <c r="D510" s="63" t="str">
        <f>IF('Barn - Back Rack'!V51="","",TRIM('Barn - Back Rack'!V51))</f>
        <v>Bunn TB3</v>
      </c>
      <c r="E510" s="64" t="str">
        <f>IF($D510="","",'Barn - Back Rack'!W51&amp;"")</f>
        <v>TU00300412</v>
      </c>
      <c r="F510" s="63">
        <f t="shared" si="38"/>
        <v>1</v>
      </c>
      <c r="G510" s="64" t="str">
        <f t="shared" si="34"/>
        <v>Bunn TB3</v>
      </c>
      <c r="H510" s="64" t="str">
        <f t="shared" si="35"/>
        <v/>
      </c>
      <c r="I510" s="63">
        <f>IF($G510="",0,IF(COUNTIF($G$2:$G510,$G510)=1,1,0))</f>
        <v>0</v>
      </c>
      <c r="J510" s="63" t="str">
        <f t="shared" si="36"/>
        <v/>
      </c>
      <c r="K510" s="63" t="str">
        <f>IF($H510="","",COUNTIF($H$2:$H510,"?*"))</f>
        <v/>
      </c>
    </row>
    <row r="511" spans="1:11" x14ac:dyDescent="0.25">
      <c r="A511" s="63" t="s">
        <v>554</v>
      </c>
      <c r="B511" s="63" t="s">
        <v>1066</v>
      </c>
      <c r="C511" s="63" t="s">
        <v>556</v>
      </c>
      <c r="D511" s="63" t="str">
        <f>IF('Barn - Back Rack'!V52="","",TRIM('Barn - Back Rack'!V52))</f>
        <v>Bunn TB3</v>
      </c>
      <c r="E511" s="64" t="str">
        <f>IF($D511="","",'Barn - Back Rack'!W52&amp;"")</f>
        <v>TU00294772</v>
      </c>
      <c r="F511" s="63">
        <f t="shared" si="38"/>
        <v>1</v>
      </c>
      <c r="G511" s="64" t="str">
        <f t="shared" si="34"/>
        <v>Bunn TB3</v>
      </c>
      <c r="H511" s="64" t="str">
        <f t="shared" si="35"/>
        <v/>
      </c>
      <c r="I511" s="63">
        <f>IF($G511="",0,IF(COUNTIF($G$2:$G511,$G511)=1,1,0))</f>
        <v>0</v>
      </c>
      <c r="J511" s="63" t="str">
        <f t="shared" si="36"/>
        <v/>
      </c>
      <c r="K511" s="63" t="str">
        <f>IF($H511="","",COUNTIF($H$2:$H511,"?*"))</f>
        <v/>
      </c>
    </row>
    <row r="512" spans="1:11" x14ac:dyDescent="0.25">
      <c r="A512" s="63" t="s">
        <v>554</v>
      </c>
      <c r="B512" s="63" t="s">
        <v>1067</v>
      </c>
      <c r="C512" s="63" t="s">
        <v>556</v>
      </c>
      <c r="D512" s="63" t="str">
        <f>IF('Barn - Back Rack'!V53="","",TRIM('Barn - Back Rack'!V53))</f>
        <v>Bunn TB3</v>
      </c>
      <c r="E512" s="64" t="str">
        <f>IF($D512="","",'Barn - Back Rack'!W53&amp;"")</f>
        <v>TU0030653</v>
      </c>
      <c r="F512" s="63">
        <f t="shared" si="38"/>
        <v>1</v>
      </c>
      <c r="G512" s="64" t="str">
        <f t="shared" si="34"/>
        <v>Bunn TB3</v>
      </c>
      <c r="H512" s="64" t="str">
        <f t="shared" si="35"/>
        <v/>
      </c>
      <c r="I512" s="63">
        <f>IF($G512="",0,IF(COUNTIF($G$2:$G512,$G512)=1,1,0))</f>
        <v>0</v>
      </c>
      <c r="J512" s="63" t="str">
        <f t="shared" si="36"/>
        <v/>
      </c>
      <c r="K512" s="63" t="str">
        <f>IF($H512="","",COUNTIF($H$2:$H512,"?*"))</f>
        <v/>
      </c>
    </row>
    <row r="513" spans="1:11" x14ac:dyDescent="0.25">
      <c r="A513" s="63" t="s">
        <v>554</v>
      </c>
      <c r="B513" s="63" t="s">
        <v>1068</v>
      </c>
      <c r="C513" s="63" t="s">
        <v>556</v>
      </c>
      <c r="D513" s="63" t="str">
        <f>IF('Barn - Back Rack'!V54="","",TRIM('Barn - Back Rack'!V54))</f>
        <v/>
      </c>
      <c r="E513" s="64" t="str">
        <f>IF($D513="","",'Barn - Back Rack'!W54&amp;"")</f>
        <v/>
      </c>
      <c r="F513" s="63">
        <f t="shared" si="38"/>
        <v>0</v>
      </c>
      <c r="G513" s="64" t="str">
        <f t="shared" si="34"/>
        <v/>
      </c>
      <c r="H513" s="64" t="str">
        <f t="shared" si="35"/>
        <v/>
      </c>
      <c r="I513" s="63">
        <f>IF($G513="",0,IF(COUNTIF($G$2:$G513,$G513)=1,1,0))</f>
        <v>0</v>
      </c>
      <c r="J513" s="63" t="str">
        <f t="shared" si="36"/>
        <v/>
      </c>
      <c r="K513" s="63" t="str">
        <f>IF($H513="","",COUNTIF($H$2:$H513,"?*"))</f>
        <v/>
      </c>
    </row>
    <row r="514" spans="1:11" x14ac:dyDescent="0.25">
      <c r="A514" s="63" t="s">
        <v>554</v>
      </c>
      <c r="B514" s="63" t="s">
        <v>1069</v>
      </c>
      <c r="C514" s="63" t="s">
        <v>556</v>
      </c>
      <c r="D514" s="63" t="str">
        <f>IF('Barn - Back Rack'!V55="","",TRIM('Barn - Back Rack'!V55))</f>
        <v/>
      </c>
      <c r="E514" s="64" t="str">
        <f>IF($D514="","",'Barn - Back Rack'!W55&amp;"")</f>
        <v/>
      </c>
      <c r="F514" s="63">
        <f t="shared" si="38"/>
        <v>0</v>
      </c>
      <c r="G514" s="64" t="str">
        <f t="shared" ref="G514:G577" si="39">IF($D514="","",IF(ISNUMBER(FIND("(",$D514)),TRIM(LEFT($D514,FIND("(",$D514)-1)),$D514))</f>
        <v/>
      </c>
      <c r="H514" s="64" t="str">
        <f t="shared" ref="H514:H577" si="40">IF($D514="","",IF(ISNUMBER(FIND("(",$D514)),TRIM(SUBSTITUTE(MID($D514,FIND("(",$D514)+1,200),")","")),""))</f>
        <v/>
      </c>
      <c r="I514" s="63">
        <f>IF($G514="",0,IF(COUNTIF($G$2:$G514,$G514)=1,1,0))</f>
        <v>0</v>
      </c>
      <c r="J514" s="63" t="str">
        <f t="shared" ref="J514:J577" si="41">IF($I514=0,"",SUMPRODUCT(($I$2:$I$1513=1)*($G$2:$G$1513&lt;$G514))+1)</f>
        <v/>
      </c>
      <c r="K514" s="63" t="str">
        <f>IF($H514="","",COUNTIF($H$2:$H514,"?*"))</f>
        <v/>
      </c>
    </row>
    <row r="515" spans="1:11" x14ac:dyDescent="0.25">
      <c r="A515" s="63" t="s">
        <v>554</v>
      </c>
      <c r="B515" s="63" t="s">
        <v>1070</v>
      </c>
      <c r="C515" s="63" t="s">
        <v>556</v>
      </c>
      <c r="D515" s="63" t="str">
        <f>IF('Barn - Back Rack'!V56="","",TRIM('Barn - Back Rack'!V56))</f>
        <v/>
      </c>
      <c r="E515" s="64" t="str">
        <f>IF($D515="","",'Barn - Back Rack'!W56&amp;"")</f>
        <v/>
      </c>
      <c r="F515" s="63">
        <f t="shared" si="38"/>
        <v>0</v>
      </c>
      <c r="G515" s="64" t="str">
        <f t="shared" si="39"/>
        <v/>
      </c>
      <c r="H515" s="64" t="str">
        <f t="shared" si="40"/>
        <v/>
      </c>
      <c r="I515" s="63">
        <f>IF($G515="",0,IF(COUNTIF($G$2:$G515,$G515)=1,1,0))</f>
        <v>0</v>
      </c>
      <c r="J515" s="63" t="str">
        <f t="shared" si="41"/>
        <v/>
      </c>
      <c r="K515" s="63" t="str">
        <f>IF($H515="","",COUNTIF($H$2:$H515,"?*"))</f>
        <v/>
      </c>
    </row>
    <row r="516" spans="1:11" x14ac:dyDescent="0.25">
      <c r="A516" s="63" t="s">
        <v>554</v>
      </c>
      <c r="B516" s="63" t="s">
        <v>1071</v>
      </c>
      <c r="C516" s="63" t="s">
        <v>556</v>
      </c>
      <c r="D516" s="63" t="str">
        <f>IF('Barn - Back Rack'!V57="","",TRIM('Barn - Back Rack'!V57))</f>
        <v/>
      </c>
      <c r="E516" s="64" t="str">
        <f>IF($D516="","",'Barn - Back Rack'!W57&amp;"")</f>
        <v/>
      </c>
      <c r="F516" s="63">
        <f t="shared" si="38"/>
        <v>0</v>
      </c>
      <c r="G516" s="64" t="str">
        <f t="shared" si="39"/>
        <v/>
      </c>
      <c r="H516" s="64" t="str">
        <f t="shared" si="40"/>
        <v/>
      </c>
      <c r="I516" s="63">
        <f>IF($G516="",0,IF(COUNTIF($G$2:$G516,$G516)=1,1,0))</f>
        <v>0</v>
      </c>
      <c r="J516" s="63" t="str">
        <f t="shared" si="41"/>
        <v/>
      </c>
      <c r="K516" s="63" t="str">
        <f>IF($H516="","",COUNTIF($H$2:$H516,"?*"))</f>
        <v/>
      </c>
    </row>
    <row r="517" spans="1:11" x14ac:dyDescent="0.25">
      <c r="A517" s="63" t="s">
        <v>554</v>
      </c>
      <c r="B517" s="63" t="s">
        <v>1072</v>
      </c>
      <c r="C517" s="63" t="s">
        <v>556</v>
      </c>
      <c r="D517" s="63" t="str">
        <f>IF('Barn - Back Rack'!V58="","",TRIM('Barn - Back Rack'!V58))</f>
        <v/>
      </c>
      <c r="E517" s="64" t="str">
        <f>IF($D517="","",'Barn - Back Rack'!W58&amp;"")</f>
        <v/>
      </c>
      <c r="F517" s="63">
        <f t="shared" si="38"/>
        <v>0</v>
      </c>
      <c r="G517" s="64" t="str">
        <f t="shared" si="39"/>
        <v/>
      </c>
      <c r="H517" s="64" t="str">
        <f t="shared" si="40"/>
        <v/>
      </c>
      <c r="I517" s="63">
        <f>IF($G517="",0,IF(COUNTIF($G$2:$G517,$G517)=1,1,0))</f>
        <v>0</v>
      </c>
      <c r="J517" s="63" t="str">
        <f t="shared" si="41"/>
        <v/>
      </c>
      <c r="K517" s="63" t="str">
        <f>IF($H517="","",COUNTIF($H$2:$H517,"?*"))</f>
        <v/>
      </c>
    </row>
    <row r="518" spans="1:11" x14ac:dyDescent="0.25">
      <c r="A518" s="63" t="s">
        <v>554</v>
      </c>
      <c r="B518" s="63" t="s">
        <v>1073</v>
      </c>
      <c r="C518" s="63" t="s">
        <v>556</v>
      </c>
      <c r="D518" s="63" t="str">
        <f>IF('Barn - Back Rack'!X47="","",TRIM('Barn - Back Rack'!X47))</f>
        <v>Bunn ITCB</v>
      </c>
      <c r="E518" s="64" t="str">
        <f>IF($D518="","",'Barn - Back Rack'!Y47&amp;"")</f>
        <v>ITCB077789</v>
      </c>
      <c r="F518" s="63">
        <f t="shared" si="38"/>
        <v>1</v>
      </c>
      <c r="G518" s="64" t="str">
        <f t="shared" si="39"/>
        <v>Bunn ITCB</v>
      </c>
      <c r="H518" s="64" t="str">
        <f t="shared" si="40"/>
        <v/>
      </c>
      <c r="I518" s="63">
        <f>IF($G518="",0,IF(COUNTIF($G$2:$G518,$G518)=1,1,0))</f>
        <v>1</v>
      </c>
      <c r="J518" s="63">
        <f t="shared" si="41"/>
        <v>24</v>
      </c>
      <c r="K518" s="63" t="str">
        <f>IF($H518="","",COUNTIF($H$2:$H518,"?*"))</f>
        <v/>
      </c>
    </row>
    <row r="519" spans="1:11" x14ac:dyDescent="0.25">
      <c r="A519" s="63" t="s">
        <v>554</v>
      </c>
      <c r="B519" s="63" t="s">
        <v>1074</v>
      </c>
      <c r="C519" s="63" t="s">
        <v>556</v>
      </c>
      <c r="D519" s="63" t="str">
        <f>IF('Barn - Back Rack'!X48="","",TRIM('Barn - Back Rack'!X48))</f>
        <v>Bunn ITCB</v>
      </c>
      <c r="E519" s="64" t="str">
        <f>IF($D519="","",'Barn - Back Rack'!Y48&amp;"")</f>
        <v>ITCB125298</v>
      </c>
      <c r="F519" s="63">
        <f t="shared" si="38"/>
        <v>1</v>
      </c>
      <c r="G519" s="64" t="str">
        <f t="shared" si="39"/>
        <v>Bunn ITCB</v>
      </c>
      <c r="H519" s="64" t="str">
        <f t="shared" si="40"/>
        <v/>
      </c>
      <c r="I519" s="63">
        <f>IF($G519="",0,IF(COUNTIF($G$2:$G519,$G519)=1,1,0))</f>
        <v>0</v>
      </c>
      <c r="J519" s="63" t="str">
        <f t="shared" si="41"/>
        <v/>
      </c>
      <c r="K519" s="63" t="str">
        <f>IF($H519="","",COUNTIF($H$2:$H519,"?*"))</f>
        <v/>
      </c>
    </row>
    <row r="520" spans="1:11" x14ac:dyDescent="0.25">
      <c r="A520" s="63" t="s">
        <v>554</v>
      </c>
      <c r="B520" s="63" t="s">
        <v>1075</v>
      </c>
      <c r="C520" s="63" t="s">
        <v>556</v>
      </c>
      <c r="D520" s="63" t="str">
        <f>IF('Barn - Back Rack'!X49="","",TRIM('Barn - Back Rack'!X49))</f>
        <v>Bunn ITCB</v>
      </c>
      <c r="E520" s="64" t="str">
        <f>IF($D520="","",'Barn - Back Rack'!Y49&amp;"")</f>
        <v>ITCB132589</v>
      </c>
      <c r="F520" s="63">
        <f t="shared" si="38"/>
        <v>1</v>
      </c>
      <c r="G520" s="64" t="str">
        <f t="shared" si="39"/>
        <v>Bunn ITCB</v>
      </c>
      <c r="H520" s="64" t="str">
        <f t="shared" si="40"/>
        <v/>
      </c>
      <c r="I520" s="63">
        <f>IF($G520="",0,IF(COUNTIF($G$2:$G520,$G520)=1,1,0))</f>
        <v>0</v>
      </c>
      <c r="J520" s="63" t="str">
        <f t="shared" si="41"/>
        <v/>
      </c>
      <c r="K520" s="63" t="str">
        <f>IF($H520="","",COUNTIF($H$2:$H520,"?*"))</f>
        <v/>
      </c>
    </row>
    <row r="521" spans="1:11" x14ac:dyDescent="0.25">
      <c r="A521" s="63" t="s">
        <v>554</v>
      </c>
      <c r="B521" s="63" t="s">
        <v>1076</v>
      </c>
      <c r="C521" s="63" t="s">
        <v>556</v>
      </c>
      <c r="D521" s="63" t="str">
        <f>IF('Barn - Back Rack'!X50="","",TRIM('Barn - Back Rack'!X50))</f>
        <v>Bunn ITCB</v>
      </c>
      <c r="E521" s="64" t="str">
        <f>IF($D521="","",'Barn - Back Rack'!Y50&amp;"")</f>
        <v>ITCB152375</v>
      </c>
      <c r="F521" s="63">
        <f t="shared" si="38"/>
        <v>1</v>
      </c>
      <c r="G521" s="64" t="str">
        <f t="shared" si="39"/>
        <v>Bunn ITCB</v>
      </c>
      <c r="H521" s="64" t="str">
        <f t="shared" si="40"/>
        <v/>
      </c>
      <c r="I521" s="63">
        <f>IF($G521="",0,IF(COUNTIF($G$2:$G521,$G521)=1,1,0))</f>
        <v>0</v>
      </c>
      <c r="J521" s="63" t="str">
        <f t="shared" si="41"/>
        <v/>
      </c>
      <c r="K521" s="63" t="str">
        <f>IF($H521="","",COUNTIF($H$2:$H521,"?*"))</f>
        <v/>
      </c>
    </row>
    <row r="522" spans="1:11" x14ac:dyDescent="0.25">
      <c r="A522" s="63" t="s">
        <v>554</v>
      </c>
      <c r="B522" s="63" t="s">
        <v>1077</v>
      </c>
      <c r="C522" s="63" t="s">
        <v>556</v>
      </c>
      <c r="D522" s="63" t="str">
        <f>IF('Barn - Back Rack'!X51="","",TRIM('Barn - Back Rack'!X51))</f>
        <v>Bunn ITCB</v>
      </c>
      <c r="E522" s="64" t="str">
        <f>IF($D522="","",'Barn - Back Rack'!Y51&amp;"")</f>
        <v>ITCB177231</v>
      </c>
      <c r="F522" s="63">
        <f t="shared" ref="F522:F553" si="42">IF($D522="",0,1)</f>
        <v>1</v>
      </c>
      <c r="G522" s="64" t="str">
        <f t="shared" si="39"/>
        <v>Bunn ITCB</v>
      </c>
      <c r="H522" s="64" t="str">
        <f t="shared" si="40"/>
        <v/>
      </c>
      <c r="I522" s="63">
        <f>IF($G522="",0,IF(COUNTIF($G$2:$G522,$G522)=1,1,0))</f>
        <v>0</v>
      </c>
      <c r="J522" s="63" t="str">
        <f t="shared" si="41"/>
        <v/>
      </c>
      <c r="K522" s="63" t="str">
        <f>IF($H522="","",COUNTIF($H$2:$H522,"?*"))</f>
        <v/>
      </c>
    </row>
    <row r="523" spans="1:11" x14ac:dyDescent="0.25">
      <c r="A523" s="63" t="s">
        <v>554</v>
      </c>
      <c r="B523" s="63" t="s">
        <v>1078</v>
      </c>
      <c r="C523" s="63" t="s">
        <v>556</v>
      </c>
      <c r="D523" s="63" t="str">
        <f>IF('Barn - Back Rack'!X52="","",TRIM('Barn - Back Rack'!X52))</f>
        <v>Bunn ITCB</v>
      </c>
      <c r="E523" s="64" t="str">
        <f>IF($D523="","",'Barn - Back Rack'!Y52&amp;"")</f>
        <v>ITCB089785</v>
      </c>
      <c r="F523" s="63">
        <f t="shared" si="42"/>
        <v>1</v>
      </c>
      <c r="G523" s="64" t="str">
        <f t="shared" si="39"/>
        <v>Bunn ITCB</v>
      </c>
      <c r="H523" s="64" t="str">
        <f t="shared" si="40"/>
        <v/>
      </c>
      <c r="I523" s="63">
        <f>IF($G523="",0,IF(COUNTIF($G$2:$G523,$G523)=1,1,0))</f>
        <v>0</v>
      </c>
      <c r="J523" s="63" t="str">
        <f t="shared" si="41"/>
        <v/>
      </c>
      <c r="K523" s="63" t="str">
        <f>IF($H523="","",COUNTIF($H$2:$H523,"?*"))</f>
        <v/>
      </c>
    </row>
    <row r="524" spans="1:11" x14ac:dyDescent="0.25">
      <c r="A524" s="63" t="s">
        <v>554</v>
      </c>
      <c r="B524" s="63" t="s">
        <v>1079</v>
      </c>
      <c r="C524" s="63" t="s">
        <v>556</v>
      </c>
      <c r="D524" s="63" t="str">
        <f>IF('Barn - Back Rack'!X53="","",TRIM('Barn - Back Rack'!X53))</f>
        <v>Bunn ITCB</v>
      </c>
      <c r="E524" s="64" t="str">
        <f>IF($D524="","",'Barn - Back Rack'!Y53&amp;"")</f>
        <v>ITCB139185</v>
      </c>
      <c r="F524" s="63">
        <f t="shared" si="42"/>
        <v>1</v>
      </c>
      <c r="G524" s="64" t="str">
        <f t="shared" si="39"/>
        <v>Bunn ITCB</v>
      </c>
      <c r="H524" s="64" t="str">
        <f t="shared" si="40"/>
        <v/>
      </c>
      <c r="I524" s="63">
        <f>IF($G524="",0,IF(COUNTIF($G$2:$G524,$G524)=1,1,0))</f>
        <v>0</v>
      </c>
      <c r="J524" s="63" t="str">
        <f t="shared" si="41"/>
        <v/>
      </c>
      <c r="K524" s="63" t="str">
        <f>IF($H524="","",COUNTIF($H$2:$H524,"?*"))</f>
        <v/>
      </c>
    </row>
    <row r="525" spans="1:11" x14ac:dyDescent="0.25">
      <c r="A525" s="63" t="s">
        <v>554</v>
      </c>
      <c r="B525" s="63" t="s">
        <v>1080</v>
      </c>
      <c r="C525" s="63" t="s">
        <v>556</v>
      </c>
      <c r="D525" s="63" t="str">
        <f>IF('Barn - Back Rack'!X54="","",TRIM('Barn - Back Rack'!X54))</f>
        <v>Bunn ITCB</v>
      </c>
      <c r="E525" s="64" t="str">
        <f>IF($D525="","",'Barn - Back Rack'!Y54&amp;"")</f>
        <v>ITCB077719</v>
      </c>
      <c r="F525" s="63">
        <f t="shared" si="42"/>
        <v>1</v>
      </c>
      <c r="G525" s="64" t="str">
        <f t="shared" si="39"/>
        <v>Bunn ITCB</v>
      </c>
      <c r="H525" s="64" t="str">
        <f t="shared" si="40"/>
        <v/>
      </c>
      <c r="I525" s="63">
        <f>IF($G525="",0,IF(COUNTIF($G$2:$G525,$G525)=1,1,0))</f>
        <v>0</v>
      </c>
      <c r="J525" s="63" t="str">
        <f t="shared" si="41"/>
        <v/>
      </c>
      <c r="K525" s="63" t="str">
        <f>IF($H525="","",COUNTIF($H$2:$H525,"?*"))</f>
        <v/>
      </c>
    </row>
    <row r="526" spans="1:11" x14ac:dyDescent="0.25">
      <c r="A526" s="63" t="s">
        <v>554</v>
      </c>
      <c r="B526" s="63" t="s">
        <v>1081</v>
      </c>
      <c r="C526" s="63" t="s">
        <v>556</v>
      </c>
      <c r="D526" s="63" t="str">
        <f>IF('Barn - Back Rack'!X55="","",TRIM('Barn - Back Rack'!X55))</f>
        <v/>
      </c>
      <c r="E526" s="64" t="str">
        <f>IF($D526="","",'Barn - Back Rack'!Y55&amp;"")</f>
        <v/>
      </c>
      <c r="F526" s="63">
        <f t="shared" si="42"/>
        <v>0</v>
      </c>
      <c r="G526" s="64" t="str">
        <f t="shared" si="39"/>
        <v/>
      </c>
      <c r="H526" s="64" t="str">
        <f t="shared" si="40"/>
        <v/>
      </c>
      <c r="I526" s="63">
        <f>IF($G526="",0,IF(COUNTIF($G$2:$G526,$G526)=1,1,0))</f>
        <v>0</v>
      </c>
      <c r="J526" s="63" t="str">
        <f t="shared" si="41"/>
        <v/>
      </c>
      <c r="K526" s="63" t="str">
        <f>IF($H526="","",COUNTIF($H$2:$H526,"?*"))</f>
        <v/>
      </c>
    </row>
    <row r="527" spans="1:11" x14ac:dyDescent="0.25">
      <c r="A527" s="63" t="s">
        <v>554</v>
      </c>
      <c r="B527" s="63" t="s">
        <v>1082</v>
      </c>
      <c r="C527" s="63" t="s">
        <v>556</v>
      </c>
      <c r="D527" s="63" t="str">
        <f>IF('Barn - Back Rack'!X56="","",TRIM('Barn - Back Rack'!X56))</f>
        <v/>
      </c>
      <c r="E527" s="64" t="str">
        <f>IF($D527="","",'Barn - Back Rack'!Y56&amp;"")</f>
        <v/>
      </c>
      <c r="F527" s="63">
        <f t="shared" si="42"/>
        <v>0</v>
      </c>
      <c r="G527" s="64" t="str">
        <f t="shared" si="39"/>
        <v/>
      </c>
      <c r="H527" s="64" t="str">
        <f t="shared" si="40"/>
        <v/>
      </c>
      <c r="I527" s="63">
        <f>IF($G527="",0,IF(COUNTIF($G$2:$G527,$G527)=1,1,0))</f>
        <v>0</v>
      </c>
      <c r="J527" s="63" t="str">
        <f t="shared" si="41"/>
        <v/>
      </c>
      <c r="K527" s="63" t="str">
        <f>IF($H527="","",COUNTIF($H$2:$H527,"?*"))</f>
        <v/>
      </c>
    </row>
    <row r="528" spans="1:11" x14ac:dyDescent="0.25">
      <c r="A528" s="63" t="s">
        <v>554</v>
      </c>
      <c r="B528" s="63" t="s">
        <v>1083</v>
      </c>
      <c r="C528" s="63" t="s">
        <v>556</v>
      </c>
      <c r="D528" s="63" t="str">
        <f>IF('Barn - Back Rack'!X57="","",TRIM('Barn - Back Rack'!X57))</f>
        <v/>
      </c>
      <c r="E528" s="64" t="str">
        <f>IF($D528="","",'Barn - Back Rack'!Y57&amp;"")</f>
        <v/>
      </c>
      <c r="F528" s="63">
        <f t="shared" si="42"/>
        <v>0</v>
      </c>
      <c r="G528" s="64" t="str">
        <f t="shared" si="39"/>
        <v/>
      </c>
      <c r="H528" s="64" t="str">
        <f t="shared" si="40"/>
        <v/>
      </c>
      <c r="I528" s="63">
        <f>IF($G528="",0,IF(COUNTIF($G$2:$G528,$G528)=1,1,0))</f>
        <v>0</v>
      </c>
      <c r="J528" s="63" t="str">
        <f t="shared" si="41"/>
        <v/>
      </c>
      <c r="K528" s="63" t="str">
        <f>IF($H528="","",COUNTIF($H$2:$H528,"?*"))</f>
        <v/>
      </c>
    </row>
    <row r="529" spans="1:11" x14ac:dyDescent="0.25">
      <c r="A529" s="63" t="s">
        <v>554</v>
      </c>
      <c r="B529" s="63" t="s">
        <v>1084</v>
      </c>
      <c r="C529" s="63" t="s">
        <v>556</v>
      </c>
      <c r="D529" s="63" t="str">
        <f>IF('Barn - Back Rack'!X58="","",TRIM('Barn - Back Rack'!X58))</f>
        <v/>
      </c>
      <c r="E529" s="64" t="str">
        <f>IF($D529="","",'Barn - Back Rack'!Y58&amp;"")</f>
        <v/>
      </c>
      <c r="F529" s="63">
        <f t="shared" si="42"/>
        <v>0</v>
      </c>
      <c r="G529" s="64" t="str">
        <f t="shared" si="39"/>
        <v/>
      </c>
      <c r="H529" s="64" t="str">
        <f t="shared" si="40"/>
        <v/>
      </c>
      <c r="I529" s="63">
        <f>IF($G529="",0,IF(COUNTIF($G$2:$G529,$G529)=1,1,0))</f>
        <v>0</v>
      </c>
      <c r="J529" s="63" t="str">
        <f t="shared" si="41"/>
        <v/>
      </c>
      <c r="K529" s="63" t="str">
        <f>IF($H529="","",COUNTIF($H$2:$H529,"?*"))</f>
        <v/>
      </c>
    </row>
    <row r="530" spans="1:11" x14ac:dyDescent="0.25">
      <c r="A530" s="63" t="s">
        <v>554</v>
      </c>
      <c r="B530" s="63" t="s">
        <v>1085</v>
      </c>
      <c r="C530" s="63" t="s">
        <v>556</v>
      </c>
      <c r="D530" s="63" t="str">
        <f>IF('Barn - Back Rack'!Z47="","",TRIM('Barn - Back Rack'!Z47))</f>
        <v/>
      </c>
      <c r="E530" s="64" t="str">
        <f>IF($D530="","",'Barn - Back Rack'!AA47&amp;"")</f>
        <v/>
      </c>
      <c r="F530" s="63">
        <f t="shared" si="42"/>
        <v>0</v>
      </c>
      <c r="G530" s="64" t="str">
        <f t="shared" si="39"/>
        <v/>
      </c>
      <c r="H530" s="64" t="str">
        <f t="shared" si="40"/>
        <v/>
      </c>
      <c r="I530" s="63">
        <f>IF($G530="",0,IF(COUNTIF($G$2:$G530,$G530)=1,1,0))</f>
        <v>0</v>
      </c>
      <c r="J530" s="63" t="str">
        <f t="shared" si="41"/>
        <v/>
      </c>
      <c r="K530" s="63" t="str">
        <f>IF($H530="","",COUNTIF($H$2:$H530,"?*"))</f>
        <v/>
      </c>
    </row>
    <row r="531" spans="1:11" x14ac:dyDescent="0.25">
      <c r="A531" s="63" t="s">
        <v>554</v>
      </c>
      <c r="B531" s="63" t="s">
        <v>1086</v>
      </c>
      <c r="C531" s="63" t="s">
        <v>556</v>
      </c>
      <c r="D531" s="63" t="str">
        <f>IF('Barn - Back Rack'!Z48="","",TRIM('Barn - Back Rack'!Z48))</f>
        <v/>
      </c>
      <c r="E531" s="64" t="str">
        <f>IF($D531="","",'Barn - Back Rack'!AA48&amp;"")</f>
        <v/>
      </c>
      <c r="F531" s="63">
        <f t="shared" si="42"/>
        <v>0</v>
      </c>
      <c r="G531" s="64" t="str">
        <f t="shared" si="39"/>
        <v/>
      </c>
      <c r="H531" s="64" t="str">
        <f t="shared" si="40"/>
        <v/>
      </c>
      <c r="I531" s="63">
        <f>IF($G531="",0,IF(COUNTIF($G$2:$G531,$G531)=1,1,0))</f>
        <v>0</v>
      </c>
      <c r="J531" s="63" t="str">
        <f t="shared" si="41"/>
        <v/>
      </c>
      <c r="K531" s="63" t="str">
        <f>IF($H531="","",COUNTIF($H$2:$H531,"?*"))</f>
        <v/>
      </c>
    </row>
    <row r="532" spans="1:11" x14ac:dyDescent="0.25">
      <c r="A532" s="63" t="s">
        <v>554</v>
      </c>
      <c r="B532" s="63" t="s">
        <v>1087</v>
      </c>
      <c r="C532" s="63" t="s">
        <v>556</v>
      </c>
      <c r="D532" s="63" t="str">
        <f>IF('Barn - Back Rack'!Z49="","",TRIM('Barn - Back Rack'!Z49))</f>
        <v/>
      </c>
      <c r="E532" s="64" t="str">
        <f>IF($D532="","",'Barn - Back Rack'!AA49&amp;"")</f>
        <v/>
      </c>
      <c r="F532" s="63">
        <f t="shared" si="42"/>
        <v>0</v>
      </c>
      <c r="G532" s="64" t="str">
        <f t="shared" si="39"/>
        <v/>
      </c>
      <c r="H532" s="64" t="str">
        <f t="shared" si="40"/>
        <v/>
      </c>
      <c r="I532" s="63">
        <f>IF($G532="",0,IF(COUNTIF($G$2:$G532,$G532)=1,1,0))</f>
        <v>0</v>
      </c>
      <c r="J532" s="63" t="str">
        <f t="shared" si="41"/>
        <v/>
      </c>
      <c r="K532" s="63" t="str">
        <f>IF($H532="","",COUNTIF($H$2:$H532,"?*"))</f>
        <v/>
      </c>
    </row>
    <row r="533" spans="1:11" x14ac:dyDescent="0.25">
      <c r="A533" s="63" t="s">
        <v>554</v>
      </c>
      <c r="B533" s="63" t="s">
        <v>1088</v>
      </c>
      <c r="C533" s="63" t="s">
        <v>556</v>
      </c>
      <c r="D533" s="63" t="str">
        <f>IF('Barn - Back Rack'!Z50="","",TRIM('Barn - Back Rack'!Z50))</f>
        <v/>
      </c>
      <c r="E533" s="64" t="str">
        <f>IF($D533="","",'Barn - Back Rack'!AA50&amp;"")</f>
        <v/>
      </c>
      <c r="F533" s="63">
        <f t="shared" si="42"/>
        <v>0</v>
      </c>
      <c r="G533" s="64" t="str">
        <f t="shared" si="39"/>
        <v/>
      </c>
      <c r="H533" s="64" t="str">
        <f t="shared" si="40"/>
        <v/>
      </c>
      <c r="I533" s="63">
        <f>IF($G533="",0,IF(COUNTIF($G$2:$G533,$G533)=1,1,0))</f>
        <v>0</v>
      </c>
      <c r="J533" s="63" t="str">
        <f t="shared" si="41"/>
        <v/>
      </c>
      <c r="K533" s="63" t="str">
        <f>IF($H533="","",COUNTIF($H$2:$H533,"?*"))</f>
        <v/>
      </c>
    </row>
    <row r="534" spans="1:11" x14ac:dyDescent="0.25">
      <c r="A534" s="63" t="s">
        <v>554</v>
      </c>
      <c r="B534" s="63" t="s">
        <v>1089</v>
      </c>
      <c r="C534" s="63" t="s">
        <v>556</v>
      </c>
      <c r="D534" s="63" t="str">
        <f>IF('Barn - Back Rack'!Z51="","",TRIM('Barn - Back Rack'!Z51))</f>
        <v/>
      </c>
      <c r="E534" s="64" t="str">
        <f>IF($D534="","",'Barn - Back Rack'!AA51&amp;"")</f>
        <v/>
      </c>
      <c r="F534" s="63">
        <f t="shared" si="42"/>
        <v>0</v>
      </c>
      <c r="G534" s="64" t="str">
        <f t="shared" si="39"/>
        <v/>
      </c>
      <c r="H534" s="64" t="str">
        <f t="shared" si="40"/>
        <v/>
      </c>
      <c r="I534" s="63">
        <f>IF($G534="",0,IF(COUNTIF($G$2:$G534,$G534)=1,1,0))</f>
        <v>0</v>
      </c>
      <c r="J534" s="63" t="str">
        <f t="shared" si="41"/>
        <v/>
      </c>
      <c r="K534" s="63" t="str">
        <f>IF($H534="","",COUNTIF($H$2:$H534,"?*"))</f>
        <v/>
      </c>
    </row>
    <row r="535" spans="1:11" x14ac:dyDescent="0.25">
      <c r="A535" s="63" t="s">
        <v>554</v>
      </c>
      <c r="B535" s="63" t="s">
        <v>1090</v>
      </c>
      <c r="C535" s="63" t="s">
        <v>556</v>
      </c>
      <c r="D535" s="63" t="str">
        <f>IF('Barn - Back Rack'!Z52="","",TRIM('Barn - Back Rack'!Z52))</f>
        <v/>
      </c>
      <c r="E535" s="64" t="str">
        <f>IF($D535="","",'Barn - Back Rack'!AA52&amp;"")</f>
        <v/>
      </c>
      <c r="F535" s="63">
        <f t="shared" si="42"/>
        <v>0</v>
      </c>
      <c r="G535" s="64" t="str">
        <f t="shared" si="39"/>
        <v/>
      </c>
      <c r="H535" s="64" t="str">
        <f t="shared" si="40"/>
        <v/>
      </c>
      <c r="I535" s="63">
        <f>IF($G535="",0,IF(COUNTIF($G$2:$G535,$G535)=1,1,0))</f>
        <v>0</v>
      </c>
      <c r="J535" s="63" t="str">
        <f t="shared" si="41"/>
        <v/>
      </c>
      <c r="K535" s="63" t="str">
        <f>IF($H535="","",COUNTIF($H$2:$H535,"?*"))</f>
        <v/>
      </c>
    </row>
    <row r="536" spans="1:11" x14ac:dyDescent="0.25">
      <c r="A536" s="63" t="s">
        <v>554</v>
      </c>
      <c r="B536" s="63" t="s">
        <v>1091</v>
      </c>
      <c r="C536" s="63" t="s">
        <v>556</v>
      </c>
      <c r="D536" s="63" t="str">
        <f>IF('Barn - Back Rack'!Z53="","",TRIM('Barn - Back Rack'!Z53))</f>
        <v/>
      </c>
      <c r="E536" s="64" t="str">
        <f>IF($D536="","",'Barn - Back Rack'!AA53&amp;"")</f>
        <v/>
      </c>
      <c r="F536" s="63">
        <f t="shared" si="42"/>
        <v>0</v>
      </c>
      <c r="G536" s="64" t="str">
        <f t="shared" si="39"/>
        <v/>
      </c>
      <c r="H536" s="64" t="str">
        <f t="shared" si="40"/>
        <v/>
      </c>
      <c r="I536" s="63">
        <f>IF($G536="",0,IF(COUNTIF($G$2:$G536,$G536)=1,1,0))</f>
        <v>0</v>
      </c>
      <c r="J536" s="63" t="str">
        <f t="shared" si="41"/>
        <v/>
      </c>
      <c r="K536" s="63" t="str">
        <f>IF($H536="","",COUNTIF($H$2:$H536,"?*"))</f>
        <v/>
      </c>
    </row>
    <row r="537" spans="1:11" x14ac:dyDescent="0.25">
      <c r="A537" s="63" t="s">
        <v>554</v>
      </c>
      <c r="B537" s="63" t="s">
        <v>1092</v>
      </c>
      <c r="C537" s="63" t="s">
        <v>556</v>
      </c>
      <c r="D537" s="63" t="str">
        <f>IF('Barn - Back Rack'!Z54="","",TRIM('Barn - Back Rack'!Z54))</f>
        <v/>
      </c>
      <c r="E537" s="64" t="str">
        <f>IF($D537="","",'Barn - Back Rack'!AA54&amp;"")</f>
        <v/>
      </c>
      <c r="F537" s="63">
        <f t="shared" si="42"/>
        <v>0</v>
      </c>
      <c r="G537" s="64" t="str">
        <f t="shared" si="39"/>
        <v/>
      </c>
      <c r="H537" s="64" t="str">
        <f t="shared" si="40"/>
        <v/>
      </c>
      <c r="I537" s="63">
        <f>IF($G537="",0,IF(COUNTIF($G$2:$G537,$G537)=1,1,0))</f>
        <v>0</v>
      </c>
      <c r="J537" s="63" t="str">
        <f t="shared" si="41"/>
        <v/>
      </c>
      <c r="K537" s="63" t="str">
        <f>IF($H537="","",COUNTIF($H$2:$H537,"?*"))</f>
        <v/>
      </c>
    </row>
    <row r="538" spans="1:11" x14ac:dyDescent="0.25">
      <c r="A538" s="63" t="s">
        <v>554</v>
      </c>
      <c r="B538" s="63" t="s">
        <v>1093</v>
      </c>
      <c r="C538" s="63" t="s">
        <v>556</v>
      </c>
      <c r="D538" s="63" t="str">
        <f>IF('Barn - Back Rack'!Z55="","",TRIM('Barn - Back Rack'!Z55))</f>
        <v/>
      </c>
      <c r="E538" s="64" t="str">
        <f>IF($D538="","",'Barn - Back Rack'!AA55&amp;"")</f>
        <v/>
      </c>
      <c r="F538" s="63">
        <f t="shared" si="42"/>
        <v>0</v>
      </c>
      <c r="G538" s="64" t="str">
        <f t="shared" si="39"/>
        <v/>
      </c>
      <c r="H538" s="64" t="str">
        <f t="shared" si="40"/>
        <v/>
      </c>
      <c r="I538" s="63">
        <f>IF($G538="",0,IF(COUNTIF($G$2:$G538,$G538)=1,1,0))</f>
        <v>0</v>
      </c>
      <c r="J538" s="63" t="str">
        <f t="shared" si="41"/>
        <v/>
      </c>
      <c r="K538" s="63" t="str">
        <f>IF($H538="","",COUNTIF($H$2:$H538,"?*"))</f>
        <v/>
      </c>
    </row>
    <row r="539" spans="1:11" x14ac:dyDescent="0.25">
      <c r="A539" s="63" t="s">
        <v>554</v>
      </c>
      <c r="B539" s="63" t="s">
        <v>1094</v>
      </c>
      <c r="C539" s="63" t="s">
        <v>556</v>
      </c>
      <c r="D539" s="63" t="str">
        <f>IF('Barn - Back Rack'!Z56="","",TRIM('Barn - Back Rack'!Z56))</f>
        <v/>
      </c>
      <c r="E539" s="64" t="str">
        <f>IF($D539="","",'Barn - Back Rack'!AA56&amp;"")</f>
        <v/>
      </c>
      <c r="F539" s="63">
        <f t="shared" si="42"/>
        <v>0</v>
      </c>
      <c r="G539" s="64" t="str">
        <f t="shared" si="39"/>
        <v/>
      </c>
      <c r="H539" s="64" t="str">
        <f t="shared" si="40"/>
        <v/>
      </c>
      <c r="I539" s="63">
        <f>IF($G539="",0,IF(COUNTIF($G$2:$G539,$G539)=1,1,0))</f>
        <v>0</v>
      </c>
      <c r="J539" s="63" t="str">
        <f t="shared" si="41"/>
        <v/>
      </c>
      <c r="K539" s="63" t="str">
        <f>IF($H539="","",COUNTIF($H$2:$H539,"?*"))</f>
        <v/>
      </c>
    </row>
    <row r="540" spans="1:11" x14ac:dyDescent="0.25">
      <c r="A540" s="63" t="s">
        <v>554</v>
      </c>
      <c r="B540" s="63" t="s">
        <v>1095</v>
      </c>
      <c r="C540" s="63" t="s">
        <v>556</v>
      </c>
      <c r="D540" s="63" t="str">
        <f>IF('Barn - Back Rack'!Z57="","",TRIM('Barn - Back Rack'!Z57))</f>
        <v/>
      </c>
      <c r="E540" s="64" t="str">
        <f>IF($D540="","",'Barn - Back Rack'!AA57&amp;"")</f>
        <v/>
      </c>
      <c r="F540" s="63">
        <f t="shared" si="42"/>
        <v>0</v>
      </c>
      <c r="G540" s="64" t="str">
        <f t="shared" si="39"/>
        <v/>
      </c>
      <c r="H540" s="64" t="str">
        <f t="shared" si="40"/>
        <v/>
      </c>
      <c r="I540" s="63">
        <f>IF($G540="",0,IF(COUNTIF($G$2:$G540,$G540)=1,1,0))</f>
        <v>0</v>
      </c>
      <c r="J540" s="63" t="str">
        <f t="shared" si="41"/>
        <v/>
      </c>
      <c r="K540" s="63" t="str">
        <f>IF($H540="","",COUNTIF($H$2:$H540,"?*"))</f>
        <v/>
      </c>
    </row>
    <row r="541" spans="1:11" x14ac:dyDescent="0.25">
      <c r="A541" s="63" t="s">
        <v>554</v>
      </c>
      <c r="B541" s="63" t="s">
        <v>1096</v>
      </c>
      <c r="C541" s="63" t="s">
        <v>556</v>
      </c>
      <c r="D541" s="63" t="str">
        <f>IF('Barn - Back Rack'!Z58="","",TRIM('Barn - Back Rack'!Z58))</f>
        <v/>
      </c>
      <c r="E541" s="64" t="str">
        <f>IF($D541="","",'Barn - Back Rack'!AA58&amp;"")</f>
        <v/>
      </c>
      <c r="F541" s="63">
        <f t="shared" si="42"/>
        <v>0</v>
      </c>
      <c r="G541" s="64" t="str">
        <f t="shared" si="39"/>
        <v/>
      </c>
      <c r="H541" s="64" t="str">
        <f t="shared" si="40"/>
        <v/>
      </c>
      <c r="I541" s="63">
        <f>IF($G541="",0,IF(COUNTIF($G$2:$G541,$G541)=1,1,0))</f>
        <v>0</v>
      </c>
      <c r="J541" s="63" t="str">
        <f t="shared" si="41"/>
        <v/>
      </c>
      <c r="K541" s="63" t="str">
        <f>IF($H541="","",COUNTIF($H$2:$H541,"?*"))</f>
        <v/>
      </c>
    </row>
    <row r="542" spans="1:11" x14ac:dyDescent="0.25">
      <c r="A542" s="63" t="s">
        <v>554</v>
      </c>
      <c r="B542" s="63" t="s">
        <v>1097</v>
      </c>
      <c r="C542" s="63" t="s">
        <v>556</v>
      </c>
      <c r="D542" s="63" t="str">
        <f>IF('Barn - Back Rack'!AB47="","",TRIM('Barn - Back Rack'!AB47))</f>
        <v/>
      </c>
      <c r="E542" s="64" t="str">
        <f>IF($D542="","",'Barn - Back Rack'!AC47&amp;"")</f>
        <v/>
      </c>
      <c r="F542" s="63">
        <f t="shared" si="42"/>
        <v>0</v>
      </c>
      <c r="G542" s="64" t="str">
        <f t="shared" si="39"/>
        <v/>
      </c>
      <c r="H542" s="64" t="str">
        <f t="shared" si="40"/>
        <v/>
      </c>
      <c r="I542" s="63">
        <f>IF($G542="",0,IF(COUNTIF($G$2:$G542,$G542)=1,1,0))</f>
        <v>0</v>
      </c>
      <c r="J542" s="63" t="str">
        <f t="shared" si="41"/>
        <v/>
      </c>
      <c r="K542" s="63" t="str">
        <f>IF($H542="","",COUNTIF($H$2:$H542,"?*"))</f>
        <v/>
      </c>
    </row>
    <row r="543" spans="1:11" x14ac:dyDescent="0.25">
      <c r="A543" s="63" t="s">
        <v>554</v>
      </c>
      <c r="B543" s="63" t="s">
        <v>1098</v>
      </c>
      <c r="C543" s="63" t="s">
        <v>556</v>
      </c>
      <c r="D543" s="63" t="str">
        <f>IF('Barn - Back Rack'!AB48="","",TRIM('Barn - Back Rack'!AB48))</f>
        <v/>
      </c>
      <c r="E543" s="64" t="str">
        <f>IF($D543="","",'Barn - Back Rack'!AC48&amp;"")</f>
        <v/>
      </c>
      <c r="F543" s="63">
        <f t="shared" si="42"/>
        <v>0</v>
      </c>
      <c r="G543" s="64" t="str">
        <f t="shared" si="39"/>
        <v/>
      </c>
      <c r="H543" s="64" t="str">
        <f t="shared" si="40"/>
        <v/>
      </c>
      <c r="I543" s="63">
        <f>IF($G543="",0,IF(COUNTIF($G$2:$G543,$G543)=1,1,0))</f>
        <v>0</v>
      </c>
      <c r="J543" s="63" t="str">
        <f t="shared" si="41"/>
        <v/>
      </c>
      <c r="K543" s="63" t="str">
        <f>IF($H543="","",COUNTIF($H$2:$H543,"?*"))</f>
        <v/>
      </c>
    </row>
    <row r="544" spans="1:11" x14ac:dyDescent="0.25">
      <c r="A544" s="63" t="s">
        <v>554</v>
      </c>
      <c r="B544" s="63" t="s">
        <v>1099</v>
      </c>
      <c r="C544" s="63" t="s">
        <v>556</v>
      </c>
      <c r="D544" s="63" t="str">
        <f>IF('Barn - Back Rack'!AB49="","",TRIM('Barn - Back Rack'!AB49))</f>
        <v/>
      </c>
      <c r="E544" s="64" t="str">
        <f>IF($D544="","",'Barn - Back Rack'!AC49&amp;"")</f>
        <v/>
      </c>
      <c r="F544" s="63">
        <f t="shared" si="42"/>
        <v>0</v>
      </c>
      <c r="G544" s="64" t="str">
        <f t="shared" si="39"/>
        <v/>
      </c>
      <c r="H544" s="64" t="str">
        <f t="shared" si="40"/>
        <v/>
      </c>
      <c r="I544" s="63">
        <f>IF($G544="",0,IF(COUNTIF($G$2:$G544,$G544)=1,1,0))</f>
        <v>0</v>
      </c>
      <c r="J544" s="63" t="str">
        <f t="shared" si="41"/>
        <v/>
      </c>
      <c r="K544" s="63" t="str">
        <f>IF($H544="","",COUNTIF($H$2:$H544,"?*"))</f>
        <v/>
      </c>
    </row>
    <row r="545" spans="1:11" x14ac:dyDescent="0.25">
      <c r="A545" s="63" t="s">
        <v>554</v>
      </c>
      <c r="B545" s="63" t="s">
        <v>1100</v>
      </c>
      <c r="C545" s="63" t="s">
        <v>556</v>
      </c>
      <c r="D545" s="63" t="str">
        <f>IF('Barn - Back Rack'!AB50="","",TRIM('Barn - Back Rack'!AB50))</f>
        <v/>
      </c>
      <c r="E545" s="64" t="str">
        <f>IF($D545="","",'Barn - Back Rack'!AC50&amp;"")</f>
        <v/>
      </c>
      <c r="F545" s="63">
        <f t="shared" si="42"/>
        <v>0</v>
      </c>
      <c r="G545" s="64" t="str">
        <f t="shared" si="39"/>
        <v/>
      </c>
      <c r="H545" s="64" t="str">
        <f t="shared" si="40"/>
        <v/>
      </c>
      <c r="I545" s="63">
        <f>IF($G545="",0,IF(COUNTIF($G$2:$G545,$G545)=1,1,0))</f>
        <v>0</v>
      </c>
      <c r="J545" s="63" t="str">
        <f t="shared" si="41"/>
        <v/>
      </c>
      <c r="K545" s="63" t="str">
        <f>IF($H545="","",COUNTIF($H$2:$H545,"?*"))</f>
        <v/>
      </c>
    </row>
    <row r="546" spans="1:11" x14ac:dyDescent="0.25">
      <c r="A546" s="63" t="s">
        <v>554</v>
      </c>
      <c r="B546" s="63" t="s">
        <v>1101</v>
      </c>
      <c r="C546" s="63" t="s">
        <v>556</v>
      </c>
      <c r="D546" s="63" t="str">
        <f>IF('Barn - Back Rack'!AB51="","",TRIM('Barn - Back Rack'!AB51))</f>
        <v/>
      </c>
      <c r="E546" s="64" t="str">
        <f>IF($D546="","",'Barn - Back Rack'!AC51&amp;"")</f>
        <v/>
      </c>
      <c r="F546" s="63">
        <f t="shared" si="42"/>
        <v>0</v>
      </c>
      <c r="G546" s="64" t="str">
        <f t="shared" si="39"/>
        <v/>
      </c>
      <c r="H546" s="64" t="str">
        <f t="shared" si="40"/>
        <v/>
      </c>
      <c r="I546" s="63">
        <f>IF($G546="",0,IF(COUNTIF($G$2:$G546,$G546)=1,1,0))</f>
        <v>0</v>
      </c>
      <c r="J546" s="63" t="str">
        <f t="shared" si="41"/>
        <v/>
      </c>
      <c r="K546" s="63" t="str">
        <f>IF($H546="","",COUNTIF($H$2:$H546,"?*"))</f>
        <v/>
      </c>
    </row>
    <row r="547" spans="1:11" x14ac:dyDescent="0.25">
      <c r="A547" s="63" t="s">
        <v>554</v>
      </c>
      <c r="B547" s="63" t="s">
        <v>1102</v>
      </c>
      <c r="C547" s="63" t="s">
        <v>556</v>
      </c>
      <c r="D547" s="63" t="str">
        <f>IF('Barn - Back Rack'!AB52="","",TRIM('Barn - Back Rack'!AB52))</f>
        <v/>
      </c>
      <c r="E547" s="64" t="str">
        <f>IF($D547="","",'Barn - Back Rack'!AC52&amp;"")</f>
        <v/>
      </c>
      <c r="F547" s="63">
        <f t="shared" si="42"/>
        <v>0</v>
      </c>
      <c r="G547" s="64" t="str">
        <f t="shared" si="39"/>
        <v/>
      </c>
      <c r="H547" s="64" t="str">
        <f t="shared" si="40"/>
        <v/>
      </c>
      <c r="I547" s="63">
        <f>IF($G547="",0,IF(COUNTIF($G$2:$G547,$G547)=1,1,0))</f>
        <v>0</v>
      </c>
      <c r="J547" s="63" t="str">
        <f t="shared" si="41"/>
        <v/>
      </c>
      <c r="K547" s="63" t="str">
        <f>IF($H547="","",COUNTIF($H$2:$H547,"?*"))</f>
        <v/>
      </c>
    </row>
    <row r="548" spans="1:11" x14ac:dyDescent="0.25">
      <c r="A548" s="63" t="s">
        <v>554</v>
      </c>
      <c r="B548" s="63" t="s">
        <v>1103</v>
      </c>
      <c r="C548" s="63" t="s">
        <v>556</v>
      </c>
      <c r="D548" s="63" t="str">
        <f>IF('Barn - Back Rack'!AB53="","",TRIM('Barn - Back Rack'!AB53))</f>
        <v/>
      </c>
      <c r="E548" s="64" t="str">
        <f>IF($D548="","",'Barn - Back Rack'!AC53&amp;"")</f>
        <v/>
      </c>
      <c r="F548" s="63">
        <f t="shared" si="42"/>
        <v>0</v>
      </c>
      <c r="G548" s="64" t="str">
        <f t="shared" si="39"/>
        <v/>
      </c>
      <c r="H548" s="64" t="str">
        <f t="shared" si="40"/>
        <v/>
      </c>
      <c r="I548" s="63">
        <f>IF($G548="",0,IF(COUNTIF($G$2:$G548,$G548)=1,1,0))</f>
        <v>0</v>
      </c>
      <c r="J548" s="63" t="str">
        <f t="shared" si="41"/>
        <v/>
      </c>
      <c r="K548" s="63" t="str">
        <f>IF($H548="","",COUNTIF($H$2:$H548,"?*"))</f>
        <v/>
      </c>
    </row>
    <row r="549" spans="1:11" x14ac:dyDescent="0.25">
      <c r="A549" s="63" t="s">
        <v>554</v>
      </c>
      <c r="B549" s="63" t="s">
        <v>1104</v>
      </c>
      <c r="C549" s="63" t="s">
        <v>556</v>
      </c>
      <c r="D549" s="63" t="str">
        <f>IF('Barn - Back Rack'!AB54="","",TRIM('Barn - Back Rack'!AB54))</f>
        <v/>
      </c>
      <c r="E549" s="64" t="str">
        <f>IF($D549="","",'Barn - Back Rack'!AC54&amp;"")</f>
        <v/>
      </c>
      <c r="F549" s="63">
        <f t="shared" si="42"/>
        <v>0</v>
      </c>
      <c r="G549" s="64" t="str">
        <f t="shared" si="39"/>
        <v/>
      </c>
      <c r="H549" s="64" t="str">
        <f t="shared" si="40"/>
        <v/>
      </c>
      <c r="I549" s="63">
        <f>IF($G549="",0,IF(COUNTIF($G$2:$G549,$G549)=1,1,0))</f>
        <v>0</v>
      </c>
      <c r="J549" s="63" t="str">
        <f t="shared" si="41"/>
        <v/>
      </c>
      <c r="K549" s="63" t="str">
        <f>IF($H549="","",COUNTIF($H$2:$H549,"?*"))</f>
        <v/>
      </c>
    </row>
    <row r="550" spans="1:11" x14ac:dyDescent="0.25">
      <c r="A550" s="63" t="s">
        <v>554</v>
      </c>
      <c r="B550" s="63" t="s">
        <v>1105</v>
      </c>
      <c r="C550" s="63" t="s">
        <v>556</v>
      </c>
      <c r="D550" s="63" t="str">
        <f>IF('Barn - Back Rack'!AB55="","",TRIM('Barn - Back Rack'!AB55))</f>
        <v/>
      </c>
      <c r="E550" s="64" t="str">
        <f>IF($D550="","",'Barn - Back Rack'!AC55&amp;"")</f>
        <v/>
      </c>
      <c r="F550" s="63">
        <f t="shared" si="42"/>
        <v>0</v>
      </c>
      <c r="G550" s="64" t="str">
        <f t="shared" si="39"/>
        <v/>
      </c>
      <c r="H550" s="64" t="str">
        <f t="shared" si="40"/>
        <v/>
      </c>
      <c r="I550" s="63">
        <f>IF($G550="",0,IF(COUNTIF($G$2:$G550,$G550)=1,1,0))</f>
        <v>0</v>
      </c>
      <c r="J550" s="63" t="str">
        <f t="shared" si="41"/>
        <v/>
      </c>
      <c r="K550" s="63" t="str">
        <f>IF($H550="","",COUNTIF($H$2:$H550,"?*"))</f>
        <v/>
      </c>
    </row>
    <row r="551" spans="1:11" x14ac:dyDescent="0.25">
      <c r="A551" s="63" t="s">
        <v>554</v>
      </c>
      <c r="B551" s="63" t="s">
        <v>1106</v>
      </c>
      <c r="C551" s="63" t="s">
        <v>556</v>
      </c>
      <c r="D551" s="63" t="str">
        <f>IF('Barn - Back Rack'!AB56="","",TRIM('Barn - Back Rack'!AB56))</f>
        <v/>
      </c>
      <c r="E551" s="64" t="str">
        <f>IF($D551="","",'Barn - Back Rack'!AC56&amp;"")</f>
        <v/>
      </c>
      <c r="F551" s="63">
        <f t="shared" si="42"/>
        <v>0</v>
      </c>
      <c r="G551" s="64" t="str">
        <f t="shared" si="39"/>
        <v/>
      </c>
      <c r="H551" s="64" t="str">
        <f t="shared" si="40"/>
        <v/>
      </c>
      <c r="I551" s="63">
        <f>IF($G551="",0,IF(COUNTIF($G$2:$G551,$G551)=1,1,0))</f>
        <v>0</v>
      </c>
      <c r="J551" s="63" t="str">
        <f t="shared" si="41"/>
        <v/>
      </c>
      <c r="K551" s="63" t="str">
        <f>IF($H551="","",COUNTIF($H$2:$H551,"?*"))</f>
        <v/>
      </c>
    </row>
    <row r="552" spans="1:11" x14ac:dyDescent="0.25">
      <c r="A552" s="63" t="s">
        <v>554</v>
      </c>
      <c r="B552" s="63" t="s">
        <v>1107</v>
      </c>
      <c r="C552" s="63" t="s">
        <v>556</v>
      </c>
      <c r="D552" s="63" t="str">
        <f>IF('Barn - Back Rack'!AB57="","",TRIM('Barn - Back Rack'!AB57))</f>
        <v/>
      </c>
      <c r="E552" s="64" t="str">
        <f>IF($D552="","",'Barn - Back Rack'!AC57&amp;"")</f>
        <v/>
      </c>
      <c r="F552" s="63">
        <f t="shared" si="42"/>
        <v>0</v>
      </c>
      <c r="G552" s="64" t="str">
        <f t="shared" si="39"/>
        <v/>
      </c>
      <c r="H552" s="64" t="str">
        <f t="shared" si="40"/>
        <v/>
      </c>
      <c r="I552" s="63">
        <f>IF($G552="",0,IF(COUNTIF($G$2:$G552,$G552)=1,1,0))</f>
        <v>0</v>
      </c>
      <c r="J552" s="63" t="str">
        <f t="shared" si="41"/>
        <v/>
      </c>
      <c r="K552" s="63" t="str">
        <f>IF($H552="","",COUNTIF($H$2:$H552,"?*"))</f>
        <v/>
      </c>
    </row>
    <row r="553" spans="1:11" x14ac:dyDescent="0.25">
      <c r="A553" s="63" t="s">
        <v>554</v>
      </c>
      <c r="B553" s="63" t="s">
        <v>1108</v>
      </c>
      <c r="C553" s="63" t="s">
        <v>556</v>
      </c>
      <c r="D553" s="63" t="str">
        <f>IF('Barn - Back Rack'!AB58="","",TRIM('Barn - Back Rack'!AB58))</f>
        <v/>
      </c>
      <c r="E553" s="64" t="str">
        <f>IF($D553="","",'Barn - Back Rack'!AC58&amp;"")</f>
        <v/>
      </c>
      <c r="F553" s="63">
        <f t="shared" si="42"/>
        <v>0</v>
      </c>
      <c r="G553" s="64" t="str">
        <f t="shared" si="39"/>
        <v/>
      </c>
      <c r="H553" s="64" t="str">
        <f t="shared" si="40"/>
        <v/>
      </c>
      <c r="I553" s="63">
        <f>IF($G553="",0,IF(COUNTIF($G$2:$G553,$G553)=1,1,0))</f>
        <v>0</v>
      </c>
      <c r="J553" s="63" t="str">
        <f t="shared" si="41"/>
        <v/>
      </c>
      <c r="K553" s="63" t="str">
        <f>IF($H553="","",COUNTIF($H$2:$H553,"?*"))</f>
        <v/>
      </c>
    </row>
    <row r="554" spans="1:11" x14ac:dyDescent="0.25">
      <c r="A554" s="63" t="s">
        <v>554</v>
      </c>
      <c r="B554" s="63" t="s">
        <v>1109</v>
      </c>
      <c r="C554" s="63" t="s">
        <v>556</v>
      </c>
      <c r="D554" s="63" t="str">
        <f>IF('Barn - Back Rack'!AD47="","",TRIM('Barn - Back Rack'!AD47))</f>
        <v>Fetco 62H</v>
      </c>
      <c r="E554" s="64" t="str">
        <f>IF($D554="","",'Barn - Back Rack'!AE47&amp;"")</f>
        <v>09239002A</v>
      </c>
      <c r="F554" s="63">
        <f t="shared" ref="F554:F585" si="43">IF($D554="",0,1)</f>
        <v>1</v>
      </c>
      <c r="G554" s="64" t="str">
        <f t="shared" si="39"/>
        <v>Fetco 62H</v>
      </c>
      <c r="H554" s="64" t="str">
        <f t="shared" si="40"/>
        <v/>
      </c>
      <c r="I554" s="63">
        <f>IF($G554="",0,IF(COUNTIF($G$2:$G554,$G554)=1,1,0))</f>
        <v>1</v>
      </c>
      <c r="J554" s="63">
        <f t="shared" si="41"/>
        <v>57</v>
      </c>
      <c r="K554" s="63" t="str">
        <f>IF($H554="","",COUNTIF($H$2:$H554,"?*"))</f>
        <v/>
      </c>
    </row>
    <row r="555" spans="1:11" x14ac:dyDescent="0.25">
      <c r="A555" s="63" t="s">
        <v>554</v>
      </c>
      <c r="B555" s="63" t="s">
        <v>1110</v>
      </c>
      <c r="C555" s="63" t="s">
        <v>556</v>
      </c>
      <c r="D555" s="63" t="str">
        <f>IF('Barn - Back Rack'!AD48="","",TRIM('Barn - Back Rack'!AD48))</f>
        <v>Fetco 62H</v>
      </c>
      <c r="E555" s="64" t="str">
        <f>IF($D555="","",'Barn - Back Rack'!AE48&amp;"")</f>
        <v>18050650279A</v>
      </c>
      <c r="F555" s="63">
        <f t="shared" si="43"/>
        <v>1</v>
      </c>
      <c r="G555" s="64" t="str">
        <f t="shared" si="39"/>
        <v>Fetco 62H</v>
      </c>
      <c r="H555" s="64" t="str">
        <f t="shared" si="40"/>
        <v/>
      </c>
      <c r="I555" s="63">
        <f>IF($G555="",0,IF(COUNTIF($G$2:$G555,$G555)=1,1,0))</f>
        <v>0</v>
      </c>
      <c r="J555" s="63" t="str">
        <f t="shared" si="41"/>
        <v/>
      </c>
      <c r="K555" s="63" t="str">
        <f>IF($H555="","",COUNTIF($H$2:$H555,"?*"))</f>
        <v/>
      </c>
    </row>
    <row r="556" spans="1:11" x14ac:dyDescent="0.25">
      <c r="A556" s="63" t="s">
        <v>554</v>
      </c>
      <c r="B556" s="63" t="s">
        <v>1111</v>
      </c>
      <c r="C556" s="63" t="s">
        <v>556</v>
      </c>
      <c r="D556" s="63" t="str">
        <f>IF('Barn - Back Rack'!AD49="","",TRIM('Barn - Back Rack'!AD49))</f>
        <v/>
      </c>
      <c r="E556" s="64" t="str">
        <f>IF($D556="","",'Barn - Back Rack'!AE49&amp;"")</f>
        <v/>
      </c>
      <c r="F556" s="63">
        <f t="shared" si="43"/>
        <v>0</v>
      </c>
      <c r="G556" s="64" t="str">
        <f t="shared" si="39"/>
        <v/>
      </c>
      <c r="H556" s="64" t="str">
        <f t="shared" si="40"/>
        <v/>
      </c>
      <c r="I556" s="63">
        <f>IF($G556="",0,IF(COUNTIF($G$2:$G556,$G556)=1,1,0))</f>
        <v>0</v>
      </c>
      <c r="J556" s="63" t="str">
        <f t="shared" si="41"/>
        <v/>
      </c>
      <c r="K556" s="63" t="str">
        <f>IF($H556="","",COUNTIF($H$2:$H556,"?*"))</f>
        <v/>
      </c>
    </row>
    <row r="557" spans="1:11" x14ac:dyDescent="0.25">
      <c r="A557" s="63" t="s">
        <v>554</v>
      </c>
      <c r="B557" s="63" t="s">
        <v>1112</v>
      </c>
      <c r="C557" s="63" t="s">
        <v>556</v>
      </c>
      <c r="D557" s="63" t="str">
        <f>IF('Barn - Back Rack'!AD50="","",TRIM('Barn - Back Rack'!AD50))</f>
        <v/>
      </c>
      <c r="E557" s="64" t="str">
        <f>IF($D557="","",'Barn - Back Rack'!AE50&amp;"")</f>
        <v/>
      </c>
      <c r="F557" s="63">
        <f t="shared" si="43"/>
        <v>0</v>
      </c>
      <c r="G557" s="64" t="str">
        <f t="shared" si="39"/>
        <v/>
      </c>
      <c r="H557" s="64" t="str">
        <f t="shared" si="40"/>
        <v/>
      </c>
      <c r="I557" s="63">
        <f>IF($G557="",0,IF(COUNTIF($G$2:$G557,$G557)=1,1,0))</f>
        <v>0</v>
      </c>
      <c r="J557" s="63" t="str">
        <f t="shared" si="41"/>
        <v/>
      </c>
      <c r="K557" s="63" t="str">
        <f>IF($H557="","",COUNTIF($H$2:$H557,"?*"))</f>
        <v/>
      </c>
    </row>
    <row r="558" spans="1:11" x14ac:dyDescent="0.25">
      <c r="A558" s="63" t="s">
        <v>554</v>
      </c>
      <c r="B558" s="63" t="s">
        <v>1113</v>
      </c>
      <c r="C558" s="63" t="s">
        <v>556</v>
      </c>
      <c r="D558" s="63" t="str">
        <f>IF('Barn - Back Rack'!AD51="","",TRIM('Barn - Back Rack'!AD51))</f>
        <v/>
      </c>
      <c r="E558" s="64" t="str">
        <f>IF($D558="","",'Barn - Back Rack'!AE51&amp;"")</f>
        <v/>
      </c>
      <c r="F558" s="63">
        <f t="shared" si="43"/>
        <v>0</v>
      </c>
      <c r="G558" s="64" t="str">
        <f t="shared" si="39"/>
        <v/>
      </c>
      <c r="H558" s="64" t="str">
        <f t="shared" si="40"/>
        <v/>
      </c>
      <c r="I558" s="63">
        <f>IF($G558="",0,IF(COUNTIF($G$2:$G558,$G558)=1,1,0))</f>
        <v>0</v>
      </c>
      <c r="J558" s="63" t="str">
        <f t="shared" si="41"/>
        <v/>
      </c>
      <c r="K558" s="63" t="str">
        <f>IF($H558="","",COUNTIF($H$2:$H558,"?*"))</f>
        <v/>
      </c>
    </row>
    <row r="559" spans="1:11" x14ac:dyDescent="0.25">
      <c r="A559" s="63" t="s">
        <v>554</v>
      </c>
      <c r="B559" s="63" t="s">
        <v>1114</v>
      </c>
      <c r="C559" s="63" t="s">
        <v>556</v>
      </c>
      <c r="D559" s="63" t="str">
        <f>IF('Barn - Back Rack'!AD52="","",TRIM('Barn - Back Rack'!AD52))</f>
        <v/>
      </c>
      <c r="E559" s="64" t="str">
        <f>IF($D559="","",'Barn - Back Rack'!AE52&amp;"")</f>
        <v/>
      </c>
      <c r="F559" s="63">
        <f t="shared" si="43"/>
        <v>0</v>
      </c>
      <c r="G559" s="64" t="str">
        <f t="shared" si="39"/>
        <v/>
      </c>
      <c r="H559" s="64" t="str">
        <f t="shared" si="40"/>
        <v/>
      </c>
      <c r="I559" s="63">
        <f>IF($G559="",0,IF(COUNTIF($G$2:$G559,$G559)=1,1,0))</f>
        <v>0</v>
      </c>
      <c r="J559" s="63" t="str">
        <f t="shared" si="41"/>
        <v/>
      </c>
      <c r="K559" s="63" t="str">
        <f>IF($H559="","",COUNTIF($H$2:$H559,"?*"))</f>
        <v/>
      </c>
    </row>
    <row r="560" spans="1:11" x14ac:dyDescent="0.25">
      <c r="A560" s="63" t="s">
        <v>554</v>
      </c>
      <c r="B560" s="63" t="s">
        <v>1115</v>
      </c>
      <c r="C560" s="63" t="s">
        <v>556</v>
      </c>
      <c r="D560" s="63" t="str">
        <f>IF('Barn - Back Rack'!AD53="","",TRIM('Barn - Back Rack'!AD53))</f>
        <v/>
      </c>
      <c r="E560" s="64" t="str">
        <f>IF($D560="","",'Barn - Back Rack'!AE53&amp;"")</f>
        <v/>
      </c>
      <c r="F560" s="63">
        <f t="shared" si="43"/>
        <v>0</v>
      </c>
      <c r="G560" s="64" t="str">
        <f t="shared" si="39"/>
        <v/>
      </c>
      <c r="H560" s="64" t="str">
        <f t="shared" si="40"/>
        <v/>
      </c>
      <c r="I560" s="63">
        <f>IF($G560="",0,IF(COUNTIF($G$2:$G560,$G560)=1,1,0))</f>
        <v>0</v>
      </c>
      <c r="J560" s="63" t="str">
        <f t="shared" si="41"/>
        <v/>
      </c>
      <c r="K560" s="63" t="str">
        <f>IF($H560="","",COUNTIF($H$2:$H560,"?*"))</f>
        <v/>
      </c>
    </row>
    <row r="561" spans="1:11" x14ac:dyDescent="0.25">
      <c r="A561" s="63" t="s">
        <v>554</v>
      </c>
      <c r="B561" s="63" t="s">
        <v>1116</v>
      </c>
      <c r="C561" s="63" t="s">
        <v>556</v>
      </c>
      <c r="D561" s="63" t="str">
        <f>IF('Barn - Back Rack'!AD54="","",TRIM('Barn - Back Rack'!AD54))</f>
        <v/>
      </c>
      <c r="E561" s="64" t="str">
        <f>IF($D561="","",'Barn - Back Rack'!AE54&amp;"")</f>
        <v/>
      </c>
      <c r="F561" s="63">
        <f t="shared" si="43"/>
        <v>0</v>
      </c>
      <c r="G561" s="64" t="str">
        <f t="shared" si="39"/>
        <v/>
      </c>
      <c r="H561" s="64" t="str">
        <f t="shared" si="40"/>
        <v/>
      </c>
      <c r="I561" s="63">
        <f>IF($G561="",0,IF(COUNTIF($G$2:$G561,$G561)=1,1,0))</f>
        <v>0</v>
      </c>
      <c r="J561" s="63" t="str">
        <f t="shared" si="41"/>
        <v/>
      </c>
      <c r="K561" s="63" t="str">
        <f>IF($H561="","",COUNTIF($H$2:$H561,"?*"))</f>
        <v/>
      </c>
    </row>
    <row r="562" spans="1:11" x14ac:dyDescent="0.25">
      <c r="A562" s="63" t="s">
        <v>554</v>
      </c>
      <c r="B562" s="63" t="s">
        <v>1117</v>
      </c>
      <c r="C562" s="63" t="s">
        <v>556</v>
      </c>
      <c r="D562" s="63" t="str">
        <f>IF('Barn - Back Rack'!AD55="","",TRIM('Barn - Back Rack'!AD55))</f>
        <v/>
      </c>
      <c r="E562" s="64" t="str">
        <f>IF($D562="","",'Barn - Back Rack'!AE55&amp;"")</f>
        <v/>
      </c>
      <c r="F562" s="63">
        <f t="shared" si="43"/>
        <v>0</v>
      </c>
      <c r="G562" s="64" t="str">
        <f t="shared" si="39"/>
        <v/>
      </c>
      <c r="H562" s="64" t="str">
        <f t="shared" si="40"/>
        <v/>
      </c>
      <c r="I562" s="63">
        <f>IF($G562="",0,IF(COUNTIF($G$2:$G562,$G562)=1,1,0))</f>
        <v>0</v>
      </c>
      <c r="J562" s="63" t="str">
        <f t="shared" si="41"/>
        <v/>
      </c>
      <c r="K562" s="63" t="str">
        <f>IF($H562="","",COUNTIF($H$2:$H562,"?*"))</f>
        <v/>
      </c>
    </row>
    <row r="563" spans="1:11" x14ac:dyDescent="0.25">
      <c r="A563" s="63" t="s">
        <v>554</v>
      </c>
      <c r="B563" s="63" t="s">
        <v>1118</v>
      </c>
      <c r="C563" s="63" t="s">
        <v>556</v>
      </c>
      <c r="D563" s="63" t="str">
        <f>IF('Barn - Back Rack'!AD56="","",TRIM('Barn - Back Rack'!AD56))</f>
        <v/>
      </c>
      <c r="E563" s="64" t="str">
        <f>IF($D563="","",'Barn - Back Rack'!AE56&amp;"")</f>
        <v/>
      </c>
      <c r="F563" s="63">
        <f t="shared" si="43"/>
        <v>0</v>
      </c>
      <c r="G563" s="64" t="str">
        <f t="shared" si="39"/>
        <v/>
      </c>
      <c r="H563" s="64" t="str">
        <f t="shared" si="40"/>
        <v/>
      </c>
      <c r="I563" s="63">
        <f>IF($G563="",0,IF(COUNTIF($G$2:$G563,$G563)=1,1,0))</f>
        <v>0</v>
      </c>
      <c r="J563" s="63" t="str">
        <f t="shared" si="41"/>
        <v/>
      </c>
      <c r="K563" s="63" t="str">
        <f>IF($H563="","",COUNTIF($H$2:$H563,"?*"))</f>
        <v/>
      </c>
    </row>
    <row r="564" spans="1:11" x14ac:dyDescent="0.25">
      <c r="A564" s="63" t="s">
        <v>554</v>
      </c>
      <c r="B564" s="63" t="s">
        <v>1119</v>
      </c>
      <c r="C564" s="63" t="s">
        <v>556</v>
      </c>
      <c r="D564" s="63" t="str">
        <f>IF('Barn - Back Rack'!AD57="","",TRIM('Barn - Back Rack'!AD57))</f>
        <v/>
      </c>
      <c r="E564" s="64" t="str">
        <f>IF($D564="","",'Barn - Back Rack'!AE57&amp;"")</f>
        <v/>
      </c>
      <c r="F564" s="63">
        <f t="shared" si="43"/>
        <v>0</v>
      </c>
      <c r="G564" s="64" t="str">
        <f t="shared" si="39"/>
        <v/>
      </c>
      <c r="H564" s="64" t="str">
        <f t="shared" si="40"/>
        <v/>
      </c>
      <c r="I564" s="63">
        <f>IF($G564="",0,IF(COUNTIF($G$2:$G564,$G564)=1,1,0))</f>
        <v>0</v>
      </c>
      <c r="J564" s="63" t="str">
        <f t="shared" si="41"/>
        <v/>
      </c>
      <c r="K564" s="63" t="str">
        <f>IF($H564="","",COUNTIF($H$2:$H564,"?*"))</f>
        <v/>
      </c>
    </row>
    <row r="565" spans="1:11" x14ac:dyDescent="0.25">
      <c r="A565" s="63" t="s">
        <v>554</v>
      </c>
      <c r="B565" s="63" t="s">
        <v>1120</v>
      </c>
      <c r="C565" s="63" t="s">
        <v>556</v>
      </c>
      <c r="D565" s="63" t="str">
        <f>IF('Barn - Back Rack'!AD58="","",TRIM('Barn - Back Rack'!AD58))</f>
        <v/>
      </c>
      <c r="E565" s="64" t="str">
        <f>IF($D565="","",'Barn - Back Rack'!AE58&amp;"")</f>
        <v/>
      </c>
      <c r="F565" s="63">
        <f t="shared" si="43"/>
        <v>0</v>
      </c>
      <c r="G565" s="64" t="str">
        <f t="shared" si="39"/>
        <v/>
      </c>
      <c r="H565" s="64" t="str">
        <f t="shared" si="40"/>
        <v/>
      </c>
      <c r="I565" s="63">
        <f>IF($G565="",0,IF(COUNTIF($G$2:$G565,$G565)=1,1,0))</f>
        <v>0</v>
      </c>
      <c r="J565" s="63" t="str">
        <f t="shared" si="41"/>
        <v/>
      </c>
      <c r="K565" s="63" t="str">
        <f>IF($H565="","",COUNTIF($H$2:$H565,"?*"))</f>
        <v/>
      </c>
    </row>
    <row r="566" spans="1:11" x14ac:dyDescent="0.25">
      <c r="A566" s="63" t="s">
        <v>554</v>
      </c>
      <c r="B566" s="63" t="s">
        <v>1121</v>
      </c>
      <c r="C566" s="63" t="s">
        <v>556</v>
      </c>
      <c r="D566" s="63" t="str">
        <f>IF('Barn - Back Rack'!AF47="","",TRIM('Barn - Back Rack'!AF47))</f>
        <v/>
      </c>
      <c r="E566" s="64" t="str">
        <f>IF($D566="","",'Barn - Back Rack'!AG47&amp;"")</f>
        <v/>
      </c>
      <c r="F566" s="63">
        <f t="shared" si="43"/>
        <v>0</v>
      </c>
      <c r="G566" s="64" t="str">
        <f t="shared" si="39"/>
        <v/>
      </c>
      <c r="H566" s="64" t="str">
        <f t="shared" si="40"/>
        <v/>
      </c>
      <c r="I566" s="63">
        <f>IF($G566="",0,IF(COUNTIF($G$2:$G566,$G566)=1,1,0))</f>
        <v>0</v>
      </c>
      <c r="J566" s="63" t="str">
        <f t="shared" si="41"/>
        <v/>
      </c>
      <c r="K566" s="63" t="str">
        <f>IF($H566="","",COUNTIF($H$2:$H566,"?*"))</f>
        <v/>
      </c>
    </row>
    <row r="567" spans="1:11" x14ac:dyDescent="0.25">
      <c r="A567" s="63" t="s">
        <v>554</v>
      </c>
      <c r="B567" s="63" t="s">
        <v>1122</v>
      </c>
      <c r="C567" s="63" t="s">
        <v>556</v>
      </c>
      <c r="D567" s="63" t="str">
        <f>IF('Barn - Back Rack'!AF48="","",TRIM('Barn - Back Rack'!AF48))</f>
        <v/>
      </c>
      <c r="E567" s="64" t="str">
        <f>IF($D567="","",'Barn - Back Rack'!AG48&amp;"")</f>
        <v/>
      </c>
      <c r="F567" s="63">
        <f t="shared" si="43"/>
        <v>0</v>
      </c>
      <c r="G567" s="64" t="str">
        <f t="shared" si="39"/>
        <v/>
      </c>
      <c r="H567" s="64" t="str">
        <f t="shared" si="40"/>
        <v/>
      </c>
      <c r="I567" s="63">
        <f>IF($G567="",0,IF(COUNTIF($G$2:$G567,$G567)=1,1,0))</f>
        <v>0</v>
      </c>
      <c r="J567" s="63" t="str">
        <f t="shared" si="41"/>
        <v/>
      </c>
      <c r="K567" s="63" t="str">
        <f>IF($H567="","",COUNTIF($H$2:$H567,"?*"))</f>
        <v/>
      </c>
    </row>
    <row r="568" spans="1:11" x14ac:dyDescent="0.25">
      <c r="A568" s="63" t="s">
        <v>554</v>
      </c>
      <c r="B568" s="63" t="s">
        <v>1123</v>
      </c>
      <c r="C568" s="63" t="s">
        <v>556</v>
      </c>
      <c r="D568" s="63" t="str">
        <f>IF('Barn - Back Rack'!AF49="","",TRIM('Barn - Back Rack'!AF49))</f>
        <v/>
      </c>
      <c r="E568" s="64" t="str">
        <f>IF($D568="","",'Barn - Back Rack'!AG49&amp;"")</f>
        <v/>
      </c>
      <c r="F568" s="63">
        <f t="shared" si="43"/>
        <v>0</v>
      </c>
      <c r="G568" s="64" t="str">
        <f t="shared" si="39"/>
        <v/>
      </c>
      <c r="H568" s="64" t="str">
        <f t="shared" si="40"/>
        <v/>
      </c>
      <c r="I568" s="63">
        <f>IF($G568="",0,IF(COUNTIF($G$2:$G568,$G568)=1,1,0))</f>
        <v>0</v>
      </c>
      <c r="J568" s="63" t="str">
        <f t="shared" si="41"/>
        <v/>
      </c>
      <c r="K568" s="63" t="str">
        <f>IF($H568="","",COUNTIF($H$2:$H568,"?*"))</f>
        <v/>
      </c>
    </row>
    <row r="569" spans="1:11" x14ac:dyDescent="0.25">
      <c r="A569" s="63" t="s">
        <v>554</v>
      </c>
      <c r="B569" s="63" t="s">
        <v>1124</v>
      </c>
      <c r="C569" s="63" t="s">
        <v>556</v>
      </c>
      <c r="D569" s="63" t="str">
        <f>IF('Barn - Back Rack'!AF50="","",TRIM('Barn - Back Rack'!AF50))</f>
        <v/>
      </c>
      <c r="E569" s="64" t="str">
        <f>IF($D569="","",'Barn - Back Rack'!AG50&amp;"")</f>
        <v/>
      </c>
      <c r="F569" s="63">
        <f t="shared" si="43"/>
        <v>0</v>
      </c>
      <c r="G569" s="64" t="str">
        <f t="shared" si="39"/>
        <v/>
      </c>
      <c r="H569" s="64" t="str">
        <f t="shared" si="40"/>
        <v/>
      </c>
      <c r="I569" s="63">
        <f>IF($G569="",0,IF(COUNTIF($G$2:$G569,$G569)=1,1,0))</f>
        <v>0</v>
      </c>
      <c r="J569" s="63" t="str">
        <f t="shared" si="41"/>
        <v/>
      </c>
      <c r="K569" s="63" t="str">
        <f>IF($H569="","",COUNTIF($H$2:$H569,"?*"))</f>
        <v/>
      </c>
    </row>
    <row r="570" spans="1:11" x14ac:dyDescent="0.25">
      <c r="A570" s="63" t="s">
        <v>554</v>
      </c>
      <c r="B570" s="63" t="s">
        <v>1125</v>
      </c>
      <c r="C570" s="63" t="s">
        <v>556</v>
      </c>
      <c r="D570" s="63" t="str">
        <f>IF('Barn - Back Rack'!AF51="","",TRIM('Barn - Back Rack'!AF51))</f>
        <v/>
      </c>
      <c r="E570" s="64" t="str">
        <f>IF($D570="","",'Barn - Back Rack'!AG51&amp;"")</f>
        <v/>
      </c>
      <c r="F570" s="63">
        <f t="shared" si="43"/>
        <v>0</v>
      </c>
      <c r="G570" s="64" t="str">
        <f t="shared" si="39"/>
        <v/>
      </c>
      <c r="H570" s="64" t="str">
        <f t="shared" si="40"/>
        <v/>
      </c>
      <c r="I570" s="63">
        <f>IF($G570="",0,IF(COUNTIF($G$2:$G570,$G570)=1,1,0))</f>
        <v>0</v>
      </c>
      <c r="J570" s="63" t="str">
        <f t="shared" si="41"/>
        <v/>
      </c>
      <c r="K570" s="63" t="str">
        <f>IF($H570="","",COUNTIF($H$2:$H570,"?*"))</f>
        <v/>
      </c>
    </row>
    <row r="571" spans="1:11" x14ac:dyDescent="0.25">
      <c r="A571" s="63" t="s">
        <v>554</v>
      </c>
      <c r="B571" s="63" t="s">
        <v>1126</v>
      </c>
      <c r="C571" s="63" t="s">
        <v>556</v>
      </c>
      <c r="D571" s="63" t="str">
        <f>IF('Barn - Back Rack'!AF52="","",TRIM('Barn - Back Rack'!AF52))</f>
        <v/>
      </c>
      <c r="E571" s="64" t="str">
        <f>IF($D571="","",'Barn - Back Rack'!AG52&amp;"")</f>
        <v/>
      </c>
      <c r="F571" s="63">
        <f t="shared" si="43"/>
        <v>0</v>
      </c>
      <c r="G571" s="64" t="str">
        <f t="shared" si="39"/>
        <v/>
      </c>
      <c r="H571" s="64" t="str">
        <f t="shared" si="40"/>
        <v/>
      </c>
      <c r="I571" s="63">
        <f>IF($G571="",0,IF(COUNTIF($G$2:$G571,$G571)=1,1,0))</f>
        <v>0</v>
      </c>
      <c r="J571" s="63" t="str">
        <f t="shared" si="41"/>
        <v/>
      </c>
      <c r="K571" s="63" t="str">
        <f>IF($H571="","",COUNTIF($H$2:$H571,"?*"))</f>
        <v/>
      </c>
    </row>
    <row r="572" spans="1:11" x14ac:dyDescent="0.25">
      <c r="A572" s="63" t="s">
        <v>554</v>
      </c>
      <c r="B572" s="63" t="s">
        <v>1127</v>
      </c>
      <c r="C572" s="63" t="s">
        <v>556</v>
      </c>
      <c r="D572" s="63" t="str">
        <f>IF('Barn - Back Rack'!AF53="","",TRIM('Barn - Back Rack'!AF53))</f>
        <v/>
      </c>
      <c r="E572" s="64" t="str">
        <f>IF($D572="","",'Barn - Back Rack'!AG53&amp;"")</f>
        <v/>
      </c>
      <c r="F572" s="63">
        <f t="shared" si="43"/>
        <v>0</v>
      </c>
      <c r="G572" s="64" t="str">
        <f t="shared" si="39"/>
        <v/>
      </c>
      <c r="H572" s="64" t="str">
        <f t="shared" si="40"/>
        <v/>
      </c>
      <c r="I572" s="63">
        <f>IF($G572="",0,IF(COUNTIF($G$2:$G572,$G572)=1,1,0))</f>
        <v>0</v>
      </c>
      <c r="J572" s="63" t="str">
        <f t="shared" si="41"/>
        <v/>
      </c>
      <c r="K572" s="63" t="str">
        <f>IF($H572="","",COUNTIF($H$2:$H572,"?*"))</f>
        <v/>
      </c>
    </row>
    <row r="573" spans="1:11" x14ac:dyDescent="0.25">
      <c r="A573" s="63" t="s">
        <v>554</v>
      </c>
      <c r="B573" s="63" t="s">
        <v>1128</v>
      </c>
      <c r="C573" s="63" t="s">
        <v>556</v>
      </c>
      <c r="D573" s="63" t="str">
        <f>IF('Barn - Back Rack'!AF54="","",TRIM('Barn - Back Rack'!AF54))</f>
        <v/>
      </c>
      <c r="E573" s="64" t="str">
        <f>IF($D573="","",'Barn - Back Rack'!AG54&amp;"")</f>
        <v/>
      </c>
      <c r="F573" s="63">
        <f t="shared" si="43"/>
        <v>0</v>
      </c>
      <c r="G573" s="64" t="str">
        <f t="shared" si="39"/>
        <v/>
      </c>
      <c r="H573" s="64" t="str">
        <f t="shared" si="40"/>
        <v/>
      </c>
      <c r="I573" s="63">
        <f>IF($G573="",0,IF(COUNTIF($G$2:$G573,$G573)=1,1,0))</f>
        <v>0</v>
      </c>
      <c r="J573" s="63" t="str">
        <f t="shared" si="41"/>
        <v/>
      </c>
      <c r="K573" s="63" t="str">
        <f>IF($H573="","",COUNTIF($H$2:$H573,"?*"))</f>
        <v/>
      </c>
    </row>
    <row r="574" spans="1:11" x14ac:dyDescent="0.25">
      <c r="A574" s="63" t="s">
        <v>554</v>
      </c>
      <c r="B574" s="63" t="s">
        <v>1129</v>
      </c>
      <c r="C574" s="63" t="s">
        <v>556</v>
      </c>
      <c r="D574" s="63" t="str">
        <f>IF('Barn - Back Rack'!AF55="","",TRIM('Barn - Back Rack'!AF55))</f>
        <v/>
      </c>
      <c r="E574" s="64" t="str">
        <f>IF($D574="","",'Barn - Back Rack'!AG55&amp;"")</f>
        <v/>
      </c>
      <c r="F574" s="63">
        <f t="shared" si="43"/>
        <v>0</v>
      </c>
      <c r="G574" s="64" t="str">
        <f t="shared" si="39"/>
        <v/>
      </c>
      <c r="H574" s="64" t="str">
        <f t="shared" si="40"/>
        <v/>
      </c>
      <c r="I574" s="63">
        <f>IF($G574="",0,IF(COUNTIF($G$2:$G574,$G574)=1,1,0))</f>
        <v>0</v>
      </c>
      <c r="J574" s="63" t="str">
        <f t="shared" si="41"/>
        <v/>
      </c>
      <c r="K574" s="63" t="str">
        <f>IF($H574="","",COUNTIF($H$2:$H574,"?*"))</f>
        <v/>
      </c>
    </row>
    <row r="575" spans="1:11" x14ac:dyDescent="0.25">
      <c r="A575" s="63" t="s">
        <v>554</v>
      </c>
      <c r="B575" s="63" t="s">
        <v>1130</v>
      </c>
      <c r="C575" s="63" t="s">
        <v>556</v>
      </c>
      <c r="D575" s="63" t="str">
        <f>IF('Barn - Back Rack'!AF56="","",TRIM('Barn - Back Rack'!AF56))</f>
        <v/>
      </c>
      <c r="E575" s="64" t="str">
        <f>IF($D575="","",'Barn - Back Rack'!AG56&amp;"")</f>
        <v/>
      </c>
      <c r="F575" s="63">
        <f t="shared" si="43"/>
        <v>0</v>
      </c>
      <c r="G575" s="64" t="str">
        <f t="shared" si="39"/>
        <v/>
      </c>
      <c r="H575" s="64" t="str">
        <f t="shared" si="40"/>
        <v/>
      </c>
      <c r="I575" s="63">
        <f>IF($G575="",0,IF(COUNTIF($G$2:$G575,$G575)=1,1,0))</f>
        <v>0</v>
      </c>
      <c r="J575" s="63" t="str">
        <f t="shared" si="41"/>
        <v/>
      </c>
      <c r="K575" s="63" t="str">
        <f>IF($H575="","",COUNTIF($H$2:$H575,"?*"))</f>
        <v/>
      </c>
    </row>
    <row r="576" spans="1:11" x14ac:dyDescent="0.25">
      <c r="A576" s="63" t="s">
        <v>554</v>
      </c>
      <c r="B576" s="63" t="s">
        <v>1131</v>
      </c>
      <c r="C576" s="63" t="s">
        <v>556</v>
      </c>
      <c r="D576" s="63" t="str">
        <f>IF('Barn - Back Rack'!AF57="","",TRIM('Barn - Back Rack'!AF57))</f>
        <v/>
      </c>
      <c r="E576" s="64" t="str">
        <f>IF($D576="","",'Barn - Back Rack'!AG57&amp;"")</f>
        <v/>
      </c>
      <c r="F576" s="63">
        <f t="shared" si="43"/>
        <v>0</v>
      </c>
      <c r="G576" s="64" t="str">
        <f t="shared" si="39"/>
        <v/>
      </c>
      <c r="H576" s="64" t="str">
        <f t="shared" si="40"/>
        <v/>
      </c>
      <c r="I576" s="63">
        <f>IF($G576="",0,IF(COUNTIF($G$2:$G576,$G576)=1,1,0))</f>
        <v>0</v>
      </c>
      <c r="J576" s="63" t="str">
        <f t="shared" si="41"/>
        <v/>
      </c>
      <c r="K576" s="63" t="str">
        <f>IF($H576="","",COUNTIF($H$2:$H576,"?*"))</f>
        <v/>
      </c>
    </row>
    <row r="577" spans="1:11" x14ac:dyDescent="0.25">
      <c r="A577" s="63" t="s">
        <v>554</v>
      </c>
      <c r="B577" s="63" t="s">
        <v>1132</v>
      </c>
      <c r="C577" s="63" t="s">
        <v>556</v>
      </c>
      <c r="D577" s="63" t="str">
        <f>IF('Barn - Back Rack'!AF58="","",TRIM('Barn - Back Rack'!AF58))</f>
        <v/>
      </c>
      <c r="E577" s="64" t="str">
        <f>IF($D577="","",'Barn - Back Rack'!AG58&amp;"")</f>
        <v/>
      </c>
      <c r="F577" s="63">
        <f t="shared" si="43"/>
        <v>0</v>
      </c>
      <c r="G577" s="64" t="str">
        <f t="shared" si="39"/>
        <v/>
      </c>
      <c r="H577" s="64" t="str">
        <f t="shared" si="40"/>
        <v/>
      </c>
      <c r="I577" s="63">
        <f>IF($G577="",0,IF(COUNTIF($G$2:$G577,$G577)=1,1,0))</f>
        <v>0</v>
      </c>
      <c r="J577" s="63" t="str">
        <f t="shared" si="41"/>
        <v/>
      </c>
      <c r="K577" s="63" t="str">
        <f>IF($H577="","",COUNTIF($H$2:$H577,"?*"))</f>
        <v/>
      </c>
    </row>
    <row r="578" spans="1:11" x14ac:dyDescent="0.25">
      <c r="A578" s="63" t="s">
        <v>554</v>
      </c>
      <c r="B578" s="63" t="s">
        <v>1133</v>
      </c>
      <c r="C578" s="63" t="s">
        <v>556</v>
      </c>
      <c r="D578" s="63" t="str">
        <f>IF('Barn - Back Rack'!B64="","",TRIM('Barn - Back Rack'!B64))</f>
        <v/>
      </c>
      <c r="E578" s="64" t="str">
        <f>IF($D578="","",'Barn - Back Rack'!C64&amp;"")</f>
        <v/>
      </c>
      <c r="F578" s="63">
        <f t="shared" si="43"/>
        <v>0</v>
      </c>
      <c r="G578" s="64" t="str">
        <f t="shared" ref="G578:G641" si="44">IF($D578="","",IF(ISNUMBER(FIND("(",$D578)),TRIM(LEFT($D578,FIND("(",$D578)-1)),$D578))</f>
        <v/>
      </c>
      <c r="H578" s="64" t="str">
        <f t="shared" ref="H578:H641" si="45">IF($D578="","",IF(ISNUMBER(FIND("(",$D578)),TRIM(SUBSTITUTE(MID($D578,FIND("(",$D578)+1,200),")","")),""))</f>
        <v/>
      </c>
      <c r="I578" s="63">
        <f>IF($G578="",0,IF(COUNTIF($G$2:$G578,$G578)=1,1,0))</f>
        <v>0</v>
      </c>
      <c r="J578" s="63" t="str">
        <f t="shared" ref="J578:J641" si="46">IF($I578=0,"",SUMPRODUCT(($I$2:$I$1513=1)*($G$2:$G$1513&lt;$G578))+1)</f>
        <v/>
      </c>
      <c r="K578" s="63" t="str">
        <f>IF($H578="","",COUNTIF($H$2:$H578,"?*"))</f>
        <v/>
      </c>
    </row>
    <row r="579" spans="1:11" x14ac:dyDescent="0.25">
      <c r="A579" s="63" t="s">
        <v>554</v>
      </c>
      <c r="B579" s="63" t="s">
        <v>1134</v>
      </c>
      <c r="C579" s="63" t="s">
        <v>556</v>
      </c>
      <c r="D579" s="63" t="str">
        <f>IF('Barn - Back Rack'!B65="","",TRIM('Barn - Back Rack'!B65))</f>
        <v/>
      </c>
      <c r="E579" s="64" t="str">
        <f>IF($D579="","",'Barn - Back Rack'!C65&amp;"")</f>
        <v/>
      </c>
      <c r="F579" s="63">
        <f t="shared" si="43"/>
        <v>0</v>
      </c>
      <c r="G579" s="64" t="str">
        <f t="shared" si="44"/>
        <v/>
      </c>
      <c r="H579" s="64" t="str">
        <f t="shared" si="45"/>
        <v/>
      </c>
      <c r="I579" s="63">
        <f>IF($G579="",0,IF(COUNTIF($G$2:$G579,$G579)=1,1,0))</f>
        <v>0</v>
      </c>
      <c r="J579" s="63" t="str">
        <f t="shared" si="46"/>
        <v/>
      </c>
      <c r="K579" s="63" t="str">
        <f>IF($H579="","",COUNTIF($H$2:$H579,"?*"))</f>
        <v/>
      </c>
    </row>
    <row r="580" spans="1:11" x14ac:dyDescent="0.25">
      <c r="A580" s="63" t="s">
        <v>554</v>
      </c>
      <c r="B580" s="63" t="s">
        <v>1135</v>
      </c>
      <c r="C580" s="63" t="s">
        <v>556</v>
      </c>
      <c r="D580" s="63" t="str">
        <f>IF('Barn - Back Rack'!B66="","",TRIM('Barn - Back Rack'!B66))</f>
        <v/>
      </c>
      <c r="E580" s="64" t="str">
        <f>IF($D580="","",'Barn - Back Rack'!C66&amp;"")</f>
        <v/>
      </c>
      <c r="F580" s="63">
        <f t="shared" si="43"/>
        <v>0</v>
      </c>
      <c r="G580" s="64" t="str">
        <f t="shared" si="44"/>
        <v/>
      </c>
      <c r="H580" s="64" t="str">
        <f t="shared" si="45"/>
        <v/>
      </c>
      <c r="I580" s="63">
        <f>IF($G580="",0,IF(COUNTIF($G$2:$G580,$G580)=1,1,0))</f>
        <v>0</v>
      </c>
      <c r="J580" s="63" t="str">
        <f t="shared" si="46"/>
        <v/>
      </c>
      <c r="K580" s="63" t="str">
        <f>IF($H580="","",COUNTIF($H$2:$H580,"?*"))</f>
        <v/>
      </c>
    </row>
    <row r="581" spans="1:11" x14ac:dyDescent="0.25">
      <c r="A581" s="63" t="s">
        <v>554</v>
      </c>
      <c r="B581" s="63" t="s">
        <v>1136</v>
      </c>
      <c r="C581" s="63" t="s">
        <v>556</v>
      </c>
      <c r="D581" s="63" t="str">
        <f>IF('Barn - Back Rack'!B67="","",TRIM('Barn - Back Rack'!B67))</f>
        <v/>
      </c>
      <c r="E581" s="64" t="str">
        <f>IF($D581="","",'Barn - Back Rack'!C67&amp;"")</f>
        <v/>
      </c>
      <c r="F581" s="63">
        <f t="shared" si="43"/>
        <v>0</v>
      </c>
      <c r="G581" s="64" t="str">
        <f t="shared" si="44"/>
        <v/>
      </c>
      <c r="H581" s="64" t="str">
        <f t="shared" si="45"/>
        <v/>
      </c>
      <c r="I581" s="63">
        <f>IF($G581="",0,IF(COUNTIF($G$2:$G581,$G581)=1,1,0))</f>
        <v>0</v>
      </c>
      <c r="J581" s="63" t="str">
        <f t="shared" si="46"/>
        <v/>
      </c>
      <c r="K581" s="63" t="str">
        <f>IF($H581="","",COUNTIF($H$2:$H581,"?*"))</f>
        <v/>
      </c>
    </row>
    <row r="582" spans="1:11" x14ac:dyDescent="0.25">
      <c r="A582" s="63" t="s">
        <v>554</v>
      </c>
      <c r="B582" s="63" t="s">
        <v>1137</v>
      </c>
      <c r="C582" s="63" t="s">
        <v>556</v>
      </c>
      <c r="D582" s="63" t="str">
        <f>IF('Barn - Back Rack'!B68="","",TRIM('Barn - Back Rack'!B68))</f>
        <v/>
      </c>
      <c r="E582" s="64" t="str">
        <f>IF($D582="","",'Barn - Back Rack'!C68&amp;"")</f>
        <v/>
      </c>
      <c r="F582" s="63">
        <f t="shared" si="43"/>
        <v>0</v>
      </c>
      <c r="G582" s="64" t="str">
        <f t="shared" si="44"/>
        <v/>
      </c>
      <c r="H582" s="64" t="str">
        <f t="shared" si="45"/>
        <v/>
      </c>
      <c r="I582" s="63">
        <f>IF($G582="",0,IF(COUNTIF($G$2:$G582,$G582)=1,1,0))</f>
        <v>0</v>
      </c>
      <c r="J582" s="63" t="str">
        <f t="shared" si="46"/>
        <v/>
      </c>
      <c r="K582" s="63" t="str">
        <f>IF($H582="","",COUNTIF($H$2:$H582,"?*"))</f>
        <v/>
      </c>
    </row>
    <row r="583" spans="1:11" x14ac:dyDescent="0.25">
      <c r="A583" s="63" t="s">
        <v>554</v>
      </c>
      <c r="B583" s="63" t="s">
        <v>1138</v>
      </c>
      <c r="C583" s="63" t="s">
        <v>556</v>
      </c>
      <c r="D583" s="63" t="str">
        <f>IF('Barn - Back Rack'!B69="","",TRIM('Barn - Back Rack'!B69))</f>
        <v/>
      </c>
      <c r="E583" s="64" t="str">
        <f>IF($D583="","",'Barn - Back Rack'!C69&amp;"")</f>
        <v/>
      </c>
      <c r="F583" s="63">
        <f t="shared" si="43"/>
        <v>0</v>
      </c>
      <c r="G583" s="64" t="str">
        <f t="shared" si="44"/>
        <v/>
      </c>
      <c r="H583" s="64" t="str">
        <f t="shared" si="45"/>
        <v/>
      </c>
      <c r="I583" s="63">
        <f>IF($G583="",0,IF(COUNTIF($G$2:$G583,$G583)=1,1,0))</f>
        <v>0</v>
      </c>
      <c r="J583" s="63" t="str">
        <f t="shared" si="46"/>
        <v/>
      </c>
      <c r="K583" s="63" t="str">
        <f>IF($H583="","",COUNTIF($H$2:$H583,"?*"))</f>
        <v/>
      </c>
    </row>
    <row r="584" spans="1:11" x14ac:dyDescent="0.25">
      <c r="A584" s="63" t="s">
        <v>554</v>
      </c>
      <c r="B584" s="63" t="s">
        <v>1139</v>
      </c>
      <c r="C584" s="63" t="s">
        <v>556</v>
      </c>
      <c r="D584" s="63" t="str">
        <f>IF('Barn - Back Rack'!B70="","",TRIM('Barn - Back Rack'!B70))</f>
        <v/>
      </c>
      <c r="E584" s="64" t="str">
        <f>IF($D584="","",'Barn - Back Rack'!C70&amp;"")</f>
        <v/>
      </c>
      <c r="F584" s="63">
        <f t="shared" si="43"/>
        <v>0</v>
      </c>
      <c r="G584" s="64" t="str">
        <f t="shared" si="44"/>
        <v/>
      </c>
      <c r="H584" s="64" t="str">
        <f t="shared" si="45"/>
        <v/>
      </c>
      <c r="I584" s="63">
        <f>IF($G584="",0,IF(COUNTIF($G$2:$G584,$G584)=1,1,0))</f>
        <v>0</v>
      </c>
      <c r="J584" s="63" t="str">
        <f t="shared" si="46"/>
        <v/>
      </c>
      <c r="K584" s="63" t="str">
        <f>IF($H584="","",COUNTIF($H$2:$H584,"?*"))</f>
        <v/>
      </c>
    </row>
    <row r="585" spans="1:11" x14ac:dyDescent="0.25">
      <c r="A585" s="63" t="s">
        <v>554</v>
      </c>
      <c r="B585" s="63" t="s">
        <v>1140</v>
      </c>
      <c r="C585" s="63" t="s">
        <v>556</v>
      </c>
      <c r="D585" s="63" t="str">
        <f>IF('Barn - Back Rack'!B71="","",TRIM('Barn - Back Rack'!B71))</f>
        <v/>
      </c>
      <c r="E585" s="64" t="str">
        <f>IF($D585="","",'Barn - Back Rack'!C71&amp;"")</f>
        <v/>
      </c>
      <c r="F585" s="63">
        <f t="shared" si="43"/>
        <v>0</v>
      </c>
      <c r="G585" s="64" t="str">
        <f t="shared" si="44"/>
        <v/>
      </c>
      <c r="H585" s="64" t="str">
        <f t="shared" si="45"/>
        <v/>
      </c>
      <c r="I585" s="63">
        <f>IF($G585="",0,IF(COUNTIF($G$2:$G585,$G585)=1,1,0))</f>
        <v>0</v>
      </c>
      <c r="J585" s="63" t="str">
        <f t="shared" si="46"/>
        <v/>
      </c>
      <c r="K585" s="63" t="str">
        <f>IF($H585="","",COUNTIF($H$2:$H585,"?*"))</f>
        <v/>
      </c>
    </row>
    <row r="586" spans="1:11" x14ac:dyDescent="0.25">
      <c r="A586" s="63" t="s">
        <v>554</v>
      </c>
      <c r="B586" s="63" t="s">
        <v>1141</v>
      </c>
      <c r="C586" s="63" t="s">
        <v>556</v>
      </c>
      <c r="D586" s="63" t="str">
        <f>IF('Barn - Back Rack'!B72="","",TRIM('Barn - Back Rack'!B72))</f>
        <v/>
      </c>
      <c r="E586" s="64" t="str">
        <f>IF($D586="","",'Barn - Back Rack'!C72&amp;"")</f>
        <v/>
      </c>
      <c r="F586" s="63">
        <f t="shared" ref="F586:F617" si="47">IF($D586="",0,1)</f>
        <v>0</v>
      </c>
      <c r="G586" s="64" t="str">
        <f t="shared" si="44"/>
        <v/>
      </c>
      <c r="H586" s="64" t="str">
        <f t="shared" si="45"/>
        <v/>
      </c>
      <c r="I586" s="63">
        <f>IF($G586="",0,IF(COUNTIF($G$2:$G586,$G586)=1,1,0))</f>
        <v>0</v>
      </c>
      <c r="J586" s="63" t="str">
        <f t="shared" si="46"/>
        <v/>
      </c>
      <c r="K586" s="63" t="str">
        <f>IF($H586="","",COUNTIF($H$2:$H586,"?*"))</f>
        <v/>
      </c>
    </row>
    <row r="587" spans="1:11" x14ac:dyDescent="0.25">
      <c r="A587" s="63" t="s">
        <v>554</v>
      </c>
      <c r="B587" s="63" t="s">
        <v>1142</v>
      </c>
      <c r="C587" s="63" t="s">
        <v>556</v>
      </c>
      <c r="D587" s="63" t="str">
        <f>IF('Barn - Back Rack'!B73="","",TRIM('Barn - Back Rack'!B73))</f>
        <v/>
      </c>
      <c r="E587" s="64" t="str">
        <f>IF($D587="","",'Barn - Back Rack'!C73&amp;"")</f>
        <v/>
      </c>
      <c r="F587" s="63">
        <f t="shared" si="47"/>
        <v>0</v>
      </c>
      <c r="G587" s="64" t="str">
        <f t="shared" si="44"/>
        <v/>
      </c>
      <c r="H587" s="64" t="str">
        <f t="shared" si="45"/>
        <v/>
      </c>
      <c r="I587" s="63">
        <f>IF($G587="",0,IF(COUNTIF($G$2:$G587,$G587)=1,1,0))</f>
        <v>0</v>
      </c>
      <c r="J587" s="63" t="str">
        <f t="shared" si="46"/>
        <v/>
      </c>
      <c r="K587" s="63" t="str">
        <f>IF($H587="","",COUNTIF($H$2:$H587,"?*"))</f>
        <v/>
      </c>
    </row>
    <row r="588" spans="1:11" x14ac:dyDescent="0.25">
      <c r="A588" s="63" t="s">
        <v>554</v>
      </c>
      <c r="B588" s="63" t="s">
        <v>1143</v>
      </c>
      <c r="C588" s="63" t="s">
        <v>556</v>
      </c>
      <c r="D588" s="63" t="str">
        <f>IF('Barn - Back Rack'!B74="","",TRIM('Barn - Back Rack'!B74))</f>
        <v/>
      </c>
      <c r="E588" s="64" t="str">
        <f>IF($D588="","",'Barn - Back Rack'!C74&amp;"")</f>
        <v/>
      </c>
      <c r="F588" s="63">
        <f t="shared" si="47"/>
        <v>0</v>
      </c>
      <c r="G588" s="64" t="str">
        <f t="shared" si="44"/>
        <v/>
      </c>
      <c r="H588" s="64" t="str">
        <f t="shared" si="45"/>
        <v/>
      </c>
      <c r="I588" s="63">
        <f>IF($G588="",0,IF(COUNTIF($G$2:$G588,$G588)=1,1,0))</f>
        <v>0</v>
      </c>
      <c r="J588" s="63" t="str">
        <f t="shared" si="46"/>
        <v/>
      </c>
      <c r="K588" s="63" t="str">
        <f>IF($H588="","",COUNTIF($H$2:$H588,"?*"))</f>
        <v/>
      </c>
    </row>
    <row r="589" spans="1:11" x14ac:dyDescent="0.25">
      <c r="A589" s="63" t="s">
        <v>554</v>
      </c>
      <c r="B589" s="63" t="s">
        <v>1144</v>
      </c>
      <c r="C589" s="63" t="s">
        <v>556</v>
      </c>
      <c r="D589" s="63" t="str">
        <f>IF('Barn - Back Rack'!B75="","",TRIM('Barn - Back Rack'!B75))</f>
        <v/>
      </c>
      <c r="E589" s="64" t="str">
        <f>IF($D589="","",'Barn - Back Rack'!C75&amp;"")</f>
        <v/>
      </c>
      <c r="F589" s="63">
        <f t="shared" si="47"/>
        <v>0</v>
      </c>
      <c r="G589" s="64" t="str">
        <f t="shared" si="44"/>
        <v/>
      </c>
      <c r="H589" s="64" t="str">
        <f t="shared" si="45"/>
        <v/>
      </c>
      <c r="I589" s="63">
        <f>IF($G589="",0,IF(COUNTIF($G$2:$G589,$G589)=1,1,0))</f>
        <v>0</v>
      </c>
      <c r="J589" s="63" t="str">
        <f t="shared" si="46"/>
        <v/>
      </c>
      <c r="K589" s="63" t="str">
        <f>IF($H589="","",COUNTIF($H$2:$H589,"?*"))</f>
        <v/>
      </c>
    </row>
    <row r="590" spans="1:11" x14ac:dyDescent="0.25">
      <c r="A590" s="63" t="s">
        <v>554</v>
      </c>
      <c r="B590" s="63" t="s">
        <v>1145</v>
      </c>
      <c r="C590" s="63" t="s">
        <v>556</v>
      </c>
      <c r="D590" s="63" t="str">
        <f>IF('Barn - Back Rack'!D64="","",TRIM('Barn - Back Rack'!D64))</f>
        <v/>
      </c>
      <c r="E590" s="64" t="str">
        <f>IF($D590="","",'Barn - Back Rack'!E64&amp;"")</f>
        <v/>
      </c>
      <c r="F590" s="63">
        <f t="shared" si="47"/>
        <v>0</v>
      </c>
      <c r="G590" s="64" t="str">
        <f t="shared" si="44"/>
        <v/>
      </c>
      <c r="H590" s="64" t="str">
        <f t="shared" si="45"/>
        <v/>
      </c>
      <c r="I590" s="63">
        <f>IF($G590="",0,IF(COUNTIF($G$2:$G590,$G590)=1,1,0))</f>
        <v>0</v>
      </c>
      <c r="J590" s="63" t="str">
        <f t="shared" si="46"/>
        <v/>
      </c>
      <c r="K590" s="63" t="str">
        <f>IF($H590="","",COUNTIF($H$2:$H590,"?*"))</f>
        <v/>
      </c>
    </row>
    <row r="591" spans="1:11" x14ac:dyDescent="0.25">
      <c r="A591" s="63" t="s">
        <v>554</v>
      </c>
      <c r="B591" s="63" t="s">
        <v>1146</v>
      </c>
      <c r="C591" s="63" t="s">
        <v>556</v>
      </c>
      <c r="D591" s="63" t="str">
        <f>IF('Barn - Back Rack'!D65="","",TRIM('Barn - Back Rack'!D65))</f>
        <v/>
      </c>
      <c r="E591" s="64" t="str">
        <f>IF($D591="","",'Barn - Back Rack'!E65&amp;"")</f>
        <v/>
      </c>
      <c r="F591" s="63">
        <f t="shared" si="47"/>
        <v>0</v>
      </c>
      <c r="G591" s="64" t="str">
        <f t="shared" si="44"/>
        <v/>
      </c>
      <c r="H591" s="64" t="str">
        <f t="shared" si="45"/>
        <v/>
      </c>
      <c r="I591" s="63">
        <f>IF($G591="",0,IF(COUNTIF($G$2:$G591,$G591)=1,1,0))</f>
        <v>0</v>
      </c>
      <c r="J591" s="63" t="str">
        <f t="shared" si="46"/>
        <v/>
      </c>
      <c r="K591" s="63" t="str">
        <f>IF($H591="","",COUNTIF($H$2:$H591,"?*"))</f>
        <v/>
      </c>
    </row>
    <row r="592" spans="1:11" x14ac:dyDescent="0.25">
      <c r="A592" s="63" t="s">
        <v>554</v>
      </c>
      <c r="B592" s="63" t="s">
        <v>1147</v>
      </c>
      <c r="C592" s="63" t="s">
        <v>556</v>
      </c>
      <c r="D592" s="63" t="str">
        <f>IF('Barn - Back Rack'!D66="","",TRIM('Barn - Back Rack'!D66))</f>
        <v/>
      </c>
      <c r="E592" s="64" t="str">
        <f>IF($D592="","",'Barn - Back Rack'!E66&amp;"")</f>
        <v/>
      </c>
      <c r="F592" s="63">
        <f t="shared" si="47"/>
        <v>0</v>
      </c>
      <c r="G592" s="64" t="str">
        <f t="shared" si="44"/>
        <v/>
      </c>
      <c r="H592" s="64" t="str">
        <f t="shared" si="45"/>
        <v/>
      </c>
      <c r="I592" s="63">
        <f>IF($G592="",0,IF(COUNTIF($G$2:$G592,$G592)=1,1,0))</f>
        <v>0</v>
      </c>
      <c r="J592" s="63" t="str">
        <f t="shared" si="46"/>
        <v/>
      </c>
      <c r="K592" s="63" t="str">
        <f>IF($H592="","",COUNTIF($H$2:$H592,"?*"))</f>
        <v/>
      </c>
    </row>
    <row r="593" spans="1:11" x14ac:dyDescent="0.25">
      <c r="A593" s="63" t="s">
        <v>554</v>
      </c>
      <c r="B593" s="63" t="s">
        <v>1148</v>
      </c>
      <c r="C593" s="63" t="s">
        <v>556</v>
      </c>
      <c r="D593" s="63" t="str">
        <f>IF('Barn - Back Rack'!D67="","",TRIM('Barn - Back Rack'!D67))</f>
        <v/>
      </c>
      <c r="E593" s="64" t="str">
        <f>IF($D593="","",'Barn - Back Rack'!E67&amp;"")</f>
        <v/>
      </c>
      <c r="F593" s="63">
        <f t="shared" si="47"/>
        <v>0</v>
      </c>
      <c r="G593" s="64" t="str">
        <f t="shared" si="44"/>
        <v/>
      </c>
      <c r="H593" s="64" t="str">
        <f t="shared" si="45"/>
        <v/>
      </c>
      <c r="I593" s="63">
        <f>IF($G593="",0,IF(COUNTIF($G$2:$G593,$G593)=1,1,0))</f>
        <v>0</v>
      </c>
      <c r="J593" s="63" t="str">
        <f t="shared" si="46"/>
        <v/>
      </c>
      <c r="K593" s="63" t="str">
        <f>IF($H593="","",COUNTIF($H$2:$H593,"?*"))</f>
        <v/>
      </c>
    </row>
    <row r="594" spans="1:11" x14ac:dyDescent="0.25">
      <c r="A594" s="63" t="s">
        <v>554</v>
      </c>
      <c r="B594" s="63" t="s">
        <v>1149</v>
      </c>
      <c r="C594" s="63" t="s">
        <v>556</v>
      </c>
      <c r="D594" s="63" t="str">
        <f>IF('Barn - Back Rack'!D68="","",TRIM('Barn - Back Rack'!D68))</f>
        <v/>
      </c>
      <c r="E594" s="64" t="str">
        <f>IF($D594="","",'Barn - Back Rack'!E68&amp;"")</f>
        <v/>
      </c>
      <c r="F594" s="63">
        <f t="shared" si="47"/>
        <v>0</v>
      </c>
      <c r="G594" s="64" t="str">
        <f t="shared" si="44"/>
        <v/>
      </c>
      <c r="H594" s="64" t="str">
        <f t="shared" si="45"/>
        <v/>
      </c>
      <c r="I594" s="63">
        <f>IF($G594="",0,IF(COUNTIF($G$2:$G594,$G594)=1,1,0))</f>
        <v>0</v>
      </c>
      <c r="J594" s="63" t="str">
        <f t="shared" si="46"/>
        <v/>
      </c>
      <c r="K594" s="63" t="str">
        <f>IF($H594="","",COUNTIF($H$2:$H594,"?*"))</f>
        <v/>
      </c>
    </row>
    <row r="595" spans="1:11" x14ac:dyDescent="0.25">
      <c r="A595" s="63" t="s">
        <v>554</v>
      </c>
      <c r="B595" s="63" t="s">
        <v>1150</v>
      </c>
      <c r="C595" s="63" t="s">
        <v>556</v>
      </c>
      <c r="D595" s="63" t="str">
        <f>IF('Barn - Back Rack'!D69="","",TRIM('Barn - Back Rack'!D69))</f>
        <v/>
      </c>
      <c r="E595" s="64" t="str">
        <f>IF($D595="","",'Barn - Back Rack'!E69&amp;"")</f>
        <v/>
      </c>
      <c r="F595" s="63">
        <f t="shared" si="47"/>
        <v>0</v>
      </c>
      <c r="G595" s="64" t="str">
        <f t="shared" si="44"/>
        <v/>
      </c>
      <c r="H595" s="64" t="str">
        <f t="shared" si="45"/>
        <v/>
      </c>
      <c r="I595" s="63">
        <f>IF($G595="",0,IF(COUNTIF($G$2:$G595,$G595)=1,1,0))</f>
        <v>0</v>
      </c>
      <c r="J595" s="63" t="str">
        <f t="shared" si="46"/>
        <v/>
      </c>
      <c r="K595" s="63" t="str">
        <f>IF($H595="","",COUNTIF($H$2:$H595,"?*"))</f>
        <v/>
      </c>
    </row>
    <row r="596" spans="1:11" x14ac:dyDescent="0.25">
      <c r="A596" s="63" t="s">
        <v>554</v>
      </c>
      <c r="B596" s="63" t="s">
        <v>1151</v>
      </c>
      <c r="C596" s="63" t="s">
        <v>556</v>
      </c>
      <c r="D596" s="63" t="str">
        <f>IF('Barn - Back Rack'!D70="","",TRIM('Barn - Back Rack'!D70))</f>
        <v/>
      </c>
      <c r="E596" s="64" t="str">
        <f>IF($D596="","",'Barn - Back Rack'!E70&amp;"")</f>
        <v/>
      </c>
      <c r="F596" s="63">
        <f t="shared" si="47"/>
        <v>0</v>
      </c>
      <c r="G596" s="64" t="str">
        <f t="shared" si="44"/>
        <v/>
      </c>
      <c r="H596" s="64" t="str">
        <f t="shared" si="45"/>
        <v/>
      </c>
      <c r="I596" s="63">
        <f>IF($G596="",0,IF(COUNTIF($G$2:$G596,$G596)=1,1,0))</f>
        <v>0</v>
      </c>
      <c r="J596" s="63" t="str">
        <f t="shared" si="46"/>
        <v/>
      </c>
      <c r="K596" s="63" t="str">
        <f>IF($H596="","",COUNTIF($H$2:$H596,"?*"))</f>
        <v/>
      </c>
    </row>
    <row r="597" spans="1:11" x14ac:dyDescent="0.25">
      <c r="A597" s="63" t="s">
        <v>554</v>
      </c>
      <c r="B597" s="63" t="s">
        <v>1152</v>
      </c>
      <c r="C597" s="63" t="s">
        <v>556</v>
      </c>
      <c r="D597" s="63" t="str">
        <f>IF('Barn - Back Rack'!D71="","",TRIM('Barn - Back Rack'!D71))</f>
        <v/>
      </c>
      <c r="E597" s="64" t="str">
        <f>IF($D597="","",'Barn - Back Rack'!E71&amp;"")</f>
        <v/>
      </c>
      <c r="F597" s="63">
        <f t="shared" si="47"/>
        <v>0</v>
      </c>
      <c r="G597" s="64" t="str">
        <f t="shared" si="44"/>
        <v/>
      </c>
      <c r="H597" s="64" t="str">
        <f t="shared" si="45"/>
        <v/>
      </c>
      <c r="I597" s="63">
        <f>IF($G597="",0,IF(COUNTIF($G$2:$G597,$G597)=1,1,0))</f>
        <v>0</v>
      </c>
      <c r="J597" s="63" t="str">
        <f t="shared" si="46"/>
        <v/>
      </c>
      <c r="K597" s="63" t="str">
        <f>IF($H597="","",COUNTIF($H$2:$H597,"?*"))</f>
        <v/>
      </c>
    </row>
    <row r="598" spans="1:11" x14ac:dyDescent="0.25">
      <c r="A598" s="63" t="s">
        <v>554</v>
      </c>
      <c r="B598" s="63" t="s">
        <v>1153</v>
      </c>
      <c r="C598" s="63" t="s">
        <v>556</v>
      </c>
      <c r="D598" s="63" t="str">
        <f>IF('Barn - Back Rack'!D72="","",TRIM('Barn - Back Rack'!D72))</f>
        <v/>
      </c>
      <c r="E598" s="64" t="str">
        <f>IF($D598="","",'Barn - Back Rack'!E72&amp;"")</f>
        <v/>
      </c>
      <c r="F598" s="63">
        <f t="shared" si="47"/>
        <v>0</v>
      </c>
      <c r="G598" s="64" t="str">
        <f t="shared" si="44"/>
        <v/>
      </c>
      <c r="H598" s="64" t="str">
        <f t="shared" si="45"/>
        <v/>
      </c>
      <c r="I598" s="63">
        <f>IF($G598="",0,IF(COUNTIF($G$2:$G598,$G598)=1,1,0))</f>
        <v>0</v>
      </c>
      <c r="J598" s="63" t="str">
        <f t="shared" si="46"/>
        <v/>
      </c>
      <c r="K598" s="63" t="str">
        <f>IF($H598="","",COUNTIF($H$2:$H598,"?*"))</f>
        <v/>
      </c>
    </row>
    <row r="599" spans="1:11" x14ac:dyDescent="0.25">
      <c r="A599" s="63" t="s">
        <v>554</v>
      </c>
      <c r="B599" s="63" t="s">
        <v>1154</v>
      </c>
      <c r="C599" s="63" t="s">
        <v>556</v>
      </c>
      <c r="D599" s="63" t="str">
        <f>IF('Barn - Back Rack'!D73="","",TRIM('Barn - Back Rack'!D73))</f>
        <v/>
      </c>
      <c r="E599" s="64" t="str">
        <f>IF($D599="","",'Barn - Back Rack'!E73&amp;"")</f>
        <v/>
      </c>
      <c r="F599" s="63">
        <f t="shared" si="47"/>
        <v>0</v>
      </c>
      <c r="G599" s="64" t="str">
        <f t="shared" si="44"/>
        <v/>
      </c>
      <c r="H599" s="64" t="str">
        <f t="shared" si="45"/>
        <v/>
      </c>
      <c r="I599" s="63">
        <f>IF($G599="",0,IF(COUNTIF($G$2:$G599,$G599)=1,1,0))</f>
        <v>0</v>
      </c>
      <c r="J599" s="63" t="str">
        <f t="shared" si="46"/>
        <v/>
      </c>
      <c r="K599" s="63" t="str">
        <f>IF($H599="","",COUNTIF($H$2:$H599,"?*"))</f>
        <v/>
      </c>
    </row>
    <row r="600" spans="1:11" x14ac:dyDescent="0.25">
      <c r="A600" s="63" t="s">
        <v>554</v>
      </c>
      <c r="B600" s="63" t="s">
        <v>1155</v>
      </c>
      <c r="C600" s="63" t="s">
        <v>556</v>
      </c>
      <c r="D600" s="63" t="str">
        <f>IF('Barn - Back Rack'!D74="","",TRIM('Barn - Back Rack'!D74))</f>
        <v/>
      </c>
      <c r="E600" s="64" t="str">
        <f>IF($D600="","",'Barn - Back Rack'!E74&amp;"")</f>
        <v/>
      </c>
      <c r="F600" s="63">
        <f t="shared" si="47"/>
        <v>0</v>
      </c>
      <c r="G600" s="64" t="str">
        <f t="shared" si="44"/>
        <v/>
      </c>
      <c r="H600" s="64" t="str">
        <f t="shared" si="45"/>
        <v/>
      </c>
      <c r="I600" s="63">
        <f>IF($G600="",0,IF(COUNTIF($G$2:$G600,$G600)=1,1,0))</f>
        <v>0</v>
      </c>
      <c r="J600" s="63" t="str">
        <f t="shared" si="46"/>
        <v/>
      </c>
      <c r="K600" s="63" t="str">
        <f>IF($H600="","",COUNTIF($H$2:$H600,"?*"))</f>
        <v/>
      </c>
    </row>
    <row r="601" spans="1:11" x14ac:dyDescent="0.25">
      <c r="A601" s="63" t="s">
        <v>554</v>
      </c>
      <c r="B601" s="63" t="s">
        <v>1156</v>
      </c>
      <c r="C601" s="63" t="s">
        <v>556</v>
      </c>
      <c r="D601" s="63" t="str">
        <f>IF('Barn - Back Rack'!D75="","",TRIM('Barn - Back Rack'!D75))</f>
        <v/>
      </c>
      <c r="E601" s="64" t="str">
        <f>IF($D601="","",'Barn - Back Rack'!E75&amp;"")</f>
        <v/>
      </c>
      <c r="F601" s="63">
        <f t="shared" si="47"/>
        <v>0</v>
      </c>
      <c r="G601" s="64" t="str">
        <f t="shared" si="44"/>
        <v/>
      </c>
      <c r="H601" s="64" t="str">
        <f t="shared" si="45"/>
        <v/>
      </c>
      <c r="I601" s="63">
        <f>IF($G601="",0,IF(COUNTIF($G$2:$G601,$G601)=1,1,0))</f>
        <v>0</v>
      </c>
      <c r="J601" s="63" t="str">
        <f t="shared" si="46"/>
        <v/>
      </c>
      <c r="K601" s="63" t="str">
        <f>IF($H601="","",COUNTIF($H$2:$H601,"?*"))</f>
        <v/>
      </c>
    </row>
    <row r="602" spans="1:11" x14ac:dyDescent="0.25">
      <c r="A602" s="63" t="s">
        <v>554</v>
      </c>
      <c r="B602" s="63" t="s">
        <v>1157</v>
      </c>
      <c r="C602" s="63" t="s">
        <v>556</v>
      </c>
      <c r="D602" s="63" t="str">
        <f>IF('Barn - Back Rack'!F64="","",TRIM('Barn - Back Rack'!F64))</f>
        <v/>
      </c>
      <c r="E602" s="64" t="str">
        <f>IF($D602="","",'Barn - Back Rack'!G64&amp;"")</f>
        <v/>
      </c>
      <c r="F602" s="63">
        <f t="shared" si="47"/>
        <v>0</v>
      </c>
      <c r="G602" s="64" t="str">
        <f t="shared" si="44"/>
        <v/>
      </c>
      <c r="H602" s="64" t="str">
        <f t="shared" si="45"/>
        <v/>
      </c>
      <c r="I602" s="63">
        <f>IF($G602="",0,IF(COUNTIF($G$2:$G602,$G602)=1,1,0))</f>
        <v>0</v>
      </c>
      <c r="J602" s="63" t="str">
        <f t="shared" si="46"/>
        <v/>
      </c>
      <c r="K602" s="63" t="str">
        <f>IF($H602="","",COUNTIF($H$2:$H602,"?*"))</f>
        <v/>
      </c>
    </row>
    <row r="603" spans="1:11" x14ac:dyDescent="0.25">
      <c r="A603" s="63" t="s">
        <v>554</v>
      </c>
      <c r="B603" s="63" t="s">
        <v>1158</v>
      </c>
      <c r="C603" s="63" t="s">
        <v>556</v>
      </c>
      <c r="D603" s="63" t="str">
        <f>IF('Barn - Back Rack'!F65="","",TRIM('Barn - Back Rack'!F65))</f>
        <v/>
      </c>
      <c r="E603" s="64" t="str">
        <f>IF($D603="","",'Barn - Back Rack'!G65&amp;"")</f>
        <v/>
      </c>
      <c r="F603" s="63">
        <f t="shared" si="47"/>
        <v>0</v>
      </c>
      <c r="G603" s="64" t="str">
        <f t="shared" si="44"/>
        <v/>
      </c>
      <c r="H603" s="64" t="str">
        <f t="shared" si="45"/>
        <v/>
      </c>
      <c r="I603" s="63">
        <f>IF($G603="",0,IF(COUNTIF($G$2:$G603,$G603)=1,1,0))</f>
        <v>0</v>
      </c>
      <c r="J603" s="63" t="str">
        <f t="shared" si="46"/>
        <v/>
      </c>
      <c r="K603" s="63" t="str">
        <f>IF($H603="","",COUNTIF($H$2:$H603,"?*"))</f>
        <v/>
      </c>
    </row>
    <row r="604" spans="1:11" x14ac:dyDescent="0.25">
      <c r="A604" s="63" t="s">
        <v>554</v>
      </c>
      <c r="B604" s="63" t="s">
        <v>1159</v>
      </c>
      <c r="C604" s="63" t="s">
        <v>556</v>
      </c>
      <c r="D604" s="63" t="str">
        <f>IF('Barn - Back Rack'!F66="","",TRIM('Barn - Back Rack'!F66))</f>
        <v/>
      </c>
      <c r="E604" s="64" t="str">
        <f>IF($D604="","",'Barn - Back Rack'!G66&amp;"")</f>
        <v/>
      </c>
      <c r="F604" s="63">
        <f t="shared" si="47"/>
        <v>0</v>
      </c>
      <c r="G604" s="64" t="str">
        <f t="shared" si="44"/>
        <v/>
      </c>
      <c r="H604" s="64" t="str">
        <f t="shared" si="45"/>
        <v/>
      </c>
      <c r="I604" s="63">
        <f>IF($G604="",0,IF(COUNTIF($G$2:$G604,$G604)=1,1,0))</f>
        <v>0</v>
      </c>
      <c r="J604" s="63" t="str">
        <f t="shared" si="46"/>
        <v/>
      </c>
      <c r="K604" s="63" t="str">
        <f>IF($H604="","",COUNTIF($H$2:$H604,"?*"))</f>
        <v/>
      </c>
    </row>
    <row r="605" spans="1:11" x14ac:dyDescent="0.25">
      <c r="A605" s="63" t="s">
        <v>554</v>
      </c>
      <c r="B605" s="63" t="s">
        <v>1160</v>
      </c>
      <c r="C605" s="63" t="s">
        <v>556</v>
      </c>
      <c r="D605" s="63" t="str">
        <f>IF('Barn - Back Rack'!F67="","",TRIM('Barn - Back Rack'!F67))</f>
        <v/>
      </c>
      <c r="E605" s="64" t="str">
        <f>IF($D605="","",'Barn - Back Rack'!G67&amp;"")</f>
        <v/>
      </c>
      <c r="F605" s="63">
        <f t="shared" si="47"/>
        <v>0</v>
      </c>
      <c r="G605" s="64" t="str">
        <f t="shared" si="44"/>
        <v/>
      </c>
      <c r="H605" s="64" t="str">
        <f t="shared" si="45"/>
        <v/>
      </c>
      <c r="I605" s="63">
        <f>IF($G605="",0,IF(COUNTIF($G$2:$G605,$G605)=1,1,0))</f>
        <v>0</v>
      </c>
      <c r="J605" s="63" t="str">
        <f t="shared" si="46"/>
        <v/>
      </c>
      <c r="K605" s="63" t="str">
        <f>IF($H605="","",COUNTIF($H$2:$H605,"?*"))</f>
        <v/>
      </c>
    </row>
    <row r="606" spans="1:11" x14ac:dyDescent="0.25">
      <c r="A606" s="63" t="s">
        <v>554</v>
      </c>
      <c r="B606" s="63" t="s">
        <v>1161</v>
      </c>
      <c r="C606" s="63" t="s">
        <v>556</v>
      </c>
      <c r="D606" s="63" t="str">
        <f>IF('Barn - Back Rack'!F68="","",TRIM('Barn - Back Rack'!F68))</f>
        <v/>
      </c>
      <c r="E606" s="64" t="str">
        <f>IF($D606="","",'Barn - Back Rack'!G68&amp;"")</f>
        <v/>
      </c>
      <c r="F606" s="63">
        <f t="shared" si="47"/>
        <v>0</v>
      </c>
      <c r="G606" s="64" t="str">
        <f t="shared" si="44"/>
        <v/>
      </c>
      <c r="H606" s="64" t="str">
        <f t="shared" si="45"/>
        <v/>
      </c>
      <c r="I606" s="63">
        <f>IF($G606="",0,IF(COUNTIF($G$2:$G606,$G606)=1,1,0))</f>
        <v>0</v>
      </c>
      <c r="J606" s="63" t="str">
        <f t="shared" si="46"/>
        <v/>
      </c>
      <c r="K606" s="63" t="str">
        <f>IF($H606="","",COUNTIF($H$2:$H606,"?*"))</f>
        <v/>
      </c>
    </row>
    <row r="607" spans="1:11" x14ac:dyDescent="0.25">
      <c r="A607" s="63" t="s">
        <v>554</v>
      </c>
      <c r="B607" s="63" t="s">
        <v>1162</v>
      </c>
      <c r="C607" s="63" t="s">
        <v>556</v>
      </c>
      <c r="D607" s="63" t="str">
        <f>IF('Barn - Back Rack'!F69="","",TRIM('Barn - Back Rack'!F69))</f>
        <v/>
      </c>
      <c r="E607" s="64" t="str">
        <f>IF($D607="","",'Barn - Back Rack'!G69&amp;"")</f>
        <v/>
      </c>
      <c r="F607" s="63">
        <f t="shared" si="47"/>
        <v>0</v>
      </c>
      <c r="G607" s="64" t="str">
        <f t="shared" si="44"/>
        <v/>
      </c>
      <c r="H607" s="64" t="str">
        <f t="shared" si="45"/>
        <v/>
      </c>
      <c r="I607" s="63">
        <f>IF($G607="",0,IF(COUNTIF($G$2:$G607,$G607)=1,1,0))</f>
        <v>0</v>
      </c>
      <c r="J607" s="63" t="str">
        <f t="shared" si="46"/>
        <v/>
      </c>
      <c r="K607" s="63" t="str">
        <f>IF($H607="","",COUNTIF($H$2:$H607,"?*"))</f>
        <v/>
      </c>
    </row>
    <row r="608" spans="1:11" x14ac:dyDescent="0.25">
      <c r="A608" s="63" t="s">
        <v>554</v>
      </c>
      <c r="B608" s="63" t="s">
        <v>1163</v>
      </c>
      <c r="C608" s="63" t="s">
        <v>556</v>
      </c>
      <c r="D608" s="63" t="str">
        <f>IF('Barn - Back Rack'!F70="","",TRIM('Barn - Back Rack'!F70))</f>
        <v/>
      </c>
      <c r="E608" s="64" t="str">
        <f>IF($D608="","",'Barn - Back Rack'!G70&amp;"")</f>
        <v/>
      </c>
      <c r="F608" s="63">
        <f t="shared" si="47"/>
        <v>0</v>
      </c>
      <c r="G608" s="64" t="str">
        <f t="shared" si="44"/>
        <v/>
      </c>
      <c r="H608" s="64" t="str">
        <f t="shared" si="45"/>
        <v/>
      </c>
      <c r="I608" s="63">
        <f>IF($G608="",0,IF(COUNTIF($G$2:$G608,$G608)=1,1,0))</f>
        <v>0</v>
      </c>
      <c r="J608" s="63" t="str">
        <f t="shared" si="46"/>
        <v/>
      </c>
      <c r="K608" s="63" t="str">
        <f>IF($H608="","",COUNTIF($H$2:$H608,"?*"))</f>
        <v/>
      </c>
    </row>
    <row r="609" spans="1:11" x14ac:dyDescent="0.25">
      <c r="A609" s="63" t="s">
        <v>554</v>
      </c>
      <c r="B609" s="63" t="s">
        <v>1164</v>
      </c>
      <c r="C609" s="63" t="s">
        <v>556</v>
      </c>
      <c r="D609" s="63" t="str">
        <f>IF('Barn - Back Rack'!F71="","",TRIM('Barn - Back Rack'!F71))</f>
        <v/>
      </c>
      <c r="E609" s="64" t="str">
        <f>IF($D609="","",'Barn - Back Rack'!G71&amp;"")</f>
        <v/>
      </c>
      <c r="F609" s="63">
        <f t="shared" si="47"/>
        <v>0</v>
      </c>
      <c r="G609" s="64" t="str">
        <f t="shared" si="44"/>
        <v/>
      </c>
      <c r="H609" s="64" t="str">
        <f t="shared" si="45"/>
        <v/>
      </c>
      <c r="I609" s="63">
        <f>IF($G609="",0,IF(COUNTIF($G$2:$G609,$G609)=1,1,0))</f>
        <v>0</v>
      </c>
      <c r="J609" s="63" t="str">
        <f t="shared" si="46"/>
        <v/>
      </c>
      <c r="K609" s="63" t="str">
        <f>IF($H609="","",COUNTIF($H$2:$H609,"?*"))</f>
        <v/>
      </c>
    </row>
    <row r="610" spans="1:11" x14ac:dyDescent="0.25">
      <c r="A610" s="63" t="s">
        <v>554</v>
      </c>
      <c r="B610" s="63" t="s">
        <v>1165</v>
      </c>
      <c r="C610" s="63" t="s">
        <v>556</v>
      </c>
      <c r="D610" s="63" t="str">
        <f>IF('Barn - Back Rack'!F72="","",TRIM('Barn - Back Rack'!F72))</f>
        <v/>
      </c>
      <c r="E610" s="64" t="str">
        <f>IF($D610="","",'Barn - Back Rack'!G72&amp;"")</f>
        <v/>
      </c>
      <c r="F610" s="63">
        <f t="shared" si="47"/>
        <v>0</v>
      </c>
      <c r="G610" s="64" t="str">
        <f t="shared" si="44"/>
        <v/>
      </c>
      <c r="H610" s="64" t="str">
        <f t="shared" si="45"/>
        <v/>
      </c>
      <c r="I610" s="63">
        <f>IF($G610="",0,IF(COUNTIF($G$2:$G610,$G610)=1,1,0))</f>
        <v>0</v>
      </c>
      <c r="J610" s="63" t="str">
        <f t="shared" si="46"/>
        <v/>
      </c>
      <c r="K610" s="63" t="str">
        <f>IF($H610="","",COUNTIF($H$2:$H610,"?*"))</f>
        <v/>
      </c>
    </row>
    <row r="611" spans="1:11" x14ac:dyDescent="0.25">
      <c r="A611" s="63" t="s">
        <v>554</v>
      </c>
      <c r="B611" s="63" t="s">
        <v>1166</v>
      </c>
      <c r="C611" s="63" t="s">
        <v>556</v>
      </c>
      <c r="D611" s="63" t="str">
        <f>IF('Barn - Back Rack'!F73="","",TRIM('Barn - Back Rack'!F73))</f>
        <v/>
      </c>
      <c r="E611" s="64" t="str">
        <f>IF($D611="","",'Barn - Back Rack'!G73&amp;"")</f>
        <v/>
      </c>
      <c r="F611" s="63">
        <f t="shared" si="47"/>
        <v>0</v>
      </c>
      <c r="G611" s="64" t="str">
        <f t="shared" si="44"/>
        <v/>
      </c>
      <c r="H611" s="64" t="str">
        <f t="shared" si="45"/>
        <v/>
      </c>
      <c r="I611" s="63">
        <f>IF($G611="",0,IF(COUNTIF($G$2:$G611,$G611)=1,1,0))</f>
        <v>0</v>
      </c>
      <c r="J611" s="63" t="str">
        <f t="shared" si="46"/>
        <v/>
      </c>
      <c r="K611" s="63" t="str">
        <f>IF($H611="","",COUNTIF($H$2:$H611,"?*"))</f>
        <v/>
      </c>
    </row>
    <row r="612" spans="1:11" x14ac:dyDescent="0.25">
      <c r="A612" s="63" t="s">
        <v>554</v>
      </c>
      <c r="B612" s="63" t="s">
        <v>1167</v>
      </c>
      <c r="C612" s="63" t="s">
        <v>556</v>
      </c>
      <c r="D612" s="63" t="str">
        <f>IF('Barn - Back Rack'!F74="","",TRIM('Barn - Back Rack'!F74))</f>
        <v/>
      </c>
      <c r="E612" s="64" t="str">
        <f>IF($D612="","",'Barn - Back Rack'!G74&amp;"")</f>
        <v/>
      </c>
      <c r="F612" s="63">
        <f t="shared" si="47"/>
        <v>0</v>
      </c>
      <c r="G612" s="64" t="str">
        <f t="shared" si="44"/>
        <v/>
      </c>
      <c r="H612" s="64" t="str">
        <f t="shared" si="45"/>
        <v/>
      </c>
      <c r="I612" s="63">
        <f>IF($G612="",0,IF(COUNTIF($G$2:$G612,$G612)=1,1,0))</f>
        <v>0</v>
      </c>
      <c r="J612" s="63" t="str">
        <f t="shared" si="46"/>
        <v/>
      </c>
      <c r="K612" s="63" t="str">
        <f>IF($H612="","",COUNTIF($H$2:$H612,"?*"))</f>
        <v/>
      </c>
    </row>
    <row r="613" spans="1:11" x14ac:dyDescent="0.25">
      <c r="A613" s="63" t="s">
        <v>554</v>
      </c>
      <c r="B613" s="63" t="s">
        <v>1168</v>
      </c>
      <c r="C613" s="63" t="s">
        <v>556</v>
      </c>
      <c r="D613" s="63" t="str">
        <f>IF('Barn - Back Rack'!F75="","",TRIM('Barn - Back Rack'!F75))</f>
        <v/>
      </c>
      <c r="E613" s="64" t="str">
        <f>IF($D613="","",'Barn - Back Rack'!G75&amp;"")</f>
        <v/>
      </c>
      <c r="F613" s="63">
        <f t="shared" si="47"/>
        <v>0</v>
      </c>
      <c r="G613" s="64" t="str">
        <f t="shared" si="44"/>
        <v/>
      </c>
      <c r="H613" s="64" t="str">
        <f t="shared" si="45"/>
        <v/>
      </c>
      <c r="I613" s="63">
        <f>IF($G613="",0,IF(COUNTIF($G$2:$G613,$G613)=1,1,0))</f>
        <v>0</v>
      </c>
      <c r="J613" s="63" t="str">
        <f t="shared" si="46"/>
        <v/>
      </c>
      <c r="K613" s="63" t="str">
        <f>IF($H613="","",COUNTIF($H$2:$H613,"?*"))</f>
        <v/>
      </c>
    </row>
    <row r="614" spans="1:11" x14ac:dyDescent="0.25">
      <c r="A614" s="63" t="s">
        <v>554</v>
      </c>
      <c r="B614" s="63" t="s">
        <v>1169</v>
      </c>
      <c r="C614" s="63" t="s">
        <v>556</v>
      </c>
      <c r="D614" s="63" t="str">
        <f>IF('Barn - Back Rack'!H64="","",TRIM('Barn - Back Rack'!H64))</f>
        <v>Rancilio Classe 5 ST 1GR</v>
      </c>
      <c r="E614" s="64" t="str">
        <f>IF($D614="","",'Barn - Back Rack'!I64&amp;"")</f>
        <v>10456469</v>
      </c>
      <c r="F614" s="63">
        <f t="shared" si="47"/>
        <v>1</v>
      </c>
      <c r="G614" s="64" t="str">
        <f t="shared" si="44"/>
        <v>Rancilio Classe 5 ST 1GR</v>
      </c>
      <c r="H614" s="64" t="str">
        <f t="shared" si="45"/>
        <v/>
      </c>
      <c r="I614" s="63">
        <f>IF($G614="",0,IF(COUNTIF($G$2:$G614,$G614)=1,1,0))</f>
        <v>1</v>
      </c>
      <c r="J614" s="63">
        <f t="shared" si="46"/>
        <v>83</v>
      </c>
      <c r="K614" s="63" t="str">
        <f>IF($H614="","",COUNTIF($H$2:$H614,"?*"))</f>
        <v/>
      </c>
    </row>
    <row r="615" spans="1:11" x14ac:dyDescent="0.25">
      <c r="A615" s="63" t="s">
        <v>554</v>
      </c>
      <c r="B615" s="63" t="s">
        <v>1170</v>
      </c>
      <c r="C615" s="63" t="s">
        <v>556</v>
      </c>
      <c r="D615" s="63" t="str">
        <f>IF('Barn - Back Rack'!H65="","",TRIM('Barn - Back Rack'!H65))</f>
        <v>Rancilio Classe 5 ST 1GR</v>
      </c>
      <c r="E615" s="64" t="str">
        <f>IF($D615="","",'Barn - Back Rack'!I65&amp;"")</f>
        <v>10411127</v>
      </c>
      <c r="F615" s="63">
        <f t="shared" si="47"/>
        <v>1</v>
      </c>
      <c r="G615" s="64" t="str">
        <f t="shared" si="44"/>
        <v>Rancilio Classe 5 ST 1GR</v>
      </c>
      <c r="H615" s="64" t="str">
        <f t="shared" si="45"/>
        <v/>
      </c>
      <c r="I615" s="63">
        <f>IF($G615="",0,IF(COUNTIF($G$2:$G615,$G615)=1,1,0))</f>
        <v>0</v>
      </c>
      <c r="J615" s="63" t="str">
        <f t="shared" si="46"/>
        <v/>
      </c>
      <c r="K615" s="63" t="str">
        <f>IF($H615="","",COUNTIF($H$2:$H615,"?*"))</f>
        <v/>
      </c>
    </row>
    <row r="616" spans="1:11" x14ac:dyDescent="0.25">
      <c r="A616" s="63" t="s">
        <v>554</v>
      </c>
      <c r="B616" s="63" t="s">
        <v>1171</v>
      </c>
      <c r="C616" s="63" t="s">
        <v>556</v>
      </c>
      <c r="D616" s="63" t="str">
        <f>IF('Barn - Back Rack'!H66="","",TRIM('Barn - Back Rack'!H66))</f>
        <v/>
      </c>
      <c r="E616" s="64" t="str">
        <f>IF($D616="","",'Barn - Back Rack'!I66&amp;"")</f>
        <v/>
      </c>
      <c r="F616" s="63">
        <f t="shared" si="47"/>
        <v>0</v>
      </c>
      <c r="G616" s="64" t="str">
        <f t="shared" si="44"/>
        <v/>
      </c>
      <c r="H616" s="64" t="str">
        <f t="shared" si="45"/>
        <v/>
      </c>
      <c r="I616" s="63">
        <f>IF($G616="",0,IF(COUNTIF($G$2:$G616,$G616)=1,1,0))</f>
        <v>0</v>
      </c>
      <c r="J616" s="63" t="str">
        <f t="shared" si="46"/>
        <v/>
      </c>
      <c r="K616" s="63" t="str">
        <f>IF($H616="","",COUNTIF($H$2:$H616,"?*"))</f>
        <v/>
      </c>
    </row>
    <row r="617" spans="1:11" x14ac:dyDescent="0.25">
      <c r="A617" s="63" t="s">
        <v>554</v>
      </c>
      <c r="B617" s="63" t="s">
        <v>1172</v>
      </c>
      <c r="C617" s="63" t="s">
        <v>556</v>
      </c>
      <c r="D617" s="63" t="str">
        <f>IF('Barn - Back Rack'!H67="","",TRIM('Barn - Back Rack'!H67))</f>
        <v/>
      </c>
      <c r="E617" s="64" t="str">
        <f>IF($D617="","",'Barn - Back Rack'!I67&amp;"")</f>
        <v/>
      </c>
      <c r="F617" s="63">
        <f t="shared" si="47"/>
        <v>0</v>
      </c>
      <c r="G617" s="64" t="str">
        <f t="shared" si="44"/>
        <v/>
      </c>
      <c r="H617" s="64" t="str">
        <f t="shared" si="45"/>
        <v/>
      </c>
      <c r="I617" s="63">
        <f>IF($G617="",0,IF(COUNTIF($G$2:$G617,$G617)=1,1,0))</f>
        <v>0</v>
      </c>
      <c r="J617" s="63" t="str">
        <f t="shared" si="46"/>
        <v/>
      </c>
      <c r="K617" s="63" t="str">
        <f>IF($H617="","",COUNTIF($H$2:$H617,"?*"))</f>
        <v/>
      </c>
    </row>
    <row r="618" spans="1:11" x14ac:dyDescent="0.25">
      <c r="A618" s="63" t="s">
        <v>554</v>
      </c>
      <c r="B618" s="63" t="s">
        <v>1173</v>
      </c>
      <c r="C618" s="63" t="s">
        <v>556</v>
      </c>
      <c r="D618" s="63" t="str">
        <f>IF('Barn - Back Rack'!H68="","",TRIM('Barn - Back Rack'!H68))</f>
        <v/>
      </c>
      <c r="E618" s="64" t="str">
        <f>IF($D618="","",'Barn - Back Rack'!I68&amp;"")</f>
        <v/>
      </c>
      <c r="F618" s="63">
        <f t="shared" ref="F618:F625" si="48">IF($D618="",0,1)</f>
        <v>0</v>
      </c>
      <c r="G618" s="64" t="str">
        <f t="shared" si="44"/>
        <v/>
      </c>
      <c r="H618" s="64" t="str">
        <f t="shared" si="45"/>
        <v/>
      </c>
      <c r="I618" s="63">
        <f>IF($G618="",0,IF(COUNTIF($G$2:$G618,$G618)=1,1,0))</f>
        <v>0</v>
      </c>
      <c r="J618" s="63" t="str">
        <f t="shared" si="46"/>
        <v/>
      </c>
      <c r="K618" s="63" t="str">
        <f>IF($H618="","",COUNTIF($H$2:$H618,"?*"))</f>
        <v/>
      </c>
    </row>
    <row r="619" spans="1:11" x14ac:dyDescent="0.25">
      <c r="A619" s="63" t="s">
        <v>554</v>
      </c>
      <c r="B619" s="63" t="s">
        <v>1174</v>
      </c>
      <c r="C619" s="63" t="s">
        <v>556</v>
      </c>
      <c r="D619" s="63" t="str">
        <f>IF('Barn - Back Rack'!H69="","",TRIM('Barn - Back Rack'!H69))</f>
        <v/>
      </c>
      <c r="E619" s="64" t="str">
        <f>IF($D619="","",'Barn - Back Rack'!I69&amp;"")</f>
        <v/>
      </c>
      <c r="F619" s="63">
        <f t="shared" si="48"/>
        <v>0</v>
      </c>
      <c r="G619" s="64" t="str">
        <f t="shared" si="44"/>
        <v/>
      </c>
      <c r="H619" s="64" t="str">
        <f t="shared" si="45"/>
        <v/>
      </c>
      <c r="I619" s="63">
        <f>IF($G619="",0,IF(COUNTIF($G$2:$G619,$G619)=1,1,0))</f>
        <v>0</v>
      </c>
      <c r="J619" s="63" t="str">
        <f t="shared" si="46"/>
        <v/>
      </c>
      <c r="K619" s="63" t="str">
        <f>IF($H619="","",COUNTIF($H$2:$H619,"?*"))</f>
        <v/>
      </c>
    </row>
    <row r="620" spans="1:11" x14ac:dyDescent="0.25">
      <c r="A620" s="63" t="s">
        <v>554</v>
      </c>
      <c r="B620" s="63" t="s">
        <v>1175</v>
      </c>
      <c r="C620" s="63" t="s">
        <v>556</v>
      </c>
      <c r="D620" s="63" t="str">
        <f>IF('Barn - Back Rack'!H70="","",TRIM('Barn - Back Rack'!H70))</f>
        <v/>
      </c>
      <c r="E620" s="64" t="str">
        <f>IF($D620="","",'Barn - Back Rack'!I70&amp;"")</f>
        <v/>
      </c>
      <c r="F620" s="63">
        <f t="shared" si="48"/>
        <v>0</v>
      </c>
      <c r="G620" s="64" t="str">
        <f t="shared" si="44"/>
        <v/>
      </c>
      <c r="H620" s="64" t="str">
        <f t="shared" si="45"/>
        <v/>
      </c>
      <c r="I620" s="63">
        <f>IF($G620="",0,IF(COUNTIF($G$2:$G620,$G620)=1,1,0))</f>
        <v>0</v>
      </c>
      <c r="J620" s="63" t="str">
        <f t="shared" si="46"/>
        <v/>
      </c>
      <c r="K620" s="63" t="str">
        <f>IF($H620="","",COUNTIF($H$2:$H620,"?*"))</f>
        <v/>
      </c>
    </row>
    <row r="621" spans="1:11" x14ac:dyDescent="0.25">
      <c r="A621" s="63" t="s">
        <v>554</v>
      </c>
      <c r="B621" s="63" t="s">
        <v>1176</v>
      </c>
      <c r="C621" s="63" t="s">
        <v>556</v>
      </c>
      <c r="D621" s="63" t="str">
        <f>IF('Barn - Back Rack'!H71="","",TRIM('Barn - Back Rack'!H71))</f>
        <v/>
      </c>
      <c r="E621" s="64" t="str">
        <f>IF($D621="","",'Barn - Back Rack'!I71&amp;"")</f>
        <v/>
      </c>
      <c r="F621" s="63">
        <f t="shared" si="48"/>
        <v>0</v>
      </c>
      <c r="G621" s="64" t="str">
        <f t="shared" si="44"/>
        <v/>
      </c>
      <c r="H621" s="64" t="str">
        <f t="shared" si="45"/>
        <v/>
      </c>
      <c r="I621" s="63">
        <f>IF($G621="",0,IF(COUNTIF($G$2:$G621,$G621)=1,1,0))</f>
        <v>0</v>
      </c>
      <c r="J621" s="63" t="str">
        <f t="shared" si="46"/>
        <v/>
      </c>
      <c r="K621" s="63" t="str">
        <f>IF($H621="","",COUNTIF($H$2:$H621,"?*"))</f>
        <v/>
      </c>
    </row>
    <row r="622" spans="1:11" x14ac:dyDescent="0.25">
      <c r="A622" s="63" t="s">
        <v>554</v>
      </c>
      <c r="B622" s="63" t="s">
        <v>1177</v>
      </c>
      <c r="C622" s="63" t="s">
        <v>556</v>
      </c>
      <c r="D622" s="63" t="str">
        <f>IF('Barn - Back Rack'!H72="","",TRIM('Barn - Back Rack'!H72))</f>
        <v/>
      </c>
      <c r="E622" s="64" t="str">
        <f>IF($D622="","",'Barn - Back Rack'!I72&amp;"")</f>
        <v/>
      </c>
      <c r="F622" s="63">
        <f t="shared" si="48"/>
        <v>0</v>
      </c>
      <c r="G622" s="64" t="str">
        <f t="shared" si="44"/>
        <v/>
      </c>
      <c r="H622" s="64" t="str">
        <f t="shared" si="45"/>
        <v/>
      </c>
      <c r="I622" s="63">
        <f>IF($G622="",0,IF(COUNTIF($G$2:$G622,$G622)=1,1,0))</f>
        <v>0</v>
      </c>
      <c r="J622" s="63" t="str">
        <f t="shared" si="46"/>
        <v/>
      </c>
      <c r="K622" s="63" t="str">
        <f>IF($H622="","",COUNTIF($H$2:$H622,"?*"))</f>
        <v/>
      </c>
    </row>
    <row r="623" spans="1:11" x14ac:dyDescent="0.25">
      <c r="A623" s="63" t="s">
        <v>554</v>
      </c>
      <c r="B623" s="63" t="s">
        <v>1178</v>
      </c>
      <c r="C623" s="63" t="s">
        <v>556</v>
      </c>
      <c r="D623" s="63" t="str">
        <f>IF('Barn - Back Rack'!H73="","",TRIM('Barn - Back Rack'!H73))</f>
        <v/>
      </c>
      <c r="E623" s="64" t="str">
        <f>IF($D623="","",'Barn - Back Rack'!I73&amp;"")</f>
        <v/>
      </c>
      <c r="F623" s="63">
        <f t="shared" si="48"/>
        <v>0</v>
      </c>
      <c r="G623" s="64" t="str">
        <f t="shared" si="44"/>
        <v/>
      </c>
      <c r="H623" s="64" t="str">
        <f t="shared" si="45"/>
        <v/>
      </c>
      <c r="I623" s="63">
        <f>IF($G623="",0,IF(COUNTIF($G$2:$G623,$G623)=1,1,0))</f>
        <v>0</v>
      </c>
      <c r="J623" s="63" t="str">
        <f t="shared" si="46"/>
        <v/>
      </c>
      <c r="K623" s="63" t="str">
        <f>IF($H623="","",COUNTIF($H$2:$H623,"?*"))</f>
        <v/>
      </c>
    </row>
    <row r="624" spans="1:11" x14ac:dyDescent="0.25">
      <c r="A624" s="63" t="s">
        <v>554</v>
      </c>
      <c r="B624" s="63" t="s">
        <v>1179</v>
      </c>
      <c r="C624" s="63" t="s">
        <v>556</v>
      </c>
      <c r="D624" s="63" t="str">
        <f>IF('Barn - Back Rack'!H74="","",TRIM('Barn - Back Rack'!H74))</f>
        <v/>
      </c>
      <c r="E624" s="64" t="str">
        <f>IF($D624="","",'Barn - Back Rack'!I74&amp;"")</f>
        <v/>
      </c>
      <c r="F624" s="63">
        <f t="shared" si="48"/>
        <v>0</v>
      </c>
      <c r="G624" s="64" t="str">
        <f t="shared" si="44"/>
        <v/>
      </c>
      <c r="H624" s="64" t="str">
        <f t="shared" si="45"/>
        <v/>
      </c>
      <c r="I624" s="63">
        <f>IF($G624="",0,IF(COUNTIF($G$2:$G624,$G624)=1,1,0))</f>
        <v>0</v>
      </c>
      <c r="J624" s="63" t="str">
        <f t="shared" si="46"/>
        <v/>
      </c>
      <c r="K624" s="63" t="str">
        <f>IF($H624="","",COUNTIF($H$2:$H624,"?*"))</f>
        <v/>
      </c>
    </row>
    <row r="625" spans="1:11" x14ac:dyDescent="0.25">
      <c r="A625" s="63" t="s">
        <v>554</v>
      </c>
      <c r="B625" s="63" t="s">
        <v>1180</v>
      </c>
      <c r="C625" s="63" t="s">
        <v>556</v>
      </c>
      <c r="D625" s="63" t="str">
        <f>IF('Barn - Back Rack'!H75="","",TRIM('Barn - Back Rack'!H75))</f>
        <v/>
      </c>
      <c r="E625" s="64" t="str">
        <f>IF($D625="","",'Barn - Back Rack'!I75&amp;"")</f>
        <v/>
      </c>
      <c r="F625" s="63">
        <f t="shared" si="48"/>
        <v>0</v>
      </c>
      <c r="G625" s="64" t="str">
        <f t="shared" si="44"/>
        <v/>
      </c>
      <c r="H625" s="64" t="str">
        <f t="shared" si="45"/>
        <v/>
      </c>
      <c r="I625" s="63">
        <f>IF($G625="",0,IF(COUNTIF($G$2:$G625,$G625)=1,1,0))</f>
        <v>0</v>
      </c>
      <c r="J625" s="63" t="str">
        <f t="shared" si="46"/>
        <v/>
      </c>
      <c r="K625" s="63" t="str">
        <f>IF($H625="","",COUNTIF($H$2:$H625,"?*"))</f>
        <v/>
      </c>
    </row>
    <row r="626" spans="1:11" x14ac:dyDescent="0.25">
      <c r="A626" s="63" t="s">
        <v>554</v>
      </c>
      <c r="B626" s="63" t="s">
        <v>1181</v>
      </c>
      <c r="C626" s="63" t="s">
        <v>605</v>
      </c>
      <c r="D626" s="63" t="str">
        <f>IF('Barn - Back Rack'!J64="","",TRIM('Barn - Back Rack'!J64))</f>
        <v>BNP 1.9L Carafes</v>
      </c>
      <c r="E626" s="64"/>
      <c r="F626" s="65">
        <f>IF($D626="",0,IF(ISNUMBER('Barn - Back Rack'!K64),'Barn - Back Rack'!K64,1))</f>
        <v>36</v>
      </c>
      <c r="G626" s="64" t="str">
        <f t="shared" si="44"/>
        <v>BNP 1.9L Carafes</v>
      </c>
      <c r="H626" s="64" t="str">
        <f t="shared" si="45"/>
        <v/>
      </c>
      <c r="I626" s="63">
        <f>IF($G626="",0,IF(COUNTIF($G$2:$G626,$G626)=1,1,0))</f>
        <v>1</v>
      </c>
      <c r="J626" s="63">
        <f t="shared" si="46"/>
        <v>2</v>
      </c>
      <c r="K626" s="63" t="str">
        <f>IF($H626="","",COUNTIF($H$2:$H626,"?*"))</f>
        <v/>
      </c>
    </row>
    <row r="627" spans="1:11" x14ac:dyDescent="0.25">
      <c r="A627" s="63" t="s">
        <v>554</v>
      </c>
      <c r="B627" s="63" t="s">
        <v>1182</v>
      </c>
      <c r="C627" s="63" t="s">
        <v>605</v>
      </c>
      <c r="D627" s="63" t="str">
        <f>IF('Barn - Back Rack'!J65="","",TRIM('Barn - Back Rack'!J65))</f>
        <v>FCC 2L Carafes</v>
      </c>
      <c r="E627" s="64"/>
      <c r="F627" s="65">
        <f>IF($D627="",0,IF(ISNUMBER('Barn - Back Rack'!K65),'Barn - Back Rack'!K65,1))</f>
        <v>26</v>
      </c>
      <c r="G627" s="64" t="str">
        <f t="shared" si="44"/>
        <v>FCC 2L Carafes</v>
      </c>
      <c r="H627" s="64" t="str">
        <f t="shared" si="45"/>
        <v/>
      </c>
      <c r="I627" s="63">
        <f>IF($G627="",0,IF(COUNTIF($G$2:$G627,$G627)=1,1,0))</f>
        <v>1</v>
      </c>
      <c r="J627" s="63">
        <f t="shared" si="46"/>
        <v>48</v>
      </c>
      <c r="K627" s="63" t="str">
        <f>IF($H627="","",COUNTIF($H$2:$H627,"?*"))</f>
        <v/>
      </c>
    </row>
    <row r="628" spans="1:11" x14ac:dyDescent="0.25">
      <c r="A628" s="63" t="s">
        <v>554</v>
      </c>
      <c r="B628" s="63" t="s">
        <v>1183</v>
      </c>
      <c r="C628" s="63" t="s">
        <v>605</v>
      </c>
      <c r="D628" s="63" t="str">
        <f>IF('Barn - Back Rack'!J66="","",TRIM('Barn - Back Rack'!J66))</f>
        <v/>
      </c>
      <c r="E628" s="64"/>
      <c r="F628" s="63">
        <f>IF($D628="",0,IF(ISNUMBER('Barn - Back Rack'!K66),'Barn - Back Rack'!K66,1))</f>
        <v>0</v>
      </c>
      <c r="G628" s="64" t="str">
        <f t="shared" si="44"/>
        <v/>
      </c>
      <c r="H628" s="64" t="str">
        <f t="shared" si="45"/>
        <v/>
      </c>
      <c r="I628" s="63">
        <f>IF($G628="",0,IF(COUNTIF($G$2:$G628,$G628)=1,1,0))</f>
        <v>0</v>
      </c>
      <c r="J628" s="63" t="str">
        <f t="shared" si="46"/>
        <v/>
      </c>
      <c r="K628" s="63" t="str">
        <f>IF($H628="","",COUNTIF($H$2:$H628,"?*"))</f>
        <v/>
      </c>
    </row>
    <row r="629" spans="1:11" x14ac:dyDescent="0.25">
      <c r="A629" s="63" t="s">
        <v>554</v>
      </c>
      <c r="B629" s="63" t="s">
        <v>1184</v>
      </c>
      <c r="C629" s="63" t="s">
        <v>605</v>
      </c>
      <c r="D629" s="63" t="str">
        <f>IF('Barn - Back Rack'!J67="","",TRIM('Barn - Back Rack'!J67))</f>
        <v/>
      </c>
      <c r="E629" s="64"/>
      <c r="F629" s="63">
        <f>IF($D629="",0,IF(ISNUMBER('Barn - Back Rack'!K67),'Barn - Back Rack'!K67,1))</f>
        <v>0</v>
      </c>
      <c r="G629" s="64" t="str">
        <f t="shared" si="44"/>
        <v/>
      </c>
      <c r="H629" s="64" t="str">
        <f t="shared" si="45"/>
        <v/>
      </c>
      <c r="I629" s="63">
        <f>IF($G629="",0,IF(COUNTIF($G$2:$G629,$G629)=1,1,0))</f>
        <v>0</v>
      </c>
      <c r="J629" s="63" t="str">
        <f t="shared" si="46"/>
        <v/>
      </c>
      <c r="K629" s="63" t="str">
        <f>IF($H629="","",COUNTIF($H$2:$H629,"?*"))</f>
        <v/>
      </c>
    </row>
    <row r="630" spans="1:11" x14ac:dyDescent="0.25">
      <c r="A630" s="63" t="s">
        <v>554</v>
      </c>
      <c r="B630" s="63" t="s">
        <v>1185</v>
      </c>
      <c r="C630" s="63" t="s">
        <v>605</v>
      </c>
      <c r="D630" s="63" t="str">
        <f>IF('Barn - Back Rack'!J68="","",TRIM('Barn - Back Rack'!J68))</f>
        <v/>
      </c>
      <c r="E630" s="64"/>
      <c r="F630" s="63">
        <f>IF($D630="",0,IF(ISNUMBER('Barn - Back Rack'!K68),'Barn - Back Rack'!K68,1))</f>
        <v>0</v>
      </c>
      <c r="G630" s="64" t="str">
        <f t="shared" si="44"/>
        <v/>
      </c>
      <c r="H630" s="64" t="str">
        <f t="shared" si="45"/>
        <v/>
      </c>
      <c r="I630" s="63">
        <f>IF($G630="",0,IF(COUNTIF($G$2:$G630,$G630)=1,1,0))</f>
        <v>0</v>
      </c>
      <c r="J630" s="63" t="str">
        <f t="shared" si="46"/>
        <v/>
      </c>
      <c r="K630" s="63" t="str">
        <f>IF($H630="","",COUNTIF($H$2:$H630,"?*"))</f>
        <v/>
      </c>
    </row>
    <row r="631" spans="1:11" x14ac:dyDescent="0.25">
      <c r="A631" s="63" t="s">
        <v>554</v>
      </c>
      <c r="B631" s="63" t="s">
        <v>1186</v>
      </c>
      <c r="C631" s="63" t="s">
        <v>605</v>
      </c>
      <c r="D631" s="63" t="str">
        <f>IF('Barn - Back Rack'!J69="","",TRIM('Barn - Back Rack'!J69))</f>
        <v/>
      </c>
      <c r="E631" s="64"/>
      <c r="F631" s="63">
        <f>IF($D631="",0,IF(ISNUMBER('Barn - Back Rack'!K69),'Barn - Back Rack'!K69,1))</f>
        <v>0</v>
      </c>
      <c r="G631" s="64" t="str">
        <f t="shared" si="44"/>
        <v/>
      </c>
      <c r="H631" s="64" t="str">
        <f t="shared" si="45"/>
        <v/>
      </c>
      <c r="I631" s="63">
        <f>IF($G631="",0,IF(COUNTIF($G$2:$G631,$G631)=1,1,0))</f>
        <v>0</v>
      </c>
      <c r="J631" s="63" t="str">
        <f t="shared" si="46"/>
        <v/>
      </c>
      <c r="K631" s="63" t="str">
        <f>IF($H631="","",COUNTIF($H$2:$H631,"?*"))</f>
        <v/>
      </c>
    </row>
    <row r="632" spans="1:11" x14ac:dyDescent="0.25">
      <c r="A632" s="63" t="s">
        <v>554</v>
      </c>
      <c r="B632" s="63" t="s">
        <v>1187</v>
      </c>
      <c r="C632" s="63" t="s">
        <v>605</v>
      </c>
      <c r="D632" s="63" t="str">
        <f>IF('Barn - Back Rack'!J70="","",TRIM('Barn - Back Rack'!J70))</f>
        <v/>
      </c>
      <c r="E632" s="64"/>
      <c r="F632" s="63">
        <f>IF($D632="",0,IF(ISNUMBER('Barn - Back Rack'!K70),'Barn - Back Rack'!K70,1))</f>
        <v>0</v>
      </c>
      <c r="G632" s="64" t="str">
        <f t="shared" si="44"/>
        <v/>
      </c>
      <c r="H632" s="64" t="str">
        <f t="shared" si="45"/>
        <v/>
      </c>
      <c r="I632" s="63">
        <f>IF($G632="",0,IF(COUNTIF($G$2:$G632,$G632)=1,1,0))</f>
        <v>0</v>
      </c>
      <c r="J632" s="63" t="str">
        <f t="shared" si="46"/>
        <v/>
      </c>
      <c r="K632" s="63" t="str">
        <f>IF($H632="","",COUNTIF($H$2:$H632,"?*"))</f>
        <v/>
      </c>
    </row>
    <row r="633" spans="1:11" x14ac:dyDescent="0.25">
      <c r="A633" s="63" t="s">
        <v>554</v>
      </c>
      <c r="B633" s="63" t="s">
        <v>1188</v>
      </c>
      <c r="C633" s="63" t="s">
        <v>605</v>
      </c>
      <c r="D633" s="63" t="str">
        <f>IF('Barn - Back Rack'!J71="","",TRIM('Barn - Back Rack'!J71))</f>
        <v/>
      </c>
      <c r="E633" s="64"/>
      <c r="F633" s="63">
        <f>IF($D633="",0,IF(ISNUMBER('Barn - Back Rack'!K71),'Barn - Back Rack'!K71,1))</f>
        <v>0</v>
      </c>
      <c r="G633" s="64" t="str">
        <f t="shared" si="44"/>
        <v/>
      </c>
      <c r="H633" s="64" t="str">
        <f t="shared" si="45"/>
        <v/>
      </c>
      <c r="I633" s="63">
        <f>IF($G633="",0,IF(COUNTIF($G$2:$G633,$G633)=1,1,0))</f>
        <v>0</v>
      </c>
      <c r="J633" s="63" t="str">
        <f t="shared" si="46"/>
        <v/>
      </c>
      <c r="K633" s="63" t="str">
        <f>IF($H633="","",COUNTIF($H$2:$H633,"?*"))</f>
        <v/>
      </c>
    </row>
    <row r="634" spans="1:11" x14ac:dyDescent="0.25">
      <c r="A634" s="63" t="s">
        <v>554</v>
      </c>
      <c r="B634" s="63" t="s">
        <v>1189</v>
      </c>
      <c r="C634" s="63" t="s">
        <v>605</v>
      </c>
      <c r="D634" s="63" t="str">
        <f>IF('Barn - Back Rack'!J72="","",TRIM('Barn - Back Rack'!J72))</f>
        <v/>
      </c>
      <c r="E634" s="64"/>
      <c r="F634" s="63">
        <f>IF($D634="",0,IF(ISNUMBER('Barn - Back Rack'!K72),'Barn - Back Rack'!K72,1))</f>
        <v>0</v>
      </c>
      <c r="G634" s="64" t="str">
        <f t="shared" si="44"/>
        <v/>
      </c>
      <c r="H634" s="64" t="str">
        <f t="shared" si="45"/>
        <v/>
      </c>
      <c r="I634" s="63">
        <f>IF($G634="",0,IF(COUNTIF($G$2:$G634,$G634)=1,1,0))</f>
        <v>0</v>
      </c>
      <c r="J634" s="63" t="str">
        <f t="shared" si="46"/>
        <v/>
      </c>
      <c r="K634" s="63" t="str">
        <f>IF($H634="","",COUNTIF($H$2:$H634,"?*"))</f>
        <v/>
      </c>
    </row>
    <row r="635" spans="1:11" x14ac:dyDescent="0.25">
      <c r="A635" s="63" t="s">
        <v>554</v>
      </c>
      <c r="B635" s="63" t="s">
        <v>1190</v>
      </c>
      <c r="C635" s="63" t="s">
        <v>605</v>
      </c>
      <c r="D635" s="63" t="str">
        <f>IF('Barn - Back Rack'!J73="","",TRIM('Barn - Back Rack'!J73))</f>
        <v/>
      </c>
      <c r="E635" s="64"/>
      <c r="F635" s="63">
        <f>IF($D635="",0,IF(ISNUMBER('Barn - Back Rack'!K73),'Barn - Back Rack'!K73,1))</f>
        <v>0</v>
      </c>
      <c r="G635" s="64" t="str">
        <f t="shared" si="44"/>
        <v/>
      </c>
      <c r="H635" s="64" t="str">
        <f t="shared" si="45"/>
        <v/>
      </c>
      <c r="I635" s="63">
        <f>IF($G635="",0,IF(COUNTIF($G$2:$G635,$G635)=1,1,0))</f>
        <v>0</v>
      </c>
      <c r="J635" s="63" t="str">
        <f t="shared" si="46"/>
        <v/>
      </c>
      <c r="K635" s="63" t="str">
        <f>IF($H635="","",COUNTIF($H$2:$H635,"?*"))</f>
        <v/>
      </c>
    </row>
    <row r="636" spans="1:11" x14ac:dyDescent="0.25">
      <c r="A636" s="63" t="s">
        <v>554</v>
      </c>
      <c r="B636" s="63" t="s">
        <v>1191</v>
      </c>
      <c r="C636" s="63" t="s">
        <v>605</v>
      </c>
      <c r="D636" s="63" t="str">
        <f>IF('Barn - Back Rack'!J74="","",TRIM('Barn - Back Rack'!J74))</f>
        <v/>
      </c>
      <c r="E636" s="64"/>
      <c r="F636" s="63">
        <f>IF($D636="",0,IF(ISNUMBER('Barn - Back Rack'!K74),'Barn - Back Rack'!K74,1))</f>
        <v>0</v>
      </c>
      <c r="G636" s="64" t="str">
        <f t="shared" si="44"/>
        <v/>
      </c>
      <c r="H636" s="64" t="str">
        <f t="shared" si="45"/>
        <v/>
      </c>
      <c r="I636" s="63">
        <f>IF($G636="",0,IF(COUNTIF($G$2:$G636,$G636)=1,1,0))</f>
        <v>0</v>
      </c>
      <c r="J636" s="63" t="str">
        <f t="shared" si="46"/>
        <v/>
      </c>
      <c r="K636" s="63" t="str">
        <f>IF($H636="","",COUNTIF($H$2:$H636,"?*"))</f>
        <v/>
      </c>
    </row>
    <row r="637" spans="1:11" x14ac:dyDescent="0.25">
      <c r="A637" s="63" t="s">
        <v>554</v>
      </c>
      <c r="B637" s="63" t="s">
        <v>1192</v>
      </c>
      <c r="C637" s="63" t="s">
        <v>605</v>
      </c>
      <c r="D637" s="63" t="str">
        <f>IF('Barn - Back Rack'!J75="","",TRIM('Barn - Back Rack'!J75))</f>
        <v/>
      </c>
      <c r="E637" s="64"/>
      <c r="F637" s="63">
        <f>IF($D637="",0,IF(ISNUMBER('Barn - Back Rack'!K75),'Barn - Back Rack'!K75,1))</f>
        <v>0</v>
      </c>
      <c r="G637" s="64" t="str">
        <f t="shared" si="44"/>
        <v/>
      </c>
      <c r="H637" s="64" t="str">
        <f t="shared" si="45"/>
        <v/>
      </c>
      <c r="I637" s="63">
        <f>IF($G637="",0,IF(COUNTIF($G$2:$G637,$G637)=1,1,0))</f>
        <v>0</v>
      </c>
      <c r="J637" s="63" t="str">
        <f t="shared" si="46"/>
        <v/>
      </c>
      <c r="K637" s="63" t="str">
        <f>IF($H637="","",COUNTIF($H$2:$H637,"?*"))</f>
        <v/>
      </c>
    </row>
    <row r="638" spans="1:11" x14ac:dyDescent="0.25">
      <c r="A638" s="63" t="s">
        <v>554</v>
      </c>
      <c r="B638" s="63" t="s">
        <v>1193</v>
      </c>
      <c r="C638" s="63" t="s">
        <v>605</v>
      </c>
      <c r="D638" s="63" t="str">
        <f>IF('Barn - Back Rack'!L64="","",TRIM('Barn - Back Rack'!L64))</f>
        <v>Service Ideas 2.4 L Airpots</v>
      </c>
      <c r="E638" s="64"/>
      <c r="F638" s="65">
        <f>IF($D638="",0,IF(ISNUMBER('Barn - Back Rack'!M64),'Barn - Back Rack'!M64,1))</f>
        <v>33</v>
      </c>
      <c r="G638" s="64" t="str">
        <f t="shared" si="44"/>
        <v>Service Ideas 2.4 L Airpots</v>
      </c>
      <c r="H638" s="64" t="str">
        <f t="shared" si="45"/>
        <v/>
      </c>
      <c r="I638" s="63">
        <f>IF($G638="",0,IF(COUNTIF($G$2:$G638,$G638)=1,1,0))</f>
        <v>1</v>
      </c>
      <c r="J638" s="63">
        <f t="shared" si="46"/>
        <v>84</v>
      </c>
      <c r="K638" s="63" t="str">
        <f>IF($H638="","",COUNTIF($H$2:$H638,"?*"))</f>
        <v/>
      </c>
    </row>
    <row r="639" spans="1:11" x14ac:dyDescent="0.25">
      <c r="A639" s="63" t="s">
        <v>554</v>
      </c>
      <c r="B639" s="63" t="s">
        <v>1194</v>
      </c>
      <c r="C639" s="63" t="s">
        <v>605</v>
      </c>
      <c r="D639" s="63" t="str">
        <f>IF('Barn - Back Rack'!L65="","",TRIM('Barn - Back Rack'!L65))</f>
        <v/>
      </c>
      <c r="E639" s="64"/>
      <c r="F639" s="63">
        <f>IF($D639="",0,IF(ISNUMBER('Barn - Back Rack'!M65),'Barn - Back Rack'!M65,1))</f>
        <v>0</v>
      </c>
      <c r="G639" s="64" t="str">
        <f t="shared" si="44"/>
        <v/>
      </c>
      <c r="H639" s="64" t="str">
        <f t="shared" si="45"/>
        <v/>
      </c>
      <c r="I639" s="63">
        <f>IF($G639="",0,IF(COUNTIF($G$2:$G639,$G639)=1,1,0))</f>
        <v>0</v>
      </c>
      <c r="J639" s="63" t="str">
        <f t="shared" si="46"/>
        <v/>
      </c>
      <c r="K639" s="63" t="str">
        <f>IF($H639="","",COUNTIF($H$2:$H639,"?*"))</f>
        <v/>
      </c>
    </row>
    <row r="640" spans="1:11" x14ac:dyDescent="0.25">
      <c r="A640" s="63" t="s">
        <v>554</v>
      </c>
      <c r="B640" s="63" t="s">
        <v>1195</v>
      </c>
      <c r="C640" s="63" t="s">
        <v>605</v>
      </c>
      <c r="D640" s="63" t="str">
        <f>IF('Barn - Back Rack'!L66="","",TRIM('Barn - Back Rack'!L66))</f>
        <v/>
      </c>
      <c r="E640" s="64"/>
      <c r="F640" s="63">
        <f>IF($D640="",0,IF(ISNUMBER('Barn - Back Rack'!M66),'Barn - Back Rack'!M66,1))</f>
        <v>0</v>
      </c>
      <c r="G640" s="64" t="str">
        <f t="shared" si="44"/>
        <v/>
      </c>
      <c r="H640" s="64" t="str">
        <f t="shared" si="45"/>
        <v/>
      </c>
      <c r="I640" s="63">
        <f>IF($G640="",0,IF(COUNTIF($G$2:$G640,$G640)=1,1,0))</f>
        <v>0</v>
      </c>
      <c r="J640" s="63" t="str">
        <f t="shared" si="46"/>
        <v/>
      </c>
      <c r="K640" s="63" t="str">
        <f>IF($H640="","",COUNTIF($H$2:$H640,"?*"))</f>
        <v/>
      </c>
    </row>
    <row r="641" spans="1:11" x14ac:dyDescent="0.25">
      <c r="A641" s="63" t="s">
        <v>554</v>
      </c>
      <c r="B641" s="63" t="s">
        <v>1196</v>
      </c>
      <c r="C641" s="63" t="s">
        <v>605</v>
      </c>
      <c r="D641" s="63" t="str">
        <f>IF('Barn - Back Rack'!L67="","",TRIM('Barn - Back Rack'!L67))</f>
        <v/>
      </c>
      <c r="E641" s="64"/>
      <c r="F641" s="63">
        <f>IF($D641="",0,IF(ISNUMBER('Barn - Back Rack'!M67),'Barn - Back Rack'!M67,1))</f>
        <v>0</v>
      </c>
      <c r="G641" s="64" t="str">
        <f t="shared" si="44"/>
        <v/>
      </c>
      <c r="H641" s="64" t="str">
        <f t="shared" si="45"/>
        <v/>
      </c>
      <c r="I641" s="63">
        <f>IF($G641="",0,IF(COUNTIF($G$2:$G641,$G641)=1,1,0))</f>
        <v>0</v>
      </c>
      <c r="J641" s="63" t="str">
        <f t="shared" si="46"/>
        <v/>
      </c>
      <c r="K641" s="63" t="str">
        <f>IF($H641="","",COUNTIF($H$2:$H641,"?*"))</f>
        <v/>
      </c>
    </row>
    <row r="642" spans="1:11" x14ac:dyDescent="0.25">
      <c r="A642" s="63" t="s">
        <v>554</v>
      </c>
      <c r="B642" s="63" t="s">
        <v>1197</v>
      </c>
      <c r="C642" s="63" t="s">
        <v>605</v>
      </c>
      <c r="D642" s="63" t="str">
        <f>IF('Barn - Back Rack'!L68="","",TRIM('Barn - Back Rack'!L68))</f>
        <v/>
      </c>
      <c r="E642" s="64"/>
      <c r="F642" s="63">
        <f>IF($D642="",0,IF(ISNUMBER('Barn - Back Rack'!M68),'Barn - Back Rack'!M68,1))</f>
        <v>0</v>
      </c>
      <c r="G642" s="64" t="str">
        <f t="shared" ref="G642:G705" si="49">IF($D642="","",IF(ISNUMBER(FIND("(",$D642)),TRIM(LEFT($D642,FIND("(",$D642)-1)),$D642))</f>
        <v/>
      </c>
      <c r="H642" s="64" t="str">
        <f t="shared" ref="H642:H705" si="50">IF($D642="","",IF(ISNUMBER(FIND("(",$D642)),TRIM(SUBSTITUTE(MID($D642,FIND("(",$D642)+1,200),")","")),""))</f>
        <v/>
      </c>
      <c r="I642" s="63">
        <f>IF($G642="",0,IF(COUNTIF($G$2:$G642,$G642)=1,1,0))</f>
        <v>0</v>
      </c>
      <c r="J642" s="63" t="str">
        <f t="shared" ref="J642:J705" si="51">IF($I642=0,"",SUMPRODUCT(($I$2:$I$1513=1)*($G$2:$G$1513&lt;$G642))+1)</f>
        <v/>
      </c>
      <c r="K642" s="63" t="str">
        <f>IF($H642="","",COUNTIF($H$2:$H642,"?*"))</f>
        <v/>
      </c>
    </row>
    <row r="643" spans="1:11" x14ac:dyDescent="0.25">
      <c r="A643" s="63" t="s">
        <v>554</v>
      </c>
      <c r="B643" s="63" t="s">
        <v>1198</v>
      </c>
      <c r="C643" s="63" t="s">
        <v>605</v>
      </c>
      <c r="D643" s="63" t="str">
        <f>IF('Barn - Back Rack'!L69="","",TRIM('Barn - Back Rack'!L69))</f>
        <v/>
      </c>
      <c r="E643" s="64"/>
      <c r="F643" s="63">
        <f>IF($D643="",0,IF(ISNUMBER('Barn - Back Rack'!M69),'Barn - Back Rack'!M69,1))</f>
        <v>0</v>
      </c>
      <c r="G643" s="64" t="str">
        <f t="shared" si="49"/>
        <v/>
      </c>
      <c r="H643" s="64" t="str">
        <f t="shared" si="50"/>
        <v/>
      </c>
      <c r="I643" s="63">
        <f>IF($G643="",0,IF(COUNTIF($G$2:$G643,$G643)=1,1,0))</f>
        <v>0</v>
      </c>
      <c r="J643" s="63" t="str">
        <f t="shared" si="51"/>
        <v/>
      </c>
      <c r="K643" s="63" t="str">
        <f>IF($H643="","",COUNTIF($H$2:$H643,"?*"))</f>
        <v/>
      </c>
    </row>
    <row r="644" spans="1:11" x14ac:dyDescent="0.25">
      <c r="A644" s="63" t="s">
        <v>554</v>
      </c>
      <c r="B644" s="63" t="s">
        <v>1199</v>
      </c>
      <c r="C644" s="63" t="s">
        <v>605</v>
      </c>
      <c r="D644" s="63" t="str">
        <f>IF('Barn - Back Rack'!L70="","",TRIM('Barn - Back Rack'!L70))</f>
        <v/>
      </c>
      <c r="E644" s="64"/>
      <c r="F644" s="63">
        <f>IF($D644="",0,IF(ISNUMBER('Barn - Back Rack'!M70),'Barn - Back Rack'!M70,1))</f>
        <v>0</v>
      </c>
      <c r="G644" s="64" t="str">
        <f t="shared" si="49"/>
        <v/>
      </c>
      <c r="H644" s="64" t="str">
        <f t="shared" si="50"/>
        <v/>
      </c>
      <c r="I644" s="63">
        <f>IF($G644="",0,IF(COUNTIF($G$2:$G644,$G644)=1,1,0))</f>
        <v>0</v>
      </c>
      <c r="J644" s="63" t="str">
        <f t="shared" si="51"/>
        <v/>
      </c>
      <c r="K644" s="63" t="str">
        <f>IF($H644="","",COUNTIF($H$2:$H644,"?*"))</f>
        <v/>
      </c>
    </row>
    <row r="645" spans="1:11" x14ac:dyDescent="0.25">
      <c r="A645" s="63" t="s">
        <v>554</v>
      </c>
      <c r="B645" s="63" t="s">
        <v>1200</v>
      </c>
      <c r="C645" s="63" t="s">
        <v>605</v>
      </c>
      <c r="D645" s="63" t="str">
        <f>IF('Barn - Back Rack'!L71="","",TRIM('Barn - Back Rack'!L71))</f>
        <v/>
      </c>
      <c r="E645" s="64"/>
      <c r="F645" s="63">
        <f>IF($D645="",0,IF(ISNUMBER('Barn - Back Rack'!M71),'Barn - Back Rack'!M71,1))</f>
        <v>0</v>
      </c>
      <c r="G645" s="64" t="str">
        <f t="shared" si="49"/>
        <v/>
      </c>
      <c r="H645" s="64" t="str">
        <f t="shared" si="50"/>
        <v/>
      </c>
      <c r="I645" s="63">
        <f>IF($G645="",0,IF(COUNTIF($G$2:$G645,$G645)=1,1,0))</f>
        <v>0</v>
      </c>
      <c r="J645" s="63" t="str">
        <f t="shared" si="51"/>
        <v/>
      </c>
      <c r="K645" s="63" t="str">
        <f>IF($H645="","",COUNTIF($H$2:$H645,"?*"))</f>
        <v/>
      </c>
    </row>
    <row r="646" spans="1:11" x14ac:dyDescent="0.25">
      <c r="A646" s="63" t="s">
        <v>554</v>
      </c>
      <c r="B646" s="63" t="s">
        <v>1201</v>
      </c>
      <c r="C646" s="63" t="s">
        <v>605</v>
      </c>
      <c r="D646" s="63" t="str">
        <f>IF('Barn - Back Rack'!L72="","",TRIM('Barn - Back Rack'!L72))</f>
        <v/>
      </c>
      <c r="E646" s="64"/>
      <c r="F646" s="63">
        <f>IF($D646="",0,IF(ISNUMBER('Barn - Back Rack'!M72),'Barn - Back Rack'!M72,1))</f>
        <v>0</v>
      </c>
      <c r="G646" s="64" t="str">
        <f t="shared" si="49"/>
        <v/>
      </c>
      <c r="H646" s="64" t="str">
        <f t="shared" si="50"/>
        <v/>
      </c>
      <c r="I646" s="63">
        <f>IF($G646="",0,IF(COUNTIF($G$2:$G646,$G646)=1,1,0))</f>
        <v>0</v>
      </c>
      <c r="J646" s="63" t="str">
        <f t="shared" si="51"/>
        <v/>
      </c>
      <c r="K646" s="63" t="str">
        <f>IF($H646="","",COUNTIF($H$2:$H646,"?*"))</f>
        <v/>
      </c>
    </row>
    <row r="647" spans="1:11" x14ac:dyDescent="0.25">
      <c r="A647" s="63" t="s">
        <v>554</v>
      </c>
      <c r="B647" s="63" t="s">
        <v>1202</v>
      </c>
      <c r="C647" s="63" t="s">
        <v>605</v>
      </c>
      <c r="D647" s="63" t="str">
        <f>IF('Barn - Back Rack'!L73="","",TRIM('Barn - Back Rack'!L73))</f>
        <v/>
      </c>
      <c r="E647" s="64"/>
      <c r="F647" s="63">
        <f>IF($D647="",0,IF(ISNUMBER('Barn - Back Rack'!M73),'Barn - Back Rack'!M73,1))</f>
        <v>0</v>
      </c>
      <c r="G647" s="64" t="str">
        <f t="shared" si="49"/>
        <v/>
      </c>
      <c r="H647" s="64" t="str">
        <f t="shared" si="50"/>
        <v/>
      </c>
      <c r="I647" s="63">
        <f>IF($G647="",0,IF(COUNTIF($G$2:$G647,$G647)=1,1,0))</f>
        <v>0</v>
      </c>
      <c r="J647" s="63" t="str">
        <f t="shared" si="51"/>
        <v/>
      </c>
      <c r="K647" s="63" t="str">
        <f>IF($H647="","",COUNTIF($H$2:$H647,"?*"))</f>
        <v/>
      </c>
    </row>
    <row r="648" spans="1:11" x14ac:dyDescent="0.25">
      <c r="A648" s="63" t="s">
        <v>554</v>
      </c>
      <c r="B648" s="63" t="s">
        <v>1203</v>
      </c>
      <c r="C648" s="63" t="s">
        <v>605</v>
      </c>
      <c r="D648" s="63" t="str">
        <f>IF('Barn - Back Rack'!L74="","",TRIM('Barn - Back Rack'!L74))</f>
        <v/>
      </c>
      <c r="E648" s="64"/>
      <c r="F648" s="63">
        <f>IF($D648="",0,IF(ISNUMBER('Barn - Back Rack'!M74),'Barn - Back Rack'!M74,1))</f>
        <v>0</v>
      </c>
      <c r="G648" s="64" t="str">
        <f t="shared" si="49"/>
        <v/>
      </c>
      <c r="H648" s="64" t="str">
        <f t="shared" si="50"/>
        <v/>
      </c>
      <c r="I648" s="63">
        <f>IF($G648="",0,IF(COUNTIF($G$2:$G648,$G648)=1,1,0))</f>
        <v>0</v>
      </c>
      <c r="J648" s="63" t="str">
        <f t="shared" si="51"/>
        <v/>
      </c>
      <c r="K648" s="63" t="str">
        <f>IF($H648="","",COUNTIF($H$2:$H648,"?*"))</f>
        <v/>
      </c>
    </row>
    <row r="649" spans="1:11" x14ac:dyDescent="0.25">
      <c r="A649" s="63" t="s">
        <v>554</v>
      </c>
      <c r="B649" s="63" t="s">
        <v>1204</v>
      </c>
      <c r="C649" s="63" t="s">
        <v>605</v>
      </c>
      <c r="D649" s="63" t="str">
        <f>IF('Barn - Back Rack'!L75="","",TRIM('Barn - Back Rack'!L75))</f>
        <v/>
      </c>
      <c r="E649" s="64"/>
      <c r="F649" s="63">
        <f>IF($D649="",0,IF(ISNUMBER('Barn - Back Rack'!M75),'Barn - Back Rack'!M75,1))</f>
        <v>0</v>
      </c>
      <c r="G649" s="64" t="str">
        <f t="shared" si="49"/>
        <v/>
      </c>
      <c r="H649" s="64" t="str">
        <f t="shared" si="50"/>
        <v/>
      </c>
      <c r="I649" s="63">
        <f>IF($G649="",0,IF(COUNTIF($G$2:$G649,$G649)=1,1,0))</f>
        <v>0</v>
      </c>
      <c r="J649" s="63" t="str">
        <f t="shared" si="51"/>
        <v/>
      </c>
      <c r="K649" s="63" t="str">
        <f>IF($H649="","",COUNTIF($H$2:$H649,"?*"))</f>
        <v/>
      </c>
    </row>
    <row r="650" spans="1:11" x14ac:dyDescent="0.25">
      <c r="A650" s="63" t="s">
        <v>554</v>
      </c>
      <c r="B650" s="63" t="s">
        <v>1205</v>
      </c>
      <c r="C650" s="63" t="s">
        <v>556</v>
      </c>
      <c r="D650" s="63" t="str">
        <f>IF('Barn - Back Rack'!N64="","",TRIM('Barn - Back Rack'!N64))</f>
        <v>Eversys e'4s (Baldi)</v>
      </c>
      <c r="E650" s="64" t="str">
        <f>IF($D650="","",'Barn - Back Rack'!O64&amp;"")</f>
        <v>110700026103E0015</v>
      </c>
      <c r="F650" s="63">
        <f t="shared" ref="F650:F713" si="52">IF($D650="",0,1)</f>
        <v>1</v>
      </c>
      <c r="G650" s="64" t="str">
        <f t="shared" si="49"/>
        <v>Eversys e'4s</v>
      </c>
      <c r="H650" s="64" t="str">
        <f t="shared" si="50"/>
        <v>Baldi</v>
      </c>
      <c r="I650" s="63">
        <f>IF($G650="",0,IF(COUNTIF($G$2:$G650,$G650)=1,1,0))</f>
        <v>0</v>
      </c>
      <c r="J650" s="63" t="str">
        <f t="shared" si="51"/>
        <v/>
      </c>
      <c r="K650" s="63">
        <f>IF($H650="","",COUNTIF($H$2:$H650,"?*"))</f>
        <v>2</v>
      </c>
    </row>
    <row r="651" spans="1:11" x14ac:dyDescent="0.25">
      <c r="A651" s="63" t="s">
        <v>554</v>
      </c>
      <c r="B651" s="63" t="s">
        <v>1206</v>
      </c>
      <c r="C651" s="63" t="s">
        <v>556</v>
      </c>
      <c r="D651" s="63" t="str">
        <f>IF('Barn - Back Rack'!N65="","",TRIM('Barn - Back Rack'!N65))</f>
        <v/>
      </c>
      <c r="E651" s="64" t="str">
        <f>IF($D651="","",'Barn - Back Rack'!O65&amp;"")</f>
        <v/>
      </c>
      <c r="F651" s="63">
        <f t="shared" si="52"/>
        <v>0</v>
      </c>
      <c r="G651" s="64" t="str">
        <f t="shared" si="49"/>
        <v/>
      </c>
      <c r="H651" s="64" t="str">
        <f t="shared" si="50"/>
        <v/>
      </c>
      <c r="I651" s="63">
        <f>IF($G651="",0,IF(COUNTIF($G$2:$G651,$G651)=1,1,0))</f>
        <v>0</v>
      </c>
      <c r="J651" s="63" t="str">
        <f t="shared" si="51"/>
        <v/>
      </c>
      <c r="K651" s="63" t="str">
        <f>IF($H651="","",COUNTIF($H$2:$H651,"?*"))</f>
        <v/>
      </c>
    </row>
    <row r="652" spans="1:11" x14ac:dyDescent="0.25">
      <c r="A652" s="63" t="s">
        <v>554</v>
      </c>
      <c r="B652" s="63" t="s">
        <v>1207</v>
      </c>
      <c r="C652" s="63" t="s">
        <v>556</v>
      </c>
      <c r="D652" s="63" t="str">
        <f>IF('Barn - Back Rack'!N66="","",TRIM('Barn - Back Rack'!N66))</f>
        <v/>
      </c>
      <c r="E652" s="64" t="str">
        <f>IF($D652="","",'Barn - Back Rack'!O66&amp;"")</f>
        <v/>
      </c>
      <c r="F652" s="63">
        <f t="shared" si="52"/>
        <v>0</v>
      </c>
      <c r="G652" s="64" t="str">
        <f t="shared" si="49"/>
        <v/>
      </c>
      <c r="H652" s="64" t="str">
        <f t="shared" si="50"/>
        <v/>
      </c>
      <c r="I652" s="63">
        <f>IF($G652="",0,IF(COUNTIF($G$2:$G652,$G652)=1,1,0))</f>
        <v>0</v>
      </c>
      <c r="J652" s="63" t="str">
        <f t="shared" si="51"/>
        <v/>
      </c>
      <c r="K652" s="63" t="str">
        <f>IF($H652="","",COUNTIF($H$2:$H652,"?*"))</f>
        <v/>
      </c>
    </row>
    <row r="653" spans="1:11" x14ac:dyDescent="0.25">
      <c r="A653" s="63" t="s">
        <v>554</v>
      </c>
      <c r="B653" s="63" t="s">
        <v>1208</v>
      </c>
      <c r="C653" s="63" t="s">
        <v>556</v>
      </c>
      <c r="D653" s="63" t="str">
        <f>IF('Barn - Back Rack'!N67="","",TRIM('Barn - Back Rack'!N67))</f>
        <v/>
      </c>
      <c r="E653" s="64" t="str">
        <f>IF($D653="","",'Barn - Back Rack'!O67&amp;"")</f>
        <v/>
      </c>
      <c r="F653" s="63">
        <f t="shared" si="52"/>
        <v>0</v>
      </c>
      <c r="G653" s="64" t="str">
        <f t="shared" si="49"/>
        <v/>
      </c>
      <c r="H653" s="64" t="str">
        <f t="shared" si="50"/>
        <v/>
      </c>
      <c r="I653" s="63">
        <f>IF($G653="",0,IF(COUNTIF($G$2:$G653,$G653)=1,1,0))</f>
        <v>0</v>
      </c>
      <c r="J653" s="63" t="str">
        <f t="shared" si="51"/>
        <v/>
      </c>
      <c r="K653" s="63" t="str">
        <f>IF($H653="","",COUNTIF($H$2:$H653,"?*"))</f>
        <v/>
      </c>
    </row>
    <row r="654" spans="1:11" x14ac:dyDescent="0.25">
      <c r="A654" s="63" t="s">
        <v>554</v>
      </c>
      <c r="B654" s="63" t="s">
        <v>1209</v>
      </c>
      <c r="C654" s="63" t="s">
        <v>556</v>
      </c>
      <c r="D654" s="63" t="str">
        <f>IF('Barn - Back Rack'!N68="","",TRIM('Barn - Back Rack'!N68))</f>
        <v/>
      </c>
      <c r="E654" s="64" t="str">
        <f>IF($D654="","",'Barn - Back Rack'!O68&amp;"")</f>
        <v/>
      </c>
      <c r="F654" s="63">
        <f t="shared" si="52"/>
        <v>0</v>
      </c>
      <c r="G654" s="64" t="str">
        <f t="shared" si="49"/>
        <v/>
      </c>
      <c r="H654" s="64" t="str">
        <f t="shared" si="50"/>
        <v/>
      </c>
      <c r="I654" s="63">
        <f>IF($G654="",0,IF(COUNTIF($G$2:$G654,$G654)=1,1,0))</f>
        <v>0</v>
      </c>
      <c r="J654" s="63" t="str">
        <f t="shared" si="51"/>
        <v/>
      </c>
      <c r="K654" s="63" t="str">
        <f>IF($H654="","",COUNTIF($H$2:$H654,"?*"))</f>
        <v/>
      </c>
    </row>
    <row r="655" spans="1:11" x14ac:dyDescent="0.25">
      <c r="A655" s="63" t="s">
        <v>554</v>
      </c>
      <c r="B655" s="63" t="s">
        <v>1210</v>
      </c>
      <c r="C655" s="63" t="s">
        <v>556</v>
      </c>
      <c r="D655" s="63" t="str">
        <f>IF('Barn - Back Rack'!N69="","",TRIM('Barn - Back Rack'!N69))</f>
        <v/>
      </c>
      <c r="E655" s="64" t="str">
        <f>IF($D655="","",'Barn - Back Rack'!O69&amp;"")</f>
        <v/>
      </c>
      <c r="F655" s="63">
        <f t="shared" si="52"/>
        <v>0</v>
      </c>
      <c r="G655" s="64" t="str">
        <f t="shared" si="49"/>
        <v/>
      </c>
      <c r="H655" s="64" t="str">
        <f t="shared" si="50"/>
        <v/>
      </c>
      <c r="I655" s="63">
        <f>IF($G655="",0,IF(COUNTIF($G$2:$G655,$G655)=1,1,0))</f>
        <v>0</v>
      </c>
      <c r="J655" s="63" t="str">
        <f t="shared" si="51"/>
        <v/>
      </c>
      <c r="K655" s="63" t="str">
        <f>IF($H655="","",COUNTIF($H$2:$H655,"?*"))</f>
        <v/>
      </c>
    </row>
    <row r="656" spans="1:11" x14ac:dyDescent="0.25">
      <c r="A656" s="63" t="s">
        <v>554</v>
      </c>
      <c r="B656" s="63" t="s">
        <v>1211</v>
      </c>
      <c r="C656" s="63" t="s">
        <v>556</v>
      </c>
      <c r="D656" s="63" t="str">
        <f>IF('Barn - Back Rack'!N70="","",TRIM('Barn - Back Rack'!N70))</f>
        <v/>
      </c>
      <c r="E656" s="64" t="str">
        <f>IF($D656="","",'Barn - Back Rack'!O70&amp;"")</f>
        <v/>
      </c>
      <c r="F656" s="63">
        <f t="shared" si="52"/>
        <v>0</v>
      </c>
      <c r="G656" s="64" t="str">
        <f t="shared" si="49"/>
        <v/>
      </c>
      <c r="H656" s="64" t="str">
        <f t="shared" si="50"/>
        <v/>
      </c>
      <c r="I656" s="63">
        <f>IF($G656="",0,IF(COUNTIF($G$2:$G656,$G656)=1,1,0))</f>
        <v>0</v>
      </c>
      <c r="J656" s="63" t="str">
        <f t="shared" si="51"/>
        <v/>
      </c>
      <c r="K656" s="63" t="str">
        <f>IF($H656="","",COUNTIF($H$2:$H656,"?*"))</f>
        <v/>
      </c>
    </row>
    <row r="657" spans="1:11" x14ac:dyDescent="0.25">
      <c r="A657" s="63" t="s">
        <v>554</v>
      </c>
      <c r="B657" s="63" t="s">
        <v>1212</v>
      </c>
      <c r="C657" s="63" t="s">
        <v>556</v>
      </c>
      <c r="D657" s="63" t="str">
        <f>IF('Barn - Back Rack'!N71="","",TRIM('Barn - Back Rack'!N71))</f>
        <v/>
      </c>
      <c r="E657" s="64" t="str">
        <f>IF($D657="","",'Barn - Back Rack'!O71&amp;"")</f>
        <v/>
      </c>
      <c r="F657" s="63">
        <f t="shared" si="52"/>
        <v>0</v>
      </c>
      <c r="G657" s="64" t="str">
        <f t="shared" si="49"/>
        <v/>
      </c>
      <c r="H657" s="64" t="str">
        <f t="shared" si="50"/>
        <v/>
      </c>
      <c r="I657" s="63">
        <f>IF($G657="",0,IF(COUNTIF($G$2:$G657,$G657)=1,1,0))</f>
        <v>0</v>
      </c>
      <c r="J657" s="63" t="str">
        <f t="shared" si="51"/>
        <v/>
      </c>
      <c r="K657" s="63" t="str">
        <f>IF($H657="","",COUNTIF($H$2:$H657,"?*"))</f>
        <v/>
      </c>
    </row>
    <row r="658" spans="1:11" x14ac:dyDescent="0.25">
      <c r="A658" s="63" t="s">
        <v>554</v>
      </c>
      <c r="B658" s="63" t="s">
        <v>1213</v>
      </c>
      <c r="C658" s="63" t="s">
        <v>556</v>
      </c>
      <c r="D658" s="63" t="str">
        <f>IF('Barn - Back Rack'!N72="","",TRIM('Barn - Back Rack'!N72))</f>
        <v/>
      </c>
      <c r="E658" s="64" t="str">
        <f>IF($D658="","",'Barn - Back Rack'!O72&amp;"")</f>
        <v/>
      </c>
      <c r="F658" s="63">
        <f t="shared" si="52"/>
        <v>0</v>
      </c>
      <c r="G658" s="64" t="str">
        <f t="shared" si="49"/>
        <v/>
      </c>
      <c r="H658" s="64" t="str">
        <f t="shared" si="50"/>
        <v/>
      </c>
      <c r="I658" s="63">
        <f>IF($G658="",0,IF(COUNTIF($G$2:$G658,$G658)=1,1,0))</f>
        <v>0</v>
      </c>
      <c r="J658" s="63" t="str">
        <f t="shared" si="51"/>
        <v/>
      </c>
      <c r="K658" s="63" t="str">
        <f>IF($H658="","",COUNTIF($H$2:$H658,"?*"))</f>
        <v/>
      </c>
    </row>
    <row r="659" spans="1:11" x14ac:dyDescent="0.25">
      <c r="A659" s="63" t="s">
        <v>554</v>
      </c>
      <c r="B659" s="63" t="s">
        <v>1214</v>
      </c>
      <c r="C659" s="63" t="s">
        <v>556</v>
      </c>
      <c r="D659" s="63" t="str">
        <f>IF('Barn - Back Rack'!N73="","",TRIM('Barn - Back Rack'!N73))</f>
        <v/>
      </c>
      <c r="E659" s="64" t="str">
        <f>IF($D659="","",'Barn - Back Rack'!O73&amp;"")</f>
        <v/>
      </c>
      <c r="F659" s="63">
        <f t="shared" si="52"/>
        <v>0</v>
      </c>
      <c r="G659" s="64" t="str">
        <f t="shared" si="49"/>
        <v/>
      </c>
      <c r="H659" s="64" t="str">
        <f t="shared" si="50"/>
        <v/>
      </c>
      <c r="I659" s="63">
        <f>IF($G659="",0,IF(COUNTIF($G$2:$G659,$G659)=1,1,0))</f>
        <v>0</v>
      </c>
      <c r="J659" s="63" t="str">
        <f t="shared" si="51"/>
        <v/>
      </c>
      <c r="K659" s="63" t="str">
        <f>IF($H659="","",COUNTIF($H$2:$H659,"?*"))</f>
        <v/>
      </c>
    </row>
    <row r="660" spans="1:11" x14ac:dyDescent="0.25">
      <c r="A660" s="63" t="s">
        <v>554</v>
      </c>
      <c r="B660" s="63" t="s">
        <v>1215</v>
      </c>
      <c r="C660" s="63" t="s">
        <v>556</v>
      </c>
      <c r="D660" s="63" t="str">
        <f>IF('Barn - Back Rack'!N74="","",TRIM('Barn - Back Rack'!N74))</f>
        <v/>
      </c>
      <c r="E660" s="64" t="str">
        <f>IF($D660="","",'Barn - Back Rack'!O74&amp;"")</f>
        <v/>
      </c>
      <c r="F660" s="63">
        <f t="shared" si="52"/>
        <v>0</v>
      </c>
      <c r="G660" s="64" t="str">
        <f t="shared" si="49"/>
        <v/>
      </c>
      <c r="H660" s="64" t="str">
        <f t="shared" si="50"/>
        <v/>
      </c>
      <c r="I660" s="63">
        <f>IF($G660="",0,IF(COUNTIF($G$2:$G660,$G660)=1,1,0))</f>
        <v>0</v>
      </c>
      <c r="J660" s="63" t="str">
        <f t="shared" si="51"/>
        <v/>
      </c>
      <c r="K660" s="63" t="str">
        <f>IF($H660="","",COUNTIF($H$2:$H660,"?*"))</f>
        <v/>
      </c>
    </row>
    <row r="661" spans="1:11" x14ac:dyDescent="0.25">
      <c r="A661" s="63" t="s">
        <v>554</v>
      </c>
      <c r="B661" s="63" t="s">
        <v>1216</v>
      </c>
      <c r="C661" s="63" t="s">
        <v>556</v>
      </c>
      <c r="D661" s="63" t="str">
        <f>IF('Barn - Back Rack'!N75="","",TRIM('Barn - Back Rack'!N75))</f>
        <v/>
      </c>
      <c r="E661" s="64" t="str">
        <f>IF($D661="","",'Barn - Back Rack'!O75&amp;"")</f>
        <v/>
      </c>
      <c r="F661" s="63">
        <f t="shared" si="52"/>
        <v>0</v>
      </c>
      <c r="G661" s="64" t="str">
        <f t="shared" si="49"/>
        <v/>
      </c>
      <c r="H661" s="64" t="str">
        <f t="shared" si="50"/>
        <v/>
      </c>
      <c r="I661" s="63">
        <f>IF($G661="",0,IF(COUNTIF($G$2:$G661,$G661)=1,1,0))</f>
        <v>0</v>
      </c>
      <c r="J661" s="63" t="str">
        <f t="shared" si="51"/>
        <v/>
      </c>
      <c r="K661" s="63" t="str">
        <f>IF($H661="","",COUNTIF($H$2:$H661,"?*"))</f>
        <v/>
      </c>
    </row>
    <row r="662" spans="1:11" x14ac:dyDescent="0.25">
      <c r="A662" s="63" t="s">
        <v>554</v>
      </c>
      <c r="B662" s="63" t="s">
        <v>1217</v>
      </c>
      <c r="C662" s="63" t="s">
        <v>556</v>
      </c>
      <c r="D662" s="63" t="str">
        <f>IF('Barn - Back Rack'!P64="","",TRIM('Barn - Back Rack'!P64))</f>
        <v>Eversys Cameo c'2s (Kol Fac)</v>
      </c>
      <c r="E662" s="64" t="str">
        <f>IF($D662="","",'Barn - Back Rack'!Q64&amp;"")</f>
        <v>0183130226112C0010</v>
      </c>
      <c r="F662" s="63">
        <f t="shared" si="52"/>
        <v>1</v>
      </c>
      <c r="G662" s="64" t="str">
        <f t="shared" si="49"/>
        <v>Eversys Cameo c'2s</v>
      </c>
      <c r="H662" s="64" t="str">
        <f t="shared" si="50"/>
        <v>Kol Fac</v>
      </c>
      <c r="I662" s="63">
        <f>IF($G662="",0,IF(COUNTIF($G$2:$G662,$G662)=1,1,0))</f>
        <v>0</v>
      </c>
      <c r="J662" s="63" t="str">
        <f t="shared" si="51"/>
        <v/>
      </c>
      <c r="K662" s="63">
        <f>IF($H662="","",COUNTIF($H$2:$H662,"?*"))</f>
        <v>3</v>
      </c>
    </row>
    <row r="663" spans="1:11" x14ac:dyDescent="0.25">
      <c r="A663" s="63" t="s">
        <v>554</v>
      </c>
      <c r="B663" s="63" t="s">
        <v>1218</v>
      </c>
      <c r="C663" s="63" t="s">
        <v>556</v>
      </c>
      <c r="D663" s="63" t="str">
        <f>IF('Barn - Back Rack'!P65="","",TRIM('Barn - Back Rack'!P65))</f>
        <v/>
      </c>
      <c r="E663" s="64" t="str">
        <f>IF($D663="","",'Barn - Back Rack'!Q65&amp;"")</f>
        <v/>
      </c>
      <c r="F663" s="63">
        <f t="shared" si="52"/>
        <v>0</v>
      </c>
      <c r="G663" s="64" t="str">
        <f t="shared" si="49"/>
        <v/>
      </c>
      <c r="H663" s="64" t="str">
        <f t="shared" si="50"/>
        <v/>
      </c>
      <c r="I663" s="63">
        <f>IF($G663="",0,IF(COUNTIF($G$2:$G663,$G663)=1,1,0))</f>
        <v>0</v>
      </c>
      <c r="J663" s="63" t="str">
        <f t="shared" si="51"/>
        <v/>
      </c>
      <c r="K663" s="63" t="str">
        <f>IF($H663="","",COUNTIF($H$2:$H663,"?*"))</f>
        <v/>
      </c>
    </row>
    <row r="664" spans="1:11" x14ac:dyDescent="0.25">
      <c r="A664" s="63" t="s">
        <v>554</v>
      </c>
      <c r="B664" s="63" t="s">
        <v>1219</v>
      </c>
      <c r="C664" s="63" t="s">
        <v>556</v>
      </c>
      <c r="D664" s="63" t="str">
        <f>IF('Barn - Back Rack'!P66="","",TRIM('Barn - Back Rack'!P66))</f>
        <v/>
      </c>
      <c r="E664" s="64" t="str">
        <f>IF($D664="","",'Barn - Back Rack'!Q66&amp;"")</f>
        <v/>
      </c>
      <c r="F664" s="63">
        <f t="shared" si="52"/>
        <v>0</v>
      </c>
      <c r="G664" s="64" t="str">
        <f t="shared" si="49"/>
        <v/>
      </c>
      <c r="H664" s="64" t="str">
        <f t="shared" si="50"/>
        <v/>
      </c>
      <c r="I664" s="63">
        <f>IF($G664="",0,IF(COUNTIF($G$2:$G664,$G664)=1,1,0))</f>
        <v>0</v>
      </c>
      <c r="J664" s="63" t="str">
        <f t="shared" si="51"/>
        <v/>
      </c>
      <c r="K664" s="63" t="str">
        <f>IF($H664="","",COUNTIF($H$2:$H664,"?*"))</f>
        <v/>
      </c>
    </row>
    <row r="665" spans="1:11" x14ac:dyDescent="0.25">
      <c r="A665" s="63" t="s">
        <v>554</v>
      </c>
      <c r="B665" s="63" t="s">
        <v>1220</v>
      </c>
      <c r="C665" s="63" t="s">
        <v>556</v>
      </c>
      <c r="D665" s="63" t="str">
        <f>IF('Barn - Back Rack'!P67="","",TRIM('Barn - Back Rack'!P67))</f>
        <v/>
      </c>
      <c r="E665" s="64" t="str">
        <f>IF($D665="","",'Barn - Back Rack'!Q67&amp;"")</f>
        <v/>
      </c>
      <c r="F665" s="63">
        <f t="shared" si="52"/>
        <v>0</v>
      </c>
      <c r="G665" s="64" t="str">
        <f t="shared" si="49"/>
        <v/>
      </c>
      <c r="H665" s="64" t="str">
        <f t="shared" si="50"/>
        <v/>
      </c>
      <c r="I665" s="63">
        <f>IF($G665="",0,IF(COUNTIF($G$2:$G665,$G665)=1,1,0))</f>
        <v>0</v>
      </c>
      <c r="J665" s="63" t="str">
        <f t="shared" si="51"/>
        <v/>
      </c>
      <c r="K665" s="63" t="str">
        <f>IF($H665="","",COUNTIF($H$2:$H665,"?*"))</f>
        <v/>
      </c>
    </row>
    <row r="666" spans="1:11" x14ac:dyDescent="0.25">
      <c r="A666" s="63" t="s">
        <v>554</v>
      </c>
      <c r="B666" s="63" t="s">
        <v>1221</v>
      </c>
      <c r="C666" s="63" t="s">
        <v>556</v>
      </c>
      <c r="D666" s="63" t="str">
        <f>IF('Barn - Back Rack'!P68="","",TRIM('Barn - Back Rack'!P68))</f>
        <v/>
      </c>
      <c r="E666" s="64" t="str">
        <f>IF($D666="","",'Barn - Back Rack'!Q68&amp;"")</f>
        <v/>
      </c>
      <c r="F666" s="63">
        <f t="shared" si="52"/>
        <v>0</v>
      </c>
      <c r="G666" s="64" t="str">
        <f t="shared" si="49"/>
        <v/>
      </c>
      <c r="H666" s="64" t="str">
        <f t="shared" si="50"/>
        <v/>
      </c>
      <c r="I666" s="63">
        <f>IF($G666="",0,IF(COUNTIF($G$2:$G666,$G666)=1,1,0))</f>
        <v>0</v>
      </c>
      <c r="J666" s="63" t="str">
        <f t="shared" si="51"/>
        <v/>
      </c>
      <c r="K666" s="63" t="str">
        <f>IF($H666="","",COUNTIF($H$2:$H666,"?*"))</f>
        <v/>
      </c>
    </row>
    <row r="667" spans="1:11" x14ac:dyDescent="0.25">
      <c r="A667" s="63" t="s">
        <v>554</v>
      </c>
      <c r="B667" s="63" t="s">
        <v>1222</v>
      </c>
      <c r="C667" s="63" t="s">
        <v>556</v>
      </c>
      <c r="D667" s="63" t="str">
        <f>IF('Barn - Back Rack'!P69="","",TRIM('Barn - Back Rack'!P69))</f>
        <v/>
      </c>
      <c r="E667" s="64" t="str">
        <f>IF($D667="","",'Barn - Back Rack'!Q69&amp;"")</f>
        <v/>
      </c>
      <c r="F667" s="63">
        <f t="shared" si="52"/>
        <v>0</v>
      </c>
      <c r="G667" s="64" t="str">
        <f t="shared" si="49"/>
        <v/>
      </c>
      <c r="H667" s="64" t="str">
        <f t="shared" si="50"/>
        <v/>
      </c>
      <c r="I667" s="63">
        <f>IF($G667="",0,IF(COUNTIF($G$2:$G667,$G667)=1,1,0))</f>
        <v>0</v>
      </c>
      <c r="J667" s="63" t="str">
        <f t="shared" si="51"/>
        <v/>
      </c>
      <c r="K667" s="63" t="str">
        <f>IF($H667="","",COUNTIF($H$2:$H667,"?*"))</f>
        <v/>
      </c>
    </row>
    <row r="668" spans="1:11" x14ac:dyDescent="0.25">
      <c r="A668" s="63" t="s">
        <v>554</v>
      </c>
      <c r="B668" s="63" t="s">
        <v>1223</v>
      </c>
      <c r="C668" s="63" t="s">
        <v>556</v>
      </c>
      <c r="D668" s="63" t="str">
        <f>IF('Barn - Back Rack'!P70="","",TRIM('Barn - Back Rack'!P70))</f>
        <v/>
      </c>
      <c r="E668" s="64" t="str">
        <f>IF($D668="","",'Barn - Back Rack'!Q70&amp;"")</f>
        <v/>
      </c>
      <c r="F668" s="63">
        <f t="shared" si="52"/>
        <v>0</v>
      </c>
      <c r="G668" s="64" t="str">
        <f t="shared" si="49"/>
        <v/>
      </c>
      <c r="H668" s="64" t="str">
        <f t="shared" si="50"/>
        <v/>
      </c>
      <c r="I668" s="63">
        <f>IF($G668="",0,IF(COUNTIF($G$2:$G668,$G668)=1,1,0))</f>
        <v>0</v>
      </c>
      <c r="J668" s="63" t="str">
        <f t="shared" si="51"/>
        <v/>
      </c>
      <c r="K668" s="63" t="str">
        <f>IF($H668="","",COUNTIF($H$2:$H668,"?*"))</f>
        <v/>
      </c>
    </row>
    <row r="669" spans="1:11" x14ac:dyDescent="0.25">
      <c r="A669" s="63" t="s">
        <v>554</v>
      </c>
      <c r="B669" s="63" t="s">
        <v>1224</v>
      </c>
      <c r="C669" s="63" t="s">
        <v>556</v>
      </c>
      <c r="D669" s="63" t="str">
        <f>IF('Barn - Back Rack'!P71="","",TRIM('Barn - Back Rack'!P71))</f>
        <v/>
      </c>
      <c r="E669" s="64" t="str">
        <f>IF($D669="","",'Barn - Back Rack'!Q71&amp;"")</f>
        <v/>
      </c>
      <c r="F669" s="63">
        <f t="shared" si="52"/>
        <v>0</v>
      </c>
      <c r="G669" s="64" t="str">
        <f t="shared" si="49"/>
        <v/>
      </c>
      <c r="H669" s="64" t="str">
        <f t="shared" si="50"/>
        <v/>
      </c>
      <c r="I669" s="63">
        <f>IF($G669="",0,IF(COUNTIF($G$2:$G669,$G669)=1,1,0))</f>
        <v>0</v>
      </c>
      <c r="J669" s="63" t="str">
        <f t="shared" si="51"/>
        <v/>
      </c>
      <c r="K669" s="63" t="str">
        <f>IF($H669="","",COUNTIF($H$2:$H669,"?*"))</f>
        <v/>
      </c>
    </row>
    <row r="670" spans="1:11" x14ac:dyDescent="0.25">
      <c r="A670" s="63" t="s">
        <v>554</v>
      </c>
      <c r="B670" s="63" t="s">
        <v>1225</v>
      </c>
      <c r="C670" s="63" t="s">
        <v>556</v>
      </c>
      <c r="D670" s="63" t="str">
        <f>IF('Barn - Back Rack'!P72="","",TRIM('Barn - Back Rack'!P72))</f>
        <v/>
      </c>
      <c r="E670" s="64" t="str">
        <f>IF($D670="","",'Barn - Back Rack'!Q72&amp;"")</f>
        <v/>
      </c>
      <c r="F670" s="63">
        <f t="shared" si="52"/>
        <v>0</v>
      </c>
      <c r="G670" s="64" t="str">
        <f t="shared" si="49"/>
        <v/>
      </c>
      <c r="H670" s="64" t="str">
        <f t="shared" si="50"/>
        <v/>
      </c>
      <c r="I670" s="63">
        <f>IF($G670="",0,IF(COUNTIF($G$2:$G670,$G670)=1,1,0))</f>
        <v>0</v>
      </c>
      <c r="J670" s="63" t="str">
        <f t="shared" si="51"/>
        <v/>
      </c>
      <c r="K670" s="63" t="str">
        <f>IF($H670="","",COUNTIF($H$2:$H670,"?*"))</f>
        <v/>
      </c>
    </row>
    <row r="671" spans="1:11" x14ac:dyDescent="0.25">
      <c r="A671" s="63" t="s">
        <v>554</v>
      </c>
      <c r="B671" s="63" t="s">
        <v>1226</v>
      </c>
      <c r="C671" s="63" t="s">
        <v>556</v>
      </c>
      <c r="D671" s="63" t="str">
        <f>IF('Barn - Back Rack'!P73="","",TRIM('Barn - Back Rack'!P73))</f>
        <v/>
      </c>
      <c r="E671" s="64" t="str">
        <f>IF($D671="","",'Barn - Back Rack'!Q73&amp;"")</f>
        <v/>
      </c>
      <c r="F671" s="63">
        <f t="shared" si="52"/>
        <v>0</v>
      </c>
      <c r="G671" s="64" t="str">
        <f t="shared" si="49"/>
        <v/>
      </c>
      <c r="H671" s="64" t="str">
        <f t="shared" si="50"/>
        <v/>
      </c>
      <c r="I671" s="63">
        <f>IF($G671="",0,IF(COUNTIF($G$2:$G671,$G671)=1,1,0))</f>
        <v>0</v>
      </c>
      <c r="J671" s="63" t="str">
        <f t="shared" si="51"/>
        <v/>
      </c>
      <c r="K671" s="63" t="str">
        <f>IF($H671="","",COUNTIF($H$2:$H671,"?*"))</f>
        <v/>
      </c>
    </row>
    <row r="672" spans="1:11" x14ac:dyDescent="0.25">
      <c r="A672" s="63" t="s">
        <v>554</v>
      </c>
      <c r="B672" s="63" t="s">
        <v>1227</v>
      </c>
      <c r="C672" s="63" t="s">
        <v>556</v>
      </c>
      <c r="D672" s="63" t="str">
        <f>IF('Barn - Back Rack'!P74="","",TRIM('Barn - Back Rack'!P74))</f>
        <v/>
      </c>
      <c r="E672" s="64" t="str">
        <f>IF($D672="","",'Barn - Back Rack'!Q74&amp;"")</f>
        <v/>
      </c>
      <c r="F672" s="63">
        <f t="shared" si="52"/>
        <v>0</v>
      </c>
      <c r="G672" s="64" t="str">
        <f t="shared" si="49"/>
        <v/>
      </c>
      <c r="H672" s="64" t="str">
        <f t="shared" si="50"/>
        <v/>
      </c>
      <c r="I672" s="63">
        <f>IF($G672="",0,IF(COUNTIF($G$2:$G672,$G672)=1,1,0))</f>
        <v>0</v>
      </c>
      <c r="J672" s="63" t="str">
        <f t="shared" si="51"/>
        <v/>
      </c>
      <c r="K672" s="63" t="str">
        <f>IF($H672="","",COUNTIF($H$2:$H672,"?*"))</f>
        <v/>
      </c>
    </row>
    <row r="673" spans="1:11" x14ac:dyDescent="0.25">
      <c r="A673" s="63" t="s">
        <v>554</v>
      </c>
      <c r="B673" s="63" t="s">
        <v>1228</v>
      </c>
      <c r="C673" s="63" t="s">
        <v>556</v>
      </c>
      <c r="D673" s="63" t="str">
        <f>IF('Barn - Back Rack'!P75="","",TRIM('Barn - Back Rack'!P75))</f>
        <v/>
      </c>
      <c r="E673" s="64" t="str">
        <f>IF($D673="","",'Barn - Back Rack'!Q75&amp;"")</f>
        <v/>
      </c>
      <c r="F673" s="63">
        <f t="shared" si="52"/>
        <v>0</v>
      </c>
      <c r="G673" s="64" t="str">
        <f t="shared" si="49"/>
        <v/>
      </c>
      <c r="H673" s="64" t="str">
        <f t="shared" si="50"/>
        <v/>
      </c>
      <c r="I673" s="63">
        <f>IF($G673="",0,IF(COUNTIF($G$2:$G673,$G673)=1,1,0))</f>
        <v>0</v>
      </c>
      <c r="J673" s="63" t="str">
        <f t="shared" si="51"/>
        <v/>
      </c>
      <c r="K673" s="63" t="str">
        <f>IF($H673="","",COUNTIF($H$2:$H673,"?*"))</f>
        <v/>
      </c>
    </row>
    <row r="674" spans="1:11" x14ac:dyDescent="0.25">
      <c r="A674" s="63" t="s">
        <v>554</v>
      </c>
      <c r="B674" s="63" t="s">
        <v>1229</v>
      </c>
      <c r="C674" s="63" t="s">
        <v>556</v>
      </c>
      <c r="D674" s="63" t="str">
        <f>IF('Barn - Back Rack'!R64="","",TRIM('Barn - Back Rack'!R64))</f>
        <v>Fetco GR2.2</v>
      </c>
      <c r="E674" s="64" t="str">
        <f>IF($D674="","",'Barn - Back Rack'!S64&amp;"")</f>
        <v>N/A</v>
      </c>
      <c r="F674" s="63">
        <f t="shared" si="52"/>
        <v>1</v>
      </c>
      <c r="G674" s="64" t="str">
        <f t="shared" si="49"/>
        <v>Fetco GR2.2</v>
      </c>
      <c r="H674" s="64" t="str">
        <f t="shared" si="50"/>
        <v/>
      </c>
      <c r="I674" s="63">
        <f>IF($G674="",0,IF(COUNTIF($G$2:$G674,$G674)=1,1,0))</f>
        <v>1</v>
      </c>
      <c r="J674" s="63">
        <f t="shared" si="51"/>
        <v>58</v>
      </c>
      <c r="K674" s="63" t="str">
        <f>IF($H674="","",COUNTIF($H$2:$H674,"?*"))</f>
        <v/>
      </c>
    </row>
    <row r="675" spans="1:11" x14ac:dyDescent="0.25">
      <c r="A675" s="63" t="s">
        <v>554</v>
      </c>
      <c r="B675" s="63" t="s">
        <v>1230</v>
      </c>
      <c r="C675" s="63" t="s">
        <v>556</v>
      </c>
      <c r="D675" s="63" t="str">
        <f>IF('Barn - Back Rack'!R65="","",TRIM('Barn - Back Rack'!R65))</f>
        <v>Fetco GR2.2</v>
      </c>
      <c r="E675" s="64" t="str">
        <f>IF($D675="","",'Barn - Back Rack'!S65&amp;"")</f>
        <v>N/A</v>
      </c>
      <c r="F675" s="63">
        <f t="shared" si="52"/>
        <v>1</v>
      </c>
      <c r="G675" s="64" t="str">
        <f t="shared" si="49"/>
        <v>Fetco GR2.2</v>
      </c>
      <c r="H675" s="64" t="str">
        <f t="shared" si="50"/>
        <v/>
      </c>
      <c r="I675" s="63">
        <f>IF($G675="",0,IF(COUNTIF($G$2:$G675,$G675)=1,1,0))</f>
        <v>0</v>
      </c>
      <c r="J675" s="63" t="str">
        <f t="shared" si="51"/>
        <v/>
      </c>
      <c r="K675" s="63" t="str">
        <f>IF($H675="","",COUNTIF($H$2:$H675,"?*"))</f>
        <v/>
      </c>
    </row>
    <row r="676" spans="1:11" x14ac:dyDescent="0.25">
      <c r="A676" s="63" t="s">
        <v>554</v>
      </c>
      <c r="B676" s="63" t="s">
        <v>1231</v>
      </c>
      <c r="C676" s="63" t="s">
        <v>556</v>
      </c>
      <c r="D676" s="63" t="str">
        <f>IF('Barn - Back Rack'!R66="","",TRIM('Barn - Back Rack'!R66))</f>
        <v>Fetco GR2.2</v>
      </c>
      <c r="E676" s="64" t="str">
        <f>IF($D676="","",'Barn - Back Rack'!S66&amp;"")</f>
        <v>300113077790</v>
      </c>
      <c r="F676" s="63">
        <f t="shared" si="52"/>
        <v>1</v>
      </c>
      <c r="G676" s="64" t="str">
        <f t="shared" si="49"/>
        <v>Fetco GR2.2</v>
      </c>
      <c r="H676" s="64" t="str">
        <f t="shared" si="50"/>
        <v/>
      </c>
      <c r="I676" s="63">
        <f>IF($G676="",0,IF(COUNTIF($G$2:$G676,$G676)=1,1,0))</f>
        <v>0</v>
      </c>
      <c r="J676" s="63" t="str">
        <f t="shared" si="51"/>
        <v/>
      </c>
      <c r="K676" s="63" t="str">
        <f>IF($H676="","",COUNTIF($H$2:$H676,"?*"))</f>
        <v/>
      </c>
    </row>
    <row r="677" spans="1:11" x14ac:dyDescent="0.25">
      <c r="A677" s="63" t="s">
        <v>554</v>
      </c>
      <c r="B677" s="63" t="s">
        <v>1232</v>
      </c>
      <c r="C677" s="63" t="s">
        <v>556</v>
      </c>
      <c r="D677" s="63" t="str">
        <f>IF('Barn - Back Rack'!R67="","",TRIM('Barn - Back Rack'!R67))</f>
        <v>Fetco GR2.2</v>
      </c>
      <c r="E677" s="64" t="str">
        <f>IF($D677="","",'Barn - Back Rack'!S67&amp;"")</f>
        <v>740145078429</v>
      </c>
      <c r="F677" s="63">
        <f t="shared" si="52"/>
        <v>1</v>
      </c>
      <c r="G677" s="64" t="str">
        <f t="shared" si="49"/>
        <v>Fetco GR2.2</v>
      </c>
      <c r="H677" s="64" t="str">
        <f t="shared" si="50"/>
        <v/>
      </c>
      <c r="I677" s="63">
        <f>IF($G677="",0,IF(COUNTIF($G$2:$G677,$G677)=1,1,0))</f>
        <v>0</v>
      </c>
      <c r="J677" s="63" t="str">
        <f t="shared" si="51"/>
        <v/>
      </c>
      <c r="K677" s="63" t="str">
        <f>IF($H677="","",COUNTIF($H$2:$H677,"?*"))</f>
        <v/>
      </c>
    </row>
    <row r="678" spans="1:11" x14ac:dyDescent="0.25">
      <c r="A678" s="63" t="s">
        <v>554</v>
      </c>
      <c r="B678" s="63" t="s">
        <v>1233</v>
      </c>
      <c r="C678" s="63" t="s">
        <v>556</v>
      </c>
      <c r="D678" s="63" t="str">
        <f>IF('Barn - Back Rack'!R68="","",TRIM('Barn - Back Rack'!R68))</f>
        <v>Fetco GR2.3</v>
      </c>
      <c r="E678" s="64" t="str">
        <f>IF($D678="","",'Barn - Back Rack'!S68&amp;"")</f>
        <v>300122066926A</v>
      </c>
      <c r="F678" s="63">
        <f t="shared" si="52"/>
        <v>1</v>
      </c>
      <c r="G678" s="64" t="str">
        <f t="shared" si="49"/>
        <v>Fetco GR2.3</v>
      </c>
      <c r="H678" s="64" t="str">
        <f t="shared" si="50"/>
        <v/>
      </c>
      <c r="I678" s="63">
        <f>IF($G678="",0,IF(COUNTIF($G$2:$G678,$G678)=1,1,0))</f>
        <v>1</v>
      </c>
      <c r="J678" s="63">
        <f t="shared" si="51"/>
        <v>59</v>
      </c>
      <c r="K678" s="63" t="str">
        <f>IF($H678="","",COUNTIF($H$2:$H678,"?*"))</f>
        <v/>
      </c>
    </row>
    <row r="679" spans="1:11" x14ac:dyDescent="0.25">
      <c r="A679" s="63" t="s">
        <v>554</v>
      </c>
      <c r="B679" s="63" t="s">
        <v>1234</v>
      </c>
      <c r="C679" s="63" t="s">
        <v>556</v>
      </c>
      <c r="D679" s="63" t="str">
        <f>IF('Barn - Back Rack'!R69="","",TRIM('Barn - Back Rack'!R69))</f>
        <v/>
      </c>
      <c r="E679" s="64" t="str">
        <f>IF($D679="","",'Barn - Back Rack'!S69&amp;"")</f>
        <v/>
      </c>
      <c r="F679" s="63">
        <f t="shared" si="52"/>
        <v>0</v>
      </c>
      <c r="G679" s="64" t="str">
        <f t="shared" si="49"/>
        <v/>
      </c>
      <c r="H679" s="64" t="str">
        <f t="shared" si="50"/>
        <v/>
      </c>
      <c r="I679" s="63">
        <f>IF($G679="",0,IF(COUNTIF($G$2:$G679,$G679)=1,1,0))</f>
        <v>0</v>
      </c>
      <c r="J679" s="63" t="str">
        <f t="shared" si="51"/>
        <v/>
      </c>
      <c r="K679" s="63" t="str">
        <f>IF($H679="","",COUNTIF($H$2:$H679,"?*"))</f>
        <v/>
      </c>
    </row>
    <row r="680" spans="1:11" x14ac:dyDescent="0.25">
      <c r="A680" s="63" t="s">
        <v>554</v>
      </c>
      <c r="B680" s="63" t="s">
        <v>1235</v>
      </c>
      <c r="C680" s="63" t="s">
        <v>556</v>
      </c>
      <c r="D680" s="63" t="str">
        <f>IF('Barn - Back Rack'!R70="","",TRIM('Barn - Back Rack'!R70))</f>
        <v/>
      </c>
      <c r="E680" s="64" t="str">
        <f>IF($D680="","",'Barn - Back Rack'!S70&amp;"")</f>
        <v/>
      </c>
      <c r="F680" s="63">
        <f t="shared" si="52"/>
        <v>0</v>
      </c>
      <c r="G680" s="64" t="str">
        <f t="shared" si="49"/>
        <v/>
      </c>
      <c r="H680" s="64" t="str">
        <f t="shared" si="50"/>
        <v/>
      </c>
      <c r="I680" s="63">
        <f>IF($G680="",0,IF(COUNTIF($G$2:$G680,$G680)=1,1,0))</f>
        <v>0</v>
      </c>
      <c r="J680" s="63" t="str">
        <f t="shared" si="51"/>
        <v/>
      </c>
      <c r="K680" s="63" t="str">
        <f>IF($H680="","",COUNTIF($H$2:$H680,"?*"))</f>
        <v/>
      </c>
    </row>
    <row r="681" spans="1:11" x14ac:dyDescent="0.25">
      <c r="A681" s="63" t="s">
        <v>554</v>
      </c>
      <c r="B681" s="63" t="s">
        <v>1236</v>
      </c>
      <c r="C681" s="63" t="s">
        <v>556</v>
      </c>
      <c r="D681" s="63" t="str">
        <f>IF('Barn - Back Rack'!R71="","",TRIM('Barn - Back Rack'!R71))</f>
        <v/>
      </c>
      <c r="E681" s="64" t="str">
        <f>IF($D681="","",'Barn - Back Rack'!S71&amp;"")</f>
        <v/>
      </c>
      <c r="F681" s="63">
        <f t="shared" si="52"/>
        <v>0</v>
      </c>
      <c r="G681" s="64" t="str">
        <f t="shared" si="49"/>
        <v/>
      </c>
      <c r="H681" s="64" t="str">
        <f t="shared" si="50"/>
        <v/>
      </c>
      <c r="I681" s="63">
        <f>IF($G681="",0,IF(COUNTIF($G$2:$G681,$G681)=1,1,0))</f>
        <v>0</v>
      </c>
      <c r="J681" s="63" t="str">
        <f t="shared" si="51"/>
        <v/>
      </c>
      <c r="K681" s="63" t="str">
        <f>IF($H681="","",COUNTIF($H$2:$H681,"?*"))</f>
        <v/>
      </c>
    </row>
    <row r="682" spans="1:11" x14ac:dyDescent="0.25">
      <c r="A682" s="63" t="s">
        <v>554</v>
      </c>
      <c r="B682" s="63" t="s">
        <v>1237</v>
      </c>
      <c r="C682" s="63" t="s">
        <v>556</v>
      </c>
      <c r="D682" s="63" t="str">
        <f>IF('Barn - Back Rack'!R72="","",TRIM('Barn - Back Rack'!R72))</f>
        <v/>
      </c>
      <c r="E682" s="64" t="str">
        <f>IF($D682="","",'Barn - Back Rack'!S72&amp;"")</f>
        <v/>
      </c>
      <c r="F682" s="63">
        <f t="shared" si="52"/>
        <v>0</v>
      </c>
      <c r="G682" s="64" t="str">
        <f t="shared" si="49"/>
        <v/>
      </c>
      <c r="H682" s="64" t="str">
        <f t="shared" si="50"/>
        <v/>
      </c>
      <c r="I682" s="63">
        <f>IF($G682="",0,IF(COUNTIF($G$2:$G682,$G682)=1,1,0))</f>
        <v>0</v>
      </c>
      <c r="J682" s="63" t="str">
        <f t="shared" si="51"/>
        <v/>
      </c>
      <c r="K682" s="63" t="str">
        <f>IF($H682="","",COUNTIF($H$2:$H682,"?*"))</f>
        <v/>
      </c>
    </row>
    <row r="683" spans="1:11" x14ac:dyDescent="0.25">
      <c r="A683" s="63" t="s">
        <v>554</v>
      </c>
      <c r="B683" s="63" t="s">
        <v>1238</v>
      </c>
      <c r="C683" s="63" t="s">
        <v>556</v>
      </c>
      <c r="D683" s="63" t="str">
        <f>IF('Barn - Back Rack'!R73="","",TRIM('Barn - Back Rack'!R73))</f>
        <v/>
      </c>
      <c r="E683" s="64" t="str">
        <f>IF($D683="","",'Barn - Back Rack'!S73&amp;"")</f>
        <v/>
      </c>
      <c r="F683" s="63">
        <f t="shared" si="52"/>
        <v>0</v>
      </c>
      <c r="G683" s="64" t="str">
        <f t="shared" si="49"/>
        <v/>
      </c>
      <c r="H683" s="64" t="str">
        <f t="shared" si="50"/>
        <v/>
      </c>
      <c r="I683" s="63">
        <f>IF($G683="",0,IF(COUNTIF($G$2:$G683,$G683)=1,1,0))</f>
        <v>0</v>
      </c>
      <c r="J683" s="63" t="str">
        <f t="shared" si="51"/>
        <v/>
      </c>
      <c r="K683" s="63" t="str">
        <f>IF($H683="","",COUNTIF($H$2:$H683,"?*"))</f>
        <v/>
      </c>
    </row>
    <row r="684" spans="1:11" x14ac:dyDescent="0.25">
      <c r="A684" s="63" t="s">
        <v>554</v>
      </c>
      <c r="B684" s="63" t="s">
        <v>1239</v>
      </c>
      <c r="C684" s="63" t="s">
        <v>556</v>
      </c>
      <c r="D684" s="63" t="str">
        <f>IF('Barn - Back Rack'!R74="","",TRIM('Barn - Back Rack'!R74))</f>
        <v/>
      </c>
      <c r="E684" s="64" t="str">
        <f>IF($D684="","",'Barn - Back Rack'!S74&amp;"")</f>
        <v/>
      </c>
      <c r="F684" s="63">
        <f t="shared" si="52"/>
        <v>0</v>
      </c>
      <c r="G684" s="64" t="str">
        <f t="shared" si="49"/>
        <v/>
      </c>
      <c r="H684" s="64" t="str">
        <f t="shared" si="50"/>
        <v/>
      </c>
      <c r="I684" s="63">
        <f>IF($G684="",0,IF(COUNTIF($G$2:$G684,$G684)=1,1,0))</f>
        <v>0</v>
      </c>
      <c r="J684" s="63" t="str">
        <f t="shared" si="51"/>
        <v/>
      </c>
      <c r="K684" s="63" t="str">
        <f>IF($H684="","",COUNTIF($H$2:$H684,"?*"))</f>
        <v/>
      </c>
    </row>
    <row r="685" spans="1:11" x14ac:dyDescent="0.25">
      <c r="A685" s="63" t="s">
        <v>554</v>
      </c>
      <c r="B685" s="63" t="s">
        <v>1240</v>
      </c>
      <c r="C685" s="63" t="s">
        <v>556</v>
      </c>
      <c r="D685" s="63" t="str">
        <f>IF('Barn - Back Rack'!R75="","",TRIM('Barn - Back Rack'!R75))</f>
        <v/>
      </c>
      <c r="E685" s="64" t="str">
        <f>IF($D685="","",'Barn - Back Rack'!S75&amp;"")</f>
        <v/>
      </c>
      <c r="F685" s="63">
        <f t="shared" si="52"/>
        <v>0</v>
      </c>
      <c r="G685" s="64" t="str">
        <f t="shared" si="49"/>
        <v/>
      </c>
      <c r="H685" s="64" t="str">
        <f t="shared" si="50"/>
        <v/>
      </c>
      <c r="I685" s="63">
        <f>IF($G685="",0,IF(COUNTIF($G$2:$G685,$G685)=1,1,0))</f>
        <v>0</v>
      </c>
      <c r="J685" s="63" t="str">
        <f t="shared" si="51"/>
        <v/>
      </c>
      <c r="K685" s="63" t="str">
        <f>IF($H685="","",COUNTIF($H$2:$H685,"?*"))</f>
        <v/>
      </c>
    </row>
    <row r="686" spans="1:11" x14ac:dyDescent="0.25">
      <c r="A686" s="63" t="s">
        <v>554</v>
      </c>
      <c r="B686" s="63" t="s">
        <v>1241</v>
      </c>
      <c r="C686" s="63" t="s">
        <v>556</v>
      </c>
      <c r="D686" s="63" t="str">
        <f>IF('Barn - Back Rack'!T64="","",TRIM('Barn - Back Rack'!T64))</f>
        <v>Bunn FPG-2E</v>
      </c>
      <c r="E686" s="64" t="str">
        <f>IF($D686="","",'Barn - Back Rack'!U64&amp;"")</f>
        <v>LPG0080876</v>
      </c>
      <c r="F686" s="63">
        <f t="shared" si="52"/>
        <v>1</v>
      </c>
      <c r="G686" s="64" t="str">
        <f t="shared" si="49"/>
        <v>Bunn FPG-2E</v>
      </c>
      <c r="H686" s="64" t="str">
        <f t="shared" si="50"/>
        <v/>
      </c>
      <c r="I686" s="63">
        <f>IF($G686="",0,IF(COUNTIF($G$2:$G686,$G686)=1,1,0))</f>
        <v>1</v>
      </c>
      <c r="J686" s="63">
        <f t="shared" si="51"/>
        <v>10</v>
      </c>
      <c r="K686" s="63" t="str">
        <f>IF($H686="","",COUNTIF($H$2:$H686,"?*"))</f>
        <v/>
      </c>
    </row>
    <row r="687" spans="1:11" x14ac:dyDescent="0.25">
      <c r="A687" s="63" t="s">
        <v>554</v>
      </c>
      <c r="B687" s="63" t="s">
        <v>1242</v>
      </c>
      <c r="C687" s="63" t="s">
        <v>556</v>
      </c>
      <c r="D687" s="63" t="str">
        <f>IF('Barn - Back Rack'!T65="","",TRIM('Barn - Back Rack'!T65))</f>
        <v>Bunn FPG-2E</v>
      </c>
      <c r="E687" s="64" t="str">
        <f>IF($D687="","",'Barn - Back Rack'!U65&amp;"")</f>
        <v>LPG0078933</v>
      </c>
      <c r="F687" s="63">
        <f t="shared" si="52"/>
        <v>1</v>
      </c>
      <c r="G687" s="64" t="str">
        <f t="shared" si="49"/>
        <v>Bunn FPG-2E</v>
      </c>
      <c r="H687" s="64" t="str">
        <f t="shared" si="50"/>
        <v/>
      </c>
      <c r="I687" s="63">
        <f>IF($G687="",0,IF(COUNTIF($G$2:$G687,$G687)=1,1,0))</f>
        <v>0</v>
      </c>
      <c r="J687" s="63" t="str">
        <f t="shared" si="51"/>
        <v/>
      </c>
      <c r="K687" s="63" t="str">
        <f>IF($H687="","",COUNTIF($H$2:$H687,"?*"))</f>
        <v/>
      </c>
    </row>
    <row r="688" spans="1:11" x14ac:dyDescent="0.25">
      <c r="A688" s="63" t="s">
        <v>554</v>
      </c>
      <c r="B688" s="63" t="s">
        <v>1243</v>
      </c>
      <c r="C688" s="63" t="s">
        <v>556</v>
      </c>
      <c r="D688" s="63" t="str">
        <f>IF('Barn - Back Rack'!T66="","",TRIM('Barn - Back Rack'!T66))</f>
        <v>Bunn LPG-2E</v>
      </c>
      <c r="E688" s="64" t="str">
        <f>IF($D688="","",'Barn - Back Rack'!U66&amp;"")</f>
        <v>LPG0072279</v>
      </c>
      <c r="F688" s="63">
        <f t="shared" si="52"/>
        <v>1</v>
      </c>
      <c r="G688" s="64" t="str">
        <f t="shared" si="49"/>
        <v>Bunn LPG-2E</v>
      </c>
      <c r="H688" s="64" t="str">
        <f t="shared" si="50"/>
        <v/>
      </c>
      <c r="I688" s="63">
        <f>IF($G688="",0,IF(COUNTIF($G$2:$G688,$G688)=1,1,0))</f>
        <v>1</v>
      </c>
      <c r="J688" s="63">
        <f t="shared" si="51"/>
        <v>27</v>
      </c>
      <c r="K688" s="63" t="str">
        <f>IF($H688="","",COUNTIF($H$2:$H688,"?*"))</f>
        <v/>
      </c>
    </row>
    <row r="689" spans="1:11" x14ac:dyDescent="0.25">
      <c r="A689" s="63" t="s">
        <v>554</v>
      </c>
      <c r="B689" s="63" t="s">
        <v>1244</v>
      </c>
      <c r="C689" s="63" t="s">
        <v>556</v>
      </c>
      <c r="D689" s="63" t="str">
        <f>IF('Barn - Back Rack'!T67="","",TRIM('Barn - Back Rack'!T67))</f>
        <v>Bunn LPG-2E</v>
      </c>
      <c r="E689" s="64" t="str">
        <f>IF($D689="","",'Barn - Back Rack'!U67&amp;"")</f>
        <v>LPG0072283</v>
      </c>
      <c r="F689" s="63">
        <f t="shared" si="52"/>
        <v>1</v>
      </c>
      <c r="G689" s="64" t="str">
        <f t="shared" si="49"/>
        <v>Bunn LPG-2E</v>
      </c>
      <c r="H689" s="64" t="str">
        <f t="shared" si="50"/>
        <v/>
      </c>
      <c r="I689" s="63">
        <f>IF($G689="",0,IF(COUNTIF($G$2:$G689,$G689)=1,1,0))</f>
        <v>0</v>
      </c>
      <c r="J689" s="63" t="str">
        <f t="shared" si="51"/>
        <v/>
      </c>
      <c r="K689" s="63" t="str">
        <f>IF($H689="","",COUNTIF($H$2:$H689,"?*"))</f>
        <v/>
      </c>
    </row>
    <row r="690" spans="1:11" x14ac:dyDescent="0.25">
      <c r="A690" s="63" t="s">
        <v>554</v>
      </c>
      <c r="B690" s="63" t="s">
        <v>1245</v>
      </c>
      <c r="C690" s="63" t="s">
        <v>556</v>
      </c>
      <c r="D690" s="63" t="str">
        <f>IF('Barn - Back Rack'!T68="","",TRIM('Barn - Back Rack'!T68))</f>
        <v>Bunn LPG-2E</v>
      </c>
      <c r="E690" s="64" t="str">
        <f>IF($D690="","",'Barn - Back Rack'!U68&amp;"")</f>
        <v>LPG0076567</v>
      </c>
      <c r="F690" s="63">
        <f t="shared" si="52"/>
        <v>1</v>
      </c>
      <c r="G690" s="64" t="str">
        <f t="shared" si="49"/>
        <v>Bunn LPG-2E</v>
      </c>
      <c r="H690" s="64" t="str">
        <f t="shared" si="50"/>
        <v/>
      </c>
      <c r="I690" s="63">
        <f>IF($G690="",0,IF(COUNTIF($G$2:$G690,$G690)=1,1,0))</f>
        <v>0</v>
      </c>
      <c r="J690" s="63" t="str">
        <f t="shared" si="51"/>
        <v/>
      </c>
      <c r="K690" s="63" t="str">
        <f>IF($H690="","",COUNTIF($H$2:$H690,"?*"))</f>
        <v/>
      </c>
    </row>
    <row r="691" spans="1:11" x14ac:dyDescent="0.25">
      <c r="A691" s="63" t="s">
        <v>554</v>
      </c>
      <c r="B691" s="63" t="s">
        <v>1246</v>
      </c>
      <c r="C691" s="63" t="s">
        <v>556</v>
      </c>
      <c r="D691" s="63" t="str">
        <f>IF('Barn - Back Rack'!T69="","",TRIM('Barn - Back Rack'!T69))</f>
        <v>Bunn LPG-2E</v>
      </c>
      <c r="E691" s="64" t="str">
        <f>IF($D691="","",'Barn - Back Rack'!U69&amp;"")</f>
        <v>LPG0029174</v>
      </c>
      <c r="F691" s="63">
        <f t="shared" si="52"/>
        <v>1</v>
      </c>
      <c r="G691" s="64" t="str">
        <f t="shared" si="49"/>
        <v>Bunn LPG-2E</v>
      </c>
      <c r="H691" s="64" t="str">
        <f t="shared" si="50"/>
        <v/>
      </c>
      <c r="I691" s="63">
        <f>IF($G691="",0,IF(COUNTIF($G$2:$G691,$G691)=1,1,0))</f>
        <v>0</v>
      </c>
      <c r="J691" s="63" t="str">
        <f t="shared" si="51"/>
        <v/>
      </c>
      <c r="K691" s="63" t="str">
        <f>IF($H691="","",COUNTIF($H$2:$H691,"?*"))</f>
        <v/>
      </c>
    </row>
    <row r="692" spans="1:11" x14ac:dyDescent="0.25">
      <c r="A692" s="63" t="s">
        <v>554</v>
      </c>
      <c r="B692" s="63" t="s">
        <v>1247</v>
      </c>
      <c r="C692" s="63" t="s">
        <v>556</v>
      </c>
      <c r="D692" s="63" t="str">
        <f>IF('Barn - Back Rack'!T70="","",TRIM('Barn - Back Rack'!T70))</f>
        <v>Bunn LPG-2E</v>
      </c>
      <c r="E692" s="64" t="str">
        <f>IF($D692="","",'Barn - Back Rack'!U70&amp;"")</f>
        <v>LPG0045015</v>
      </c>
      <c r="F692" s="63">
        <f t="shared" si="52"/>
        <v>1</v>
      </c>
      <c r="G692" s="64" t="str">
        <f t="shared" si="49"/>
        <v>Bunn LPG-2E</v>
      </c>
      <c r="H692" s="64" t="str">
        <f t="shared" si="50"/>
        <v/>
      </c>
      <c r="I692" s="63">
        <f>IF($G692="",0,IF(COUNTIF($G$2:$G692,$G692)=1,1,0))</f>
        <v>0</v>
      </c>
      <c r="J692" s="63" t="str">
        <f t="shared" si="51"/>
        <v/>
      </c>
      <c r="K692" s="63" t="str">
        <f>IF($H692="","",COUNTIF($H$2:$H692,"?*"))</f>
        <v/>
      </c>
    </row>
    <row r="693" spans="1:11" x14ac:dyDescent="0.25">
      <c r="A693" s="63" t="s">
        <v>554</v>
      </c>
      <c r="B693" s="63" t="s">
        <v>1248</v>
      </c>
      <c r="C693" s="63" t="s">
        <v>556</v>
      </c>
      <c r="D693" s="63" t="str">
        <f>IF('Barn - Back Rack'!T71="","",TRIM('Barn - Back Rack'!T71))</f>
        <v>Bunn LPG-2E</v>
      </c>
      <c r="E693" s="64" t="str">
        <f>IF($D693="","",'Barn - Back Rack'!U71&amp;"")</f>
        <v>LPG0053520</v>
      </c>
      <c r="F693" s="63">
        <f t="shared" si="52"/>
        <v>1</v>
      </c>
      <c r="G693" s="64" t="str">
        <f t="shared" si="49"/>
        <v>Bunn LPG-2E</v>
      </c>
      <c r="H693" s="64" t="str">
        <f t="shared" si="50"/>
        <v/>
      </c>
      <c r="I693" s="63">
        <f>IF($G693="",0,IF(COUNTIF($G$2:$G693,$G693)=1,1,0))</f>
        <v>0</v>
      </c>
      <c r="J693" s="63" t="str">
        <f t="shared" si="51"/>
        <v/>
      </c>
      <c r="K693" s="63" t="str">
        <f>IF($H693="","",COUNTIF($H$2:$H693,"?*"))</f>
        <v/>
      </c>
    </row>
    <row r="694" spans="1:11" x14ac:dyDescent="0.25">
      <c r="A694" s="63" t="s">
        <v>554</v>
      </c>
      <c r="B694" s="63" t="s">
        <v>1249</v>
      </c>
      <c r="C694" s="63" t="s">
        <v>556</v>
      </c>
      <c r="D694" s="63" t="str">
        <f>IF('Barn - Back Rack'!T72="","",TRIM('Barn - Back Rack'!T72))</f>
        <v>Bunn H5X 120V</v>
      </c>
      <c r="E694" s="64" t="str">
        <f>IF($D694="","",'Barn - Back Rack'!U72&amp;"")</f>
        <v>HX00147221</v>
      </c>
      <c r="F694" s="63">
        <f t="shared" si="52"/>
        <v>1</v>
      </c>
      <c r="G694" s="64" t="str">
        <f t="shared" si="49"/>
        <v>Bunn H5X 120V</v>
      </c>
      <c r="H694" s="64" t="str">
        <f t="shared" si="50"/>
        <v/>
      </c>
      <c r="I694" s="63">
        <f>IF($G694="",0,IF(COUNTIF($G$2:$G694,$G694)=1,1,0))</f>
        <v>1</v>
      </c>
      <c r="J694" s="63">
        <f t="shared" si="51"/>
        <v>18</v>
      </c>
      <c r="K694" s="63" t="str">
        <f>IF($H694="","",COUNTIF($H$2:$H694,"?*"))</f>
        <v/>
      </c>
    </row>
    <row r="695" spans="1:11" x14ac:dyDescent="0.25">
      <c r="A695" s="63" t="s">
        <v>554</v>
      </c>
      <c r="B695" s="63" t="s">
        <v>1250</v>
      </c>
      <c r="C695" s="63" t="s">
        <v>556</v>
      </c>
      <c r="D695" s="63" t="str">
        <f>IF('Barn - Back Rack'!T73="","",TRIM('Barn - Back Rack'!T73))</f>
        <v/>
      </c>
      <c r="E695" s="64" t="str">
        <f>IF($D695="","",'Barn - Back Rack'!U73&amp;"")</f>
        <v/>
      </c>
      <c r="F695" s="63">
        <f t="shared" si="52"/>
        <v>0</v>
      </c>
      <c r="G695" s="64" t="str">
        <f t="shared" si="49"/>
        <v/>
      </c>
      <c r="H695" s="64" t="str">
        <f t="shared" si="50"/>
        <v/>
      </c>
      <c r="I695" s="63">
        <f>IF($G695="",0,IF(COUNTIF($G$2:$G695,$G695)=1,1,0))</f>
        <v>0</v>
      </c>
      <c r="J695" s="63" t="str">
        <f t="shared" si="51"/>
        <v/>
      </c>
      <c r="K695" s="63" t="str">
        <f>IF($H695="","",COUNTIF($H$2:$H695,"?*"))</f>
        <v/>
      </c>
    </row>
    <row r="696" spans="1:11" x14ac:dyDescent="0.25">
      <c r="A696" s="63" t="s">
        <v>554</v>
      </c>
      <c r="B696" s="63" t="s">
        <v>1251</v>
      </c>
      <c r="C696" s="63" t="s">
        <v>556</v>
      </c>
      <c r="D696" s="63" t="str">
        <f>IF('Barn - Back Rack'!T74="","",TRIM('Barn - Back Rack'!T74))</f>
        <v/>
      </c>
      <c r="E696" s="64" t="str">
        <f>IF($D696="","",'Barn - Back Rack'!U74&amp;"")</f>
        <v/>
      </c>
      <c r="F696" s="63">
        <f t="shared" si="52"/>
        <v>0</v>
      </c>
      <c r="G696" s="64" t="str">
        <f t="shared" si="49"/>
        <v/>
      </c>
      <c r="H696" s="64" t="str">
        <f t="shared" si="50"/>
        <v/>
      </c>
      <c r="I696" s="63">
        <f>IF($G696="",0,IF(COUNTIF($G$2:$G696,$G696)=1,1,0))</f>
        <v>0</v>
      </c>
      <c r="J696" s="63" t="str">
        <f t="shared" si="51"/>
        <v/>
      </c>
      <c r="K696" s="63" t="str">
        <f>IF($H696="","",COUNTIF($H$2:$H696,"?*"))</f>
        <v/>
      </c>
    </row>
    <row r="697" spans="1:11" x14ac:dyDescent="0.25">
      <c r="A697" s="63" t="s">
        <v>554</v>
      </c>
      <c r="B697" s="63" t="s">
        <v>1252</v>
      </c>
      <c r="C697" s="63" t="s">
        <v>556</v>
      </c>
      <c r="D697" s="63" t="str">
        <f>IF('Barn - Back Rack'!T75="","",TRIM('Barn - Back Rack'!T75))</f>
        <v/>
      </c>
      <c r="E697" s="64" t="str">
        <f>IF($D697="","",'Barn - Back Rack'!U75&amp;"")</f>
        <v/>
      </c>
      <c r="F697" s="63">
        <f t="shared" si="52"/>
        <v>0</v>
      </c>
      <c r="G697" s="64" t="str">
        <f t="shared" si="49"/>
        <v/>
      </c>
      <c r="H697" s="64" t="str">
        <f t="shared" si="50"/>
        <v/>
      </c>
      <c r="I697" s="63">
        <f>IF($G697="",0,IF(COUNTIF($G$2:$G697,$G697)=1,1,0))</f>
        <v>0</v>
      </c>
      <c r="J697" s="63" t="str">
        <f t="shared" si="51"/>
        <v/>
      </c>
      <c r="K697" s="63" t="str">
        <f>IF($H697="","",COUNTIF($H$2:$H697,"?*"))</f>
        <v/>
      </c>
    </row>
    <row r="698" spans="1:11" x14ac:dyDescent="0.25">
      <c r="A698" s="63" t="s">
        <v>554</v>
      </c>
      <c r="B698" s="63" t="s">
        <v>1253</v>
      </c>
      <c r="C698" s="63" t="s">
        <v>556</v>
      </c>
      <c r="D698" s="63" t="str">
        <f>IF('Barn - Back Rack'!V64="","",TRIM('Barn - Back Rack'!V64))</f>
        <v>Bunn TB3</v>
      </c>
      <c r="E698" s="64" t="str">
        <f>IF($D698="","",'Barn - Back Rack'!W64&amp;"")</f>
        <v>TU00288599</v>
      </c>
      <c r="F698" s="63">
        <f t="shared" si="52"/>
        <v>1</v>
      </c>
      <c r="G698" s="64" t="str">
        <f t="shared" si="49"/>
        <v>Bunn TB3</v>
      </c>
      <c r="H698" s="64" t="str">
        <f t="shared" si="50"/>
        <v/>
      </c>
      <c r="I698" s="63">
        <f>IF($G698="",0,IF(COUNTIF($G$2:$G698,$G698)=1,1,0))</f>
        <v>0</v>
      </c>
      <c r="J698" s="63" t="str">
        <f t="shared" si="51"/>
        <v/>
      </c>
      <c r="K698" s="63" t="str">
        <f>IF($H698="","",COUNTIF($H$2:$H698,"?*"))</f>
        <v/>
      </c>
    </row>
    <row r="699" spans="1:11" x14ac:dyDescent="0.25">
      <c r="A699" s="63" t="s">
        <v>554</v>
      </c>
      <c r="B699" s="63" t="s">
        <v>1254</v>
      </c>
      <c r="C699" s="63" t="s">
        <v>556</v>
      </c>
      <c r="D699" s="63" t="str">
        <f>IF('Barn - Back Rack'!V65="","",TRIM('Barn - Back Rack'!V65))</f>
        <v>Bunn TB3</v>
      </c>
      <c r="E699" s="64" t="str">
        <f>IF($D699="","",'Barn - Back Rack'!W65&amp;"")</f>
        <v>TU00289848</v>
      </c>
      <c r="F699" s="63">
        <f t="shared" si="52"/>
        <v>1</v>
      </c>
      <c r="G699" s="64" t="str">
        <f t="shared" si="49"/>
        <v>Bunn TB3</v>
      </c>
      <c r="H699" s="64" t="str">
        <f t="shared" si="50"/>
        <v/>
      </c>
      <c r="I699" s="63">
        <f>IF($G699="",0,IF(COUNTIF($G$2:$G699,$G699)=1,1,0))</f>
        <v>0</v>
      </c>
      <c r="J699" s="63" t="str">
        <f t="shared" si="51"/>
        <v/>
      </c>
      <c r="K699" s="63" t="str">
        <f>IF($H699="","",COUNTIF($H$2:$H699,"?*"))</f>
        <v/>
      </c>
    </row>
    <row r="700" spans="1:11" x14ac:dyDescent="0.25">
      <c r="A700" s="63" t="s">
        <v>554</v>
      </c>
      <c r="B700" s="63" t="s">
        <v>1255</v>
      </c>
      <c r="C700" s="63" t="s">
        <v>556</v>
      </c>
      <c r="D700" s="63" t="str">
        <f>IF('Barn - Back Rack'!V66="","",TRIM('Barn - Back Rack'!V66))</f>
        <v>Bunn TB3</v>
      </c>
      <c r="E700" s="64" t="str">
        <f>IF($D700="","",'Barn - Back Rack'!W66&amp;"")</f>
        <v>TU00301348</v>
      </c>
      <c r="F700" s="63">
        <f t="shared" si="52"/>
        <v>1</v>
      </c>
      <c r="G700" s="64" t="str">
        <f t="shared" si="49"/>
        <v>Bunn TB3</v>
      </c>
      <c r="H700" s="64" t="str">
        <f t="shared" si="50"/>
        <v/>
      </c>
      <c r="I700" s="63">
        <f>IF($G700="",0,IF(COUNTIF($G$2:$G700,$G700)=1,1,0))</f>
        <v>0</v>
      </c>
      <c r="J700" s="63" t="str">
        <f t="shared" si="51"/>
        <v/>
      </c>
      <c r="K700" s="63" t="str">
        <f>IF($H700="","",COUNTIF($H$2:$H700,"?*"))</f>
        <v/>
      </c>
    </row>
    <row r="701" spans="1:11" x14ac:dyDescent="0.25">
      <c r="A701" s="63" t="s">
        <v>554</v>
      </c>
      <c r="B701" s="63" t="s">
        <v>1256</v>
      </c>
      <c r="C701" s="63" t="s">
        <v>556</v>
      </c>
      <c r="D701" s="63" t="str">
        <f>IF('Barn - Back Rack'!V67="","",TRIM('Barn - Back Rack'!V67))</f>
        <v>Bunn TB3</v>
      </c>
      <c r="E701" s="64" t="str">
        <f>IF($D701="","",'Barn - Back Rack'!W67&amp;"")</f>
        <v>TU00346691</v>
      </c>
      <c r="F701" s="63">
        <f t="shared" si="52"/>
        <v>1</v>
      </c>
      <c r="G701" s="64" t="str">
        <f t="shared" si="49"/>
        <v>Bunn TB3</v>
      </c>
      <c r="H701" s="64" t="str">
        <f t="shared" si="50"/>
        <v/>
      </c>
      <c r="I701" s="63">
        <f>IF($G701="",0,IF(COUNTIF($G$2:$G701,$G701)=1,1,0))</f>
        <v>0</v>
      </c>
      <c r="J701" s="63" t="str">
        <f t="shared" si="51"/>
        <v/>
      </c>
      <c r="K701" s="63" t="str">
        <f>IF($H701="","",COUNTIF($H$2:$H701,"?*"))</f>
        <v/>
      </c>
    </row>
    <row r="702" spans="1:11" x14ac:dyDescent="0.25">
      <c r="A702" s="63" t="s">
        <v>554</v>
      </c>
      <c r="B702" s="63" t="s">
        <v>1257</v>
      </c>
      <c r="C702" s="63" t="s">
        <v>556</v>
      </c>
      <c r="D702" s="63" t="str">
        <f>IF('Barn - Back Rack'!V68="","",TRIM('Barn - Back Rack'!V68))</f>
        <v/>
      </c>
      <c r="E702" s="64" t="str">
        <f>IF($D702="","",'Barn - Back Rack'!W68&amp;"")</f>
        <v/>
      </c>
      <c r="F702" s="63">
        <f t="shared" si="52"/>
        <v>0</v>
      </c>
      <c r="G702" s="64" t="str">
        <f t="shared" si="49"/>
        <v/>
      </c>
      <c r="H702" s="64" t="str">
        <f t="shared" si="50"/>
        <v/>
      </c>
      <c r="I702" s="63">
        <f>IF($G702="",0,IF(COUNTIF($G$2:$G702,$G702)=1,1,0))</f>
        <v>0</v>
      </c>
      <c r="J702" s="63" t="str">
        <f t="shared" si="51"/>
        <v/>
      </c>
      <c r="K702" s="63" t="str">
        <f>IF($H702="","",COUNTIF($H$2:$H702,"?*"))</f>
        <v/>
      </c>
    </row>
    <row r="703" spans="1:11" x14ac:dyDescent="0.25">
      <c r="A703" s="63" t="s">
        <v>554</v>
      </c>
      <c r="B703" s="63" t="s">
        <v>1258</v>
      </c>
      <c r="C703" s="63" t="s">
        <v>556</v>
      </c>
      <c r="D703" s="63" t="str">
        <f>IF('Barn - Back Rack'!V69="","",TRIM('Barn - Back Rack'!V69))</f>
        <v/>
      </c>
      <c r="E703" s="64" t="str">
        <f>IF($D703="","",'Barn - Back Rack'!W69&amp;"")</f>
        <v/>
      </c>
      <c r="F703" s="63">
        <f t="shared" si="52"/>
        <v>0</v>
      </c>
      <c r="G703" s="64" t="str">
        <f t="shared" si="49"/>
        <v/>
      </c>
      <c r="H703" s="64" t="str">
        <f t="shared" si="50"/>
        <v/>
      </c>
      <c r="I703" s="63">
        <f>IF($G703="",0,IF(COUNTIF($G$2:$G703,$G703)=1,1,0))</f>
        <v>0</v>
      </c>
      <c r="J703" s="63" t="str">
        <f t="shared" si="51"/>
        <v/>
      </c>
      <c r="K703" s="63" t="str">
        <f>IF($H703="","",COUNTIF($H$2:$H703,"?*"))</f>
        <v/>
      </c>
    </row>
    <row r="704" spans="1:11" x14ac:dyDescent="0.25">
      <c r="A704" s="63" t="s">
        <v>554</v>
      </c>
      <c r="B704" s="63" t="s">
        <v>1259</v>
      </c>
      <c r="C704" s="63" t="s">
        <v>556</v>
      </c>
      <c r="D704" s="63" t="str">
        <f>IF('Barn - Back Rack'!V70="","",TRIM('Barn - Back Rack'!V70))</f>
        <v/>
      </c>
      <c r="E704" s="64" t="str">
        <f>IF($D704="","",'Barn - Back Rack'!W70&amp;"")</f>
        <v/>
      </c>
      <c r="F704" s="63">
        <f t="shared" si="52"/>
        <v>0</v>
      </c>
      <c r="G704" s="64" t="str">
        <f t="shared" si="49"/>
        <v/>
      </c>
      <c r="H704" s="64" t="str">
        <f t="shared" si="50"/>
        <v/>
      </c>
      <c r="I704" s="63">
        <f>IF($G704="",0,IF(COUNTIF($G$2:$G704,$G704)=1,1,0))</f>
        <v>0</v>
      </c>
      <c r="J704" s="63" t="str">
        <f t="shared" si="51"/>
        <v/>
      </c>
      <c r="K704" s="63" t="str">
        <f>IF($H704="","",COUNTIF($H$2:$H704,"?*"))</f>
        <v/>
      </c>
    </row>
    <row r="705" spans="1:11" x14ac:dyDescent="0.25">
      <c r="A705" s="63" t="s">
        <v>554</v>
      </c>
      <c r="B705" s="63" t="s">
        <v>1260</v>
      </c>
      <c r="C705" s="63" t="s">
        <v>556</v>
      </c>
      <c r="D705" s="63" t="str">
        <f>IF('Barn - Back Rack'!V71="","",TRIM('Barn - Back Rack'!V71))</f>
        <v/>
      </c>
      <c r="E705" s="64" t="str">
        <f>IF($D705="","",'Barn - Back Rack'!W71&amp;"")</f>
        <v/>
      </c>
      <c r="F705" s="63">
        <f t="shared" si="52"/>
        <v>0</v>
      </c>
      <c r="G705" s="64" t="str">
        <f t="shared" si="49"/>
        <v/>
      </c>
      <c r="H705" s="64" t="str">
        <f t="shared" si="50"/>
        <v/>
      </c>
      <c r="I705" s="63">
        <f>IF($G705="",0,IF(COUNTIF($G$2:$G705,$G705)=1,1,0))</f>
        <v>0</v>
      </c>
      <c r="J705" s="63" t="str">
        <f t="shared" si="51"/>
        <v/>
      </c>
      <c r="K705" s="63" t="str">
        <f>IF($H705="","",COUNTIF($H$2:$H705,"?*"))</f>
        <v/>
      </c>
    </row>
    <row r="706" spans="1:11" x14ac:dyDescent="0.25">
      <c r="A706" s="63" t="s">
        <v>554</v>
      </c>
      <c r="B706" s="63" t="s">
        <v>1261</v>
      </c>
      <c r="C706" s="63" t="s">
        <v>556</v>
      </c>
      <c r="D706" s="63" t="str">
        <f>IF('Barn - Back Rack'!V72="","",TRIM('Barn - Back Rack'!V72))</f>
        <v/>
      </c>
      <c r="E706" s="64" t="str">
        <f>IF($D706="","",'Barn - Back Rack'!W72&amp;"")</f>
        <v/>
      </c>
      <c r="F706" s="63">
        <f t="shared" si="52"/>
        <v>0</v>
      </c>
      <c r="G706" s="64" t="str">
        <f t="shared" ref="G706:G769" si="53">IF($D706="","",IF(ISNUMBER(FIND("(",$D706)),TRIM(LEFT($D706,FIND("(",$D706)-1)),$D706))</f>
        <v/>
      </c>
      <c r="H706" s="64" t="str">
        <f t="shared" ref="H706:H769" si="54">IF($D706="","",IF(ISNUMBER(FIND("(",$D706)),TRIM(SUBSTITUTE(MID($D706,FIND("(",$D706)+1,200),")","")),""))</f>
        <v/>
      </c>
      <c r="I706" s="63">
        <f>IF($G706="",0,IF(COUNTIF($G$2:$G706,$G706)=1,1,0))</f>
        <v>0</v>
      </c>
      <c r="J706" s="63" t="str">
        <f t="shared" ref="J706:J769" si="55">IF($I706=0,"",SUMPRODUCT(($I$2:$I$1513=1)*($G$2:$G$1513&lt;$G706))+1)</f>
        <v/>
      </c>
      <c r="K706" s="63" t="str">
        <f>IF($H706="","",COUNTIF($H$2:$H706,"?*"))</f>
        <v/>
      </c>
    </row>
    <row r="707" spans="1:11" x14ac:dyDescent="0.25">
      <c r="A707" s="63" t="s">
        <v>554</v>
      </c>
      <c r="B707" s="63" t="s">
        <v>1262</v>
      </c>
      <c r="C707" s="63" t="s">
        <v>556</v>
      </c>
      <c r="D707" s="63" t="str">
        <f>IF('Barn - Back Rack'!V73="","",TRIM('Barn - Back Rack'!V73))</f>
        <v/>
      </c>
      <c r="E707" s="64" t="str">
        <f>IF($D707="","",'Barn - Back Rack'!W73&amp;"")</f>
        <v/>
      </c>
      <c r="F707" s="63">
        <f t="shared" si="52"/>
        <v>0</v>
      </c>
      <c r="G707" s="64" t="str">
        <f t="shared" si="53"/>
        <v/>
      </c>
      <c r="H707" s="64" t="str">
        <f t="shared" si="54"/>
        <v/>
      </c>
      <c r="I707" s="63">
        <f>IF($G707="",0,IF(COUNTIF($G$2:$G707,$G707)=1,1,0))</f>
        <v>0</v>
      </c>
      <c r="J707" s="63" t="str">
        <f t="shared" si="55"/>
        <v/>
      </c>
      <c r="K707" s="63" t="str">
        <f>IF($H707="","",COUNTIF($H$2:$H707,"?*"))</f>
        <v/>
      </c>
    </row>
    <row r="708" spans="1:11" x14ac:dyDescent="0.25">
      <c r="A708" s="63" t="s">
        <v>554</v>
      </c>
      <c r="B708" s="63" t="s">
        <v>1263</v>
      </c>
      <c r="C708" s="63" t="s">
        <v>556</v>
      </c>
      <c r="D708" s="63" t="str">
        <f>IF('Barn - Back Rack'!V74="","",TRIM('Barn - Back Rack'!V74))</f>
        <v/>
      </c>
      <c r="E708" s="64" t="str">
        <f>IF($D708="","",'Barn - Back Rack'!W74&amp;"")</f>
        <v/>
      </c>
      <c r="F708" s="63">
        <f t="shared" si="52"/>
        <v>0</v>
      </c>
      <c r="G708" s="64" t="str">
        <f t="shared" si="53"/>
        <v/>
      </c>
      <c r="H708" s="64" t="str">
        <f t="shared" si="54"/>
        <v/>
      </c>
      <c r="I708" s="63">
        <f>IF($G708="",0,IF(COUNTIF($G$2:$G708,$G708)=1,1,0))</f>
        <v>0</v>
      </c>
      <c r="J708" s="63" t="str">
        <f t="shared" si="55"/>
        <v/>
      </c>
      <c r="K708" s="63" t="str">
        <f>IF($H708="","",COUNTIF($H$2:$H708,"?*"))</f>
        <v/>
      </c>
    </row>
    <row r="709" spans="1:11" x14ac:dyDescent="0.25">
      <c r="A709" s="63" t="s">
        <v>554</v>
      </c>
      <c r="B709" s="63" t="s">
        <v>1264</v>
      </c>
      <c r="C709" s="63" t="s">
        <v>556</v>
      </c>
      <c r="D709" s="63" t="str">
        <f>IF('Barn - Back Rack'!V75="","",TRIM('Barn - Back Rack'!V75))</f>
        <v/>
      </c>
      <c r="E709" s="64" t="str">
        <f>IF($D709="","",'Barn - Back Rack'!W75&amp;"")</f>
        <v/>
      </c>
      <c r="F709" s="63">
        <f t="shared" si="52"/>
        <v>0</v>
      </c>
      <c r="G709" s="64" t="str">
        <f t="shared" si="53"/>
        <v/>
      </c>
      <c r="H709" s="64" t="str">
        <f t="shared" si="54"/>
        <v/>
      </c>
      <c r="I709" s="63">
        <f>IF($G709="",0,IF(COUNTIF($G$2:$G709,$G709)=1,1,0))</f>
        <v>0</v>
      </c>
      <c r="J709" s="63" t="str">
        <f t="shared" si="55"/>
        <v/>
      </c>
      <c r="K709" s="63" t="str">
        <f>IF($H709="","",COUNTIF($H$2:$H709,"?*"))</f>
        <v/>
      </c>
    </row>
    <row r="710" spans="1:11" x14ac:dyDescent="0.25">
      <c r="A710" s="63" t="s">
        <v>554</v>
      </c>
      <c r="B710" s="63" t="s">
        <v>1265</v>
      </c>
      <c r="C710" s="63" t="s">
        <v>556</v>
      </c>
      <c r="D710" s="63" t="str">
        <f>IF('Barn - Back Rack'!X64="","",TRIM('Barn - Back Rack'!X64))</f>
        <v>Bunn ITCB NS</v>
      </c>
      <c r="E710" s="64" t="str">
        <f>IF($D710="","",'Barn - Back Rack'!Y64&amp;"")</f>
        <v>ITCB176258</v>
      </c>
      <c r="F710" s="63">
        <f t="shared" si="52"/>
        <v>1</v>
      </c>
      <c r="G710" s="64" t="str">
        <f t="shared" si="53"/>
        <v>Bunn ITCB NS</v>
      </c>
      <c r="H710" s="64" t="str">
        <f t="shared" si="54"/>
        <v/>
      </c>
      <c r="I710" s="63">
        <f>IF($G710="",0,IF(COUNTIF($G$2:$G710,$G710)=1,1,0))</f>
        <v>1</v>
      </c>
      <c r="J710" s="63">
        <f t="shared" si="55"/>
        <v>25</v>
      </c>
      <c r="K710" s="63" t="str">
        <f>IF($H710="","",COUNTIF($H$2:$H710,"?*"))</f>
        <v/>
      </c>
    </row>
    <row r="711" spans="1:11" x14ac:dyDescent="0.25">
      <c r="A711" s="63" t="s">
        <v>554</v>
      </c>
      <c r="B711" s="63" t="s">
        <v>1266</v>
      </c>
      <c r="C711" s="63" t="s">
        <v>556</v>
      </c>
      <c r="D711" s="63" t="str">
        <f>IF('Barn - Back Rack'!X65="","",TRIM('Barn - Back Rack'!X65))</f>
        <v>Bunn ITCB NS</v>
      </c>
      <c r="E711" s="64" t="str">
        <f>IF($D711="","",'Barn - Back Rack'!Y65&amp;"")</f>
        <v>ITCB175834</v>
      </c>
      <c r="F711" s="63">
        <f t="shared" si="52"/>
        <v>1</v>
      </c>
      <c r="G711" s="64" t="str">
        <f t="shared" si="53"/>
        <v>Bunn ITCB NS</v>
      </c>
      <c r="H711" s="64" t="str">
        <f t="shared" si="54"/>
        <v/>
      </c>
      <c r="I711" s="63">
        <f>IF($G711="",0,IF(COUNTIF($G$2:$G711,$G711)=1,1,0))</f>
        <v>0</v>
      </c>
      <c r="J711" s="63" t="str">
        <f t="shared" si="55"/>
        <v/>
      </c>
      <c r="K711" s="63" t="str">
        <f>IF($H711="","",COUNTIF($H$2:$H711,"?*"))</f>
        <v/>
      </c>
    </row>
    <row r="712" spans="1:11" x14ac:dyDescent="0.25">
      <c r="A712" s="63" t="s">
        <v>554</v>
      </c>
      <c r="B712" s="63" t="s">
        <v>1267</v>
      </c>
      <c r="C712" s="63" t="s">
        <v>556</v>
      </c>
      <c r="D712" s="63" t="str">
        <f>IF('Barn - Back Rack'!X66="","",TRIM('Barn - Back Rack'!X66))</f>
        <v>Bunn ITCB NS</v>
      </c>
      <c r="E712" s="64" t="str">
        <f>IF($D712="","",'Barn - Back Rack'!Y66&amp;"")</f>
        <v>ITCB165495</v>
      </c>
      <c r="F712" s="63">
        <f t="shared" si="52"/>
        <v>1</v>
      </c>
      <c r="G712" s="64" t="str">
        <f t="shared" si="53"/>
        <v>Bunn ITCB NS</v>
      </c>
      <c r="H712" s="64" t="str">
        <f t="shared" si="54"/>
        <v/>
      </c>
      <c r="I712" s="63">
        <f>IF($G712="",0,IF(COUNTIF($G$2:$G712,$G712)=1,1,0))</f>
        <v>0</v>
      </c>
      <c r="J712" s="63" t="str">
        <f t="shared" si="55"/>
        <v/>
      </c>
      <c r="K712" s="63" t="str">
        <f>IF($H712="","",COUNTIF($H$2:$H712,"?*"))</f>
        <v/>
      </c>
    </row>
    <row r="713" spans="1:11" x14ac:dyDescent="0.25">
      <c r="A713" s="63" t="s">
        <v>554</v>
      </c>
      <c r="B713" s="63" t="s">
        <v>1268</v>
      </c>
      <c r="C713" s="63" t="s">
        <v>556</v>
      </c>
      <c r="D713" s="63" t="str">
        <f>IF('Barn - Back Rack'!X67="","",TRIM('Barn - Back Rack'!X67))</f>
        <v>Bunn ITCB NS</v>
      </c>
      <c r="E713" s="64" t="str">
        <f>IF($D713="","",'Barn - Back Rack'!Y67&amp;"")</f>
        <v>ITCB166931</v>
      </c>
      <c r="F713" s="63">
        <f t="shared" si="52"/>
        <v>1</v>
      </c>
      <c r="G713" s="64" t="str">
        <f t="shared" si="53"/>
        <v>Bunn ITCB NS</v>
      </c>
      <c r="H713" s="64" t="str">
        <f t="shared" si="54"/>
        <v/>
      </c>
      <c r="I713" s="63">
        <f>IF($G713="",0,IF(COUNTIF($G$2:$G713,$G713)=1,1,0))</f>
        <v>0</v>
      </c>
      <c r="J713" s="63" t="str">
        <f t="shared" si="55"/>
        <v/>
      </c>
      <c r="K713" s="63" t="str">
        <f>IF($H713="","",COUNTIF($H$2:$H713,"?*"))</f>
        <v/>
      </c>
    </row>
    <row r="714" spans="1:11" x14ac:dyDescent="0.25">
      <c r="A714" s="63" t="s">
        <v>554</v>
      </c>
      <c r="B714" s="63" t="s">
        <v>1269</v>
      </c>
      <c r="C714" s="63" t="s">
        <v>556</v>
      </c>
      <c r="D714" s="63" t="str">
        <f>IF('Barn - Back Rack'!X68="","",TRIM('Barn - Back Rack'!X68))</f>
        <v>Bunn ITB-DD Sweet Brew</v>
      </c>
      <c r="E714" s="64" t="str">
        <f>IF($D714="","",'Barn - Back Rack'!Y68&amp;"")</f>
        <v>ITB0062074</v>
      </c>
      <c r="F714" s="63">
        <f t="shared" ref="F714:F777" si="56">IF($D714="",0,1)</f>
        <v>1</v>
      </c>
      <c r="G714" s="64" t="str">
        <f t="shared" si="53"/>
        <v>Bunn ITB-DD Sweet Brew</v>
      </c>
      <c r="H714" s="64" t="str">
        <f t="shared" si="54"/>
        <v/>
      </c>
      <c r="I714" s="63">
        <f>IF($G714="",0,IF(COUNTIF($G$2:$G714,$G714)=1,1,0))</f>
        <v>1</v>
      </c>
      <c r="J714" s="63">
        <f t="shared" si="55"/>
        <v>23</v>
      </c>
      <c r="K714" s="63" t="str">
        <f>IF($H714="","",COUNTIF($H$2:$H714,"?*"))</f>
        <v/>
      </c>
    </row>
    <row r="715" spans="1:11" x14ac:dyDescent="0.25">
      <c r="A715" s="63" t="s">
        <v>554</v>
      </c>
      <c r="B715" s="63" t="s">
        <v>1270</v>
      </c>
      <c r="C715" s="63" t="s">
        <v>556</v>
      </c>
      <c r="D715" s="63" t="str">
        <f>IF('Barn - Back Rack'!X69="","",TRIM('Barn - Back Rack'!X69))</f>
        <v/>
      </c>
      <c r="E715" s="64" t="str">
        <f>IF($D715="","",'Barn - Back Rack'!Y69&amp;"")</f>
        <v/>
      </c>
      <c r="F715" s="63">
        <f t="shared" si="56"/>
        <v>0</v>
      </c>
      <c r="G715" s="64" t="str">
        <f t="shared" si="53"/>
        <v/>
      </c>
      <c r="H715" s="64" t="str">
        <f t="shared" si="54"/>
        <v/>
      </c>
      <c r="I715" s="63">
        <f>IF($G715="",0,IF(COUNTIF($G$2:$G715,$G715)=1,1,0))</f>
        <v>0</v>
      </c>
      <c r="J715" s="63" t="str">
        <f t="shared" si="55"/>
        <v/>
      </c>
      <c r="K715" s="63" t="str">
        <f>IF($H715="","",COUNTIF($H$2:$H715,"?*"))</f>
        <v/>
      </c>
    </row>
    <row r="716" spans="1:11" x14ac:dyDescent="0.25">
      <c r="A716" s="63" t="s">
        <v>554</v>
      </c>
      <c r="B716" s="63" t="s">
        <v>1271</v>
      </c>
      <c r="C716" s="63" t="s">
        <v>556</v>
      </c>
      <c r="D716" s="63" t="str">
        <f>IF('Barn - Back Rack'!X70="","",TRIM('Barn - Back Rack'!X70))</f>
        <v/>
      </c>
      <c r="E716" s="64" t="str">
        <f>IF($D716="","",'Barn - Back Rack'!Y70&amp;"")</f>
        <v/>
      </c>
      <c r="F716" s="63">
        <f t="shared" si="56"/>
        <v>0</v>
      </c>
      <c r="G716" s="64" t="str">
        <f t="shared" si="53"/>
        <v/>
      </c>
      <c r="H716" s="64" t="str">
        <f t="shared" si="54"/>
        <v/>
      </c>
      <c r="I716" s="63">
        <f>IF($G716="",0,IF(COUNTIF($G$2:$G716,$G716)=1,1,0))</f>
        <v>0</v>
      </c>
      <c r="J716" s="63" t="str">
        <f t="shared" si="55"/>
        <v/>
      </c>
      <c r="K716" s="63" t="str">
        <f>IF($H716="","",COUNTIF($H$2:$H716,"?*"))</f>
        <v/>
      </c>
    </row>
    <row r="717" spans="1:11" x14ac:dyDescent="0.25">
      <c r="A717" s="63" t="s">
        <v>554</v>
      </c>
      <c r="B717" s="63" t="s">
        <v>1272</v>
      </c>
      <c r="C717" s="63" t="s">
        <v>556</v>
      </c>
      <c r="D717" s="63" t="str">
        <f>IF('Barn - Back Rack'!X71="","",TRIM('Barn - Back Rack'!X71))</f>
        <v/>
      </c>
      <c r="E717" s="64" t="str">
        <f>IF($D717="","",'Barn - Back Rack'!Y71&amp;"")</f>
        <v/>
      </c>
      <c r="F717" s="63">
        <f t="shared" si="56"/>
        <v>0</v>
      </c>
      <c r="G717" s="64" t="str">
        <f t="shared" si="53"/>
        <v/>
      </c>
      <c r="H717" s="64" t="str">
        <f t="shared" si="54"/>
        <v/>
      </c>
      <c r="I717" s="63">
        <f>IF($G717="",0,IF(COUNTIF($G$2:$G717,$G717)=1,1,0))</f>
        <v>0</v>
      </c>
      <c r="J717" s="63" t="str">
        <f t="shared" si="55"/>
        <v/>
      </c>
      <c r="K717" s="63" t="str">
        <f>IF($H717="","",COUNTIF($H$2:$H717,"?*"))</f>
        <v/>
      </c>
    </row>
    <row r="718" spans="1:11" x14ac:dyDescent="0.25">
      <c r="A718" s="63" t="s">
        <v>554</v>
      </c>
      <c r="B718" s="63" t="s">
        <v>1273</v>
      </c>
      <c r="C718" s="63" t="s">
        <v>556</v>
      </c>
      <c r="D718" s="63" t="str">
        <f>IF('Barn - Back Rack'!X72="","",TRIM('Barn - Back Rack'!X72))</f>
        <v/>
      </c>
      <c r="E718" s="64" t="str">
        <f>IF($D718="","",'Barn - Back Rack'!Y72&amp;"")</f>
        <v/>
      </c>
      <c r="F718" s="63">
        <f t="shared" si="56"/>
        <v>0</v>
      </c>
      <c r="G718" s="64" t="str">
        <f t="shared" si="53"/>
        <v/>
      </c>
      <c r="H718" s="64" t="str">
        <f t="shared" si="54"/>
        <v/>
      </c>
      <c r="I718" s="63">
        <f>IF($G718="",0,IF(COUNTIF($G$2:$G718,$G718)=1,1,0))</f>
        <v>0</v>
      </c>
      <c r="J718" s="63" t="str">
        <f t="shared" si="55"/>
        <v/>
      </c>
      <c r="K718" s="63" t="str">
        <f>IF($H718="","",COUNTIF($H$2:$H718,"?*"))</f>
        <v/>
      </c>
    </row>
    <row r="719" spans="1:11" x14ac:dyDescent="0.25">
      <c r="A719" s="63" t="s">
        <v>554</v>
      </c>
      <c r="B719" s="63" t="s">
        <v>1274</v>
      </c>
      <c r="C719" s="63" t="s">
        <v>556</v>
      </c>
      <c r="D719" s="63" t="str">
        <f>IF('Barn - Back Rack'!X73="","",TRIM('Barn - Back Rack'!X73))</f>
        <v/>
      </c>
      <c r="E719" s="64" t="str">
        <f>IF($D719="","",'Barn - Back Rack'!Y73&amp;"")</f>
        <v/>
      </c>
      <c r="F719" s="63">
        <f t="shared" si="56"/>
        <v>0</v>
      </c>
      <c r="G719" s="64" t="str">
        <f t="shared" si="53"/>
        <v/>
      </c>
      <c r="H719" s="64" t="str">
        <f t="shared" si="54"/>
        <v/>
      </c>
      <c r="I719" s="63">
        <f>IF($G719="",0,IF(COUNTIF($G$2:$G719,$G719)=1,1,0))</f>
        <v>0</v>
      </c>
      <c r="J719" s="63" t="str">
        <f t="shared" si="55"/>
        <v/>
      </c>
      <c r="K719" s="63" t="str">
        <f>IF($H719="","",COUNTIF($H$2:$H719,"?*"))</f>
        <v/>
      </c>
    </row>
    <row r="720" spans="1:11" x14ac:dyDescent="0.25">
      <c r="A720" s="63" t="s">
        <v>554</v>
      </c>
      <c r="B720" s="63" t="s">
        <v>1275</v>
      </c>
      <c r="C720" s="63" t="s">
        <v>556</v>
      </c>
      <c r="D720" s="63" t="str">
        <f>IF('Barn - Back Rack'!X74="","",TRIM('Barn - Back Rack'!X74))</f>
        <v/>
      </c>
      <c r="E720" s="64" t="str">
        <f>IF($D720="","",'Barn - Back Rack'!Y74&amp;"")</f>
        <v/>
      </c>
      <c r="F720" s="63">
        <f t="shared" si="56"/>
        <v>0</v>
      </c>
      <c r="G720" s="64" t="str">
        <f t="shared" si="53"/>
        <v/>
      </c>
      <c r="H720" s="64" t="str">
        <f t="shared" si="54"/>
        <v/>
      </c>
      <c r="I720" s="63">
        <f>IF($G720="",0,IF(COUNTIF($G$2:$G720,$G720)=1,1,0))</f>
        <v>0</v>
      </c>
      <c r="J720" s="63" t="str">
        <f t="shared" si="55"/>
        <v/>
      </c>
      <c r="K720" s="63" t="str">
        <f>IF($H720="","",COUNTIF($H$2:$H720,"?*"))</f>
        <v/>
      </c>
    </row>
    <row r="721" spans="1:11" x14ac:dyDescent="0.25">
      <c r="A721" s="63" t="s">
        <v>554</v>
      </c>
      <c r="B721" s="63" t="s">
        <v>1276</v>
      </c>
      <c r="C721" s="63" t="s">
        <v>556</v>
      </c>
      <c r="D721" s="63" t="str">
        <f>IF('Barn - Back Rack'!X75="","",TRIM('Barn - Back Rack'!X75))</f>
        <v/>
      </c>
      <c r="E721" s="64" t="str">
        <f>IF($D721="","",'Barn - Back Rack'!Y75&amp;"")</f>
        <v/>
      </c>
      <c r="F721" s="63">
        <f t="shared" si="56"/>
        <v>0</v>
      </c>
      <c r="G721" s="64" t="str">
        <f t="shared" si="53"/>
        <v/>
      </c>
      <c r="H721" s="64" t="str">
        <f t="shared" si="54"/>
        <v/>
      </c>
      <c r="I721" s="63">
        <f>IF($G721="",0,IF(COUNTIF($G$2:$G721,$G721)=1,1,0))</f>
        <v>0</v>
      </c>
      <c r="J721" s="63" t="str">
        <f t="shared" si="55"/>
        <v/>
      </c>
      <c r="K721" s="63" t="str">
        <f>IF($H721="","",COUNTIF($H$2:$H721,"?*"))</f>
        <v/>
      </c>
    </row>
    <row r="722" spans="1:11" x14ac:dyDescent="0.25">
      <c r="A722" s="63" t="s">
        <v>554</v>
      </c>
      <c r="B722" s="63" t="s">
        <v>1277</v>
      </c>
      <c r="C722" s="63" t="s">
        <v>556</v>
      </c>
      <c r="D722" s="63" t="str">
        <f>IF('Barn - Back Rack'!Z64="","",TRIM('Barn - Back Rack'!Z64))</f>
        <v>Rancilio Classe 5 Compact 220V</v>
      </c>
      <c r="E722" s="64" t="str">
        <f>IF($D722="","",'Barn - Back Rack'!AA64&amp;"")</f>
        <v>10468446</v>
      </c>
      <c r="F722" s="63">
        <f t="shared" si="56"/>
        <v>1</v>
      </c>
      <c r="G722" s="64" t="str">
        <f t="shared" si="53"/>
        <v>Rancilio Classe 5 Compact 220V</v>
      </c>
      <c r="H722" s="64" t="str">
        <f t="shared" si="54"/>
        <v/>
      </c>
      <c r="I722" s="63">
        <f>IF($G722="",0,IF(COUNTIF($G$2:$G722,$G722)=1,1,0))</f>
        <v>1</v>
      </c>
      <c r="J722" s="63">
        <f t="shared" si="55"/>
        <v>82</v>
      </c>
      <c r="K722" s="63" t="str">
        <f>IF($H722="","",COUNTIF($H$2:$H722,"?*"))</f>
        <v/>
      </c>
    </row>
    <row r="723" spans="1:11" x14ac:dyDescent="0.25">
      <c r="A723" s="63" t="s">
        <v>554</v>
      </c>
      <c r="B723" s="63" t="s">
        <v>1278</v>
      </c>
      <c r="C723" s="63" t="s">
        <v>556</v>
      </c>
      <c r="D723" s="63" t="str">
        <f>IF('Barn - Back Rack'!Z65="","",TRIM('Barn - Back Rack'!Z65))</f>
        <v>Mazzer Super Jolly V Up E</v>
      </c>
      <c r="E723" s="64" t="str">
        <f>IF($D723="","",'Barn - Back Rack'!AA65&amp;"")</f>
        <v>2602691</v>
      </c>
      <c r="F723" s="63">
        <f t="shared" si="56"/>
        <v>1</v>
      </c>
      <c r="G723" s="64" t="str">
        <f t="shared" si="53"/>
        <v>Mazzer Super Jolly V Up E</v>
      </c>
      <c r="H723" s="64" t="str">
        <f t="shared" si="54"/>
        <v/>
      </c>
      <c r="I723" s="63">
        <f>IF($G723="",0,IF(COUNTIF($G$2:$G723,$G723)=1,1,0))</f>
        <v>1</v>
      </c>
      <c r="J723" s="63">
        <f t="shared" si="55"/>
        <v>79</v>
      </c>
      <c r="K723" s="63" t="str">
        <f>IF($H723="","",COUNTIF($H$2:$H723,"?*"))</f>
        <v/>
      </c>
    </row>
    <row r="724" spans="1:11" x14ac:dyDescent="0.25">
      <c r="A724" s="63" t="s">
        <v>554</v>
      </c>
      <c r="B724" s="63" t="s">
        <v>1279</v>
      </c>
      <c r="C724" s="63" t="s">
        <v>556</v>
      </c>
      <c r="D724" s="63" t="str">
        <f>IF('Barn - Back Rack'!Z66="","",TRIM('Barn - Back Rack'!Z66))</f>
        <v>Mazzer Super Jolly V Up E</v>
      </c>
      <c r="E724" s="64" t="str">
        <f>IF($D724="","",'Barn - Back Rack'!AA66&amp;"")</f>
        <v>2602694</v>
      </c>
      <c r="F724" s="63">
        <f t="shared" si="56"/>
        <v>1</v>
      </c>
      <c r="G724" s="64" t="str">
        <f t="shared" si="53"/>
        <v>Mazzer Super Jolly V Up E</v>
      </c>
      <c r="H724" s="64" t="str">
        <f t="shared" si="54"/>
        <v/>
      </c>
      <c r="I724" s="63">
        <f>IF($G724="",0,IF(COUNTIF($G$2:$G724,$G724)=1,1,0))</f>
        <v>0</v>
      </c>
      <c r="J724" s="63" t="str">
        <f t="shared" si="55"/>
        <v/>
      </c>
      <c r="K724" s="63" t="str">
        <f>IF($H724="","",COUNTIF($H$2:$H724,"?*"))</f>
        <v/>
      </c>
    </row>
    <row r="725" spans="1:11" x14ac:dyDescent="0.25">
      <c r="A725" s="63" t="s">
        <v>554</v>
      </c>
      <c r="B725" s="63" t="s">
        <v>1280</v>
      </c>
      <c r="C725" s="63" t="s">
        <v>556</v>
      </c>
      <c r="D725" s="63" t="str">
        <f>IF('Barn - Back Rack'!Z67="","",TRIM('Barn - Back Rack'!Z67))</f>
        <v/>
      </c>
      <c r="E725" s="64" t="str">
        <f>IF($D725="","",'Barn - Back Rack'!AA67&amp;"")</f>
        <v/>
      </c>
      <c r="F725" s="63">
        <f t="shared" si="56"/>
        <v>0</v>
      </c>
      <c r="G725" s="64" t="str">
        <f t="shared" si="53"/>
        <v/>
      </c>
      <c r="H725" s="64" t="str">
        <f t="shared" si="54"/>
        <v/>
      </c>
      <c r="I725" s="63">
        <f>IF($G725="",0,IF(COUNTIF($G$2:$G725,$G725)=1,1,0))</f>
        <v>0</v>
      </c>
      <c r="J725" s="63" t="str">
        <f t="shared" si="55"/>
        <v/>
      </c>
      <c r="K725" s="63" t="str">
        <f>IF($H725="","",COUNTIF($H$2:$H725,"?*"))</f>
        <v/>
      </c>
    </row>
    <row r="726" spans="1:11" x14ac:dyDescent="0.25">
      <c r="A726" s="63" t="s">
        <v>554</v>
      </c>
      <c r="B726" s="63" t="s">
        <v>1281</v>
      </c>
      <c r="C726" s="63" t="s">
        <v>556</v>
      </c>
      <c r="D726" s="63" t="str">
        <f>IF('Barn - Back Rack'!Z68="","",TRIM('Barn - Back Rack'!Z68))</f>
        <v/>
      </c>
      <c r="E726" s="64" t="str">
        <f>IF($D726="","",'Barn - Back Rack'!AA68&amp;"")</f>
        <v/>
      </c>
      <c r="F726" s="63">
        <f t="shared" si="56"/>
        <v>0</v>
      </c>
      <c r="G726" s="64" t="str">
        <f t="shared" si="53"/>
        <v/>
      </c>
      <c r="H726" s="64" t="str">
        <f t="shared" si="54"/>
        <v/>
      </c>
      <c r="I726" s="63">
        <f>IF($G726="",0,IF(COUNTIF($G$2:$G726,$G726)=1,1,0))</f>
        <v>0</v>
      </c>
      <c r="J726" s="63" t="str">
        <f t="shared" si="55"/>
        <v/>
      </c>
      <c r="K726" s="63" t="str">
        <f>IF($H726="","",COUNTIF($H$2:$H726,"?*"))</f>
        <v/>
      </c>
    </row>
    <row r="727" spans="1:11" x14ac:dyDescent="0.25">
      <c r="A727" s="63" t="s">
        <v>554</v>
      </c>
      <c r="B727" s="63" t="s">
        <v>1282</v>
      </c>
      <c r="C727" s="63" t="s">
        <v>556</v>
      </c>
      <c r="D727" s="63" t="str">
        <f>IF('Barn - Back Rack'!Z69="","",TRIM('Barn - Back Rack'!Z69))</f>
        <v/>
      </c>
      <c r="E727" s="64" t="str">
        <f>IF($D727="","",'Barn - Back Rack'!AA69&amp;"")</f>
        <v/>
      </c>
      <c r="F727" s="63">
        <f t="shared" si="56"/>
        <v>0</v>
      </c>
      <c r="G727" s="64" t="str">
        <f t="shared" si="53"/>
        <v/>
      </c>
      <c r="H727" s="64" t="str">
        <f t="shared" si="54"/>
        <v/>
      </c>
      <c r="I727" s="63">
        <f>IF($G727="",0,IF(COUNTIF($G$2:$G727,$G727)=1,1,0))</f>
        <v>0</v>
      </c>
      <c r="J727" s="63" t="str">
        <f t="shared" si="55"/>
        <v/>
      </c>
      <c r="K727" s="63" t="str">
        <f>IF($H727="","",COUNTIF($H$2:$H727,"?*"))</f>
        <v/>
      </c>
    </row>
    <row r="728" spans="1:11" x14ac:dyDescent="0.25">
      <c r="A728" s="63" t="s">
        <v>554</v>
      </c>
      <c r="B728" s="63" t="s">
        <v>1283</v>
      </c>
      <c r="C728" s="63" t="s">
        <v>556</v>
      </c>
      <c r="D728" s="63" t="str">
        <f>IF('Barn - Back Rack'!Z70="","",TRIM('Barn - Back Rack'!Z70))</f>
        <v/>
      </c>
      <c r="E728" s="64" t="str">
        <f>IF($D728="","",'Barn - Back Rack'!AA70&amp;"")</f>
        <v/>
      </c>
      <c r="F728" s="63">
        <f t="shared" si="56"/>
        <v>0</v>
      </c>
      <c r="G728" s="64" t="str">
        <f t="shared" si="53"/>
        <v/>
      </c>
      <c r="H728" s="64" t="str">
        <f t="shared" si="54"/>
        <v/>
      </c>
      <c r="I728" s="63">
        <f>IF($G728="",0,IF(COUNTIF($G$2:$G728,$G728)=1,1,0))</f>
        <v>0</v>
      </c>
      <c r="J728" s="63" t="str">
        <f t="shared" si="55"/>
        <v/>
      </c>
      <c r="K728" s="63" t="str">
        <f>IF($H728="","",COUNTIF($H$2:$H728,"?*"))</f>
        <v/>
      </c>
    </row>
    <row r="729" spans="1:11" x14ac:dyDescent="0.25">
      <c r="A729" s="63" t="s">
        <v>554</v>
      </c>
      <c r="B729" s="63" t="s">
        <v>1284</v>
      </c>
      <c r="C729" s="63" t="s">
        <v>556</v>
      </c>
      <c r="D729" s="63" t="str">
        <f>IF('Barn - Back Rack'!Z71="","",TRIM('Barn - Back Rack'!Z71))</f>
        <v/>
      </c>
      <c r="E729" s="64" t="str">
        <f>IF($D729="","",'Barn - Back Rack'!AA71&amp;"")</f>
        <v/>
      </c>
      <c r="F729" s="63">
        <f t="shared" si="56"/>
        <v>0</v>
      </c>
      <c r="G729" s="64" t="str">
        <f t="shared" si="53"/>
        <v/>
      </c>
      <c r="H729" s="64" t="str">
        <f t="shared" si="54"/>
        <v/>
      </c>
      <c r="I729" s="63">
        <f>IF($G729="",0,IF(COUNTIF($G$2:$G729,$G729)=1,1,0))</f>
        <v>0</v>
      </c>
      <c r="J729" s="63" t="str">
        <f t="shared" si="55"/>
        <v/>
      </c>
      <c r="K729" s="63" t="str">
        <f>IF($H729="","",COUNTIF($H$2:$H729,"?*"))</f>
        <v/>
      </c>
    </row>
    <row r="730" spans="1:11" x14ac:dyDescent="0.25">
      <c r="A730" s="63" t="s">
        <v>554</v>
      </c>
      <c r="B730" s="63" t="s">
        <v>1285</v>
      </c>
      <c r="C730" s="63" t="s">
        <v>556</v>
      </c>
      <c r="D730" s="63" t="str">
        <f>IF('Barn - Back Rack'!Z72="","",TRIM('Barn - Back Rack'!Z72))</f>
        <v/>
      </c>
      <c r="E730" s="64" t="str">
        <f>IF($D730="","",'Barn - Back Rack'!AA72&amp;"")</f>
        <v/>
      </c>
      <c r="F730" s="63">
        <f t="shared" si="56"/>
        <v>0</v>
      </c>
      <c r="G730" s="64" t="str">
        <f t="shared" si="53"/>
        <v/>
      </c>
      <c r="H730" s="64" t="str">
        <f t="shared" si="54"/>
        <v/>
      </c>
      <c r="I730" s="63">
        <f>IF($G730="",0,IF(COUNTIF($G$2:$G730,$G730)=1,1,0))</f>
        <v>0</v>
      </c>
      <c r="J730" s="63" t="str">
        <f t="shared" si="55"/>
        <v/>
      </c>
      <c r="K730" s="63" t="str">
        <f>IF($H730="","",COUNTIF($H$2:$H730,"?*"))</f>
        <v/>
      </c>
    </row>
    <row r="731" spans="1:11" x14ac:dyDescent="0.25">
      <c r="A731" s="63" t="s">
        <v>554</v>
      </c>
      <c r="B731" s="63" t="s">
        <v>1286</v>
      </c>
      <c r="C731" s="63" t="s">
        <v>556</v>
      </c>
      <c r="D731" s="63" t="str">
        <f>IF('Barn - Back Rack'!Z73="","",TRIM('Barn - Back Rack'!Z73))</f>
        <v/>
      </c>
      <c r="E731" s="64" t="str">
        <f>IF($D731="","",'Barn - Back Rack'!AA73&amp;"")</f>
        <v/>
      </c>
      <c r="F731" s="63">
        <f t="shared" si="56"/>
        <v>0</v>
      </c>
      <c r="G731" s="64" t="str">
        <f t="shared" si="53"/>
        <v/>
      </c>
      <c r="H731" s="64" t="str">
        <f t="shared" si="54"/>
        <v/>
      </c>
      <c r="I731" s="63">
        <f>IF($G731="",0,IF(COUNTIF($G$2:$G731,$G731)=1,1,0))</f>
        <v>0</v>
      </c>
      <c r="J731" s="63" t="str">
        <f t="shared" si="55"/>
        <v/>
      </c>
      <c r="K731" s="63" t="str">
        <f>IF($H731="","",COUNTIF($H$2:$H731,"?*"))</f>
        <v/>
      </c>
    </row>
    <row r="732" spans="1:11" x14ac:dyDescent="0.25">
      <c r="A732" s="63" t="s">
        <v>554</v>
      </c>
      <c r="B732" s="63" t="s">
        <v>1287</v>
      </c>
      <c r="C732" s="63" t="s">
        <v>556</v>
      </c>
      <c r="D732" s="63" t="str">
        <f>IF('Barn - Back Rack'!Z74="","",TRIM('Barn - Back Rack'!Z74))</f>
        <v/>
      </c>
      <c r="E732" s="64" t="str">
        <f>IF($D732="","",'Barn - Back Rack'!AA74&amp;"")</f>
        <v/>
      </c>
      <c r="F732" s="63">
        <f t="shared" si="56"/>
        <v>0</v>
      </c>
      <c r="G732" s="64" t="str">
        <f t="shared" si="53"/>
        <v/>
      </c>
      <c r="H732" s="64" t="str">
        <f t="shared" si="54"/>
        <v/>
      </c>
      <c r="I732" s="63">
        <f>IF($G732="",0,IF(COUNTIF($G$2:$G732,$G732)=1,1,0))</f>
        <v>0</v>
      </c>
      <c r="J732" s="63" t="str">
        <f t="shared" si="55"/>
        <v/>
      </c>
      <c r="K732" s="63" t="str">
        <f>IF($H732="","",COUNTIF($H$2:$H732,"?*"))</f>
        <v/>
      </c>
    </row>
    <row r="733" spans="1:11" x14ac:dyDescent="0.25">
      <c r="A733" s="63" t="s">
        <v>554</v>
      </c>
      <c r="B733" s="63" t="s">
        <v>1288</v>
      </c>
      <c r="C733" s="63" t="s">
        <v>556</v>
      </c>
      <c r="D733" s="63" t="str">
        <f>IF('Barn - Back Rack'!Z75="","",TRIM('Barn - Back Rack'!Z75))</f>
        <v/>
      </c>
      <c r="E733" s="64" t="str">
        <f>IF($D733="","",'Barn - Back Rack'!AA75&amp;"")</f>
        <v/>
      </c>
      <c r="F733" s="63">
        <f t="shared" si="56"/>
        <v>0</v>
      </c>
      <c r="G733" s="64" t="str">
        <f t="shared" si="53"/>
        <v/>
      </c>
      <c r="H733" s="64" t="str">
        <f t="shared" si="54"/>
        <v/>
      </c>
      <c r="I733" s="63">
        <f>IF($G733="",0,IF(COUNTIF($G$2:$G733,$G733)=1,1,0))</f>
        <v>0</v>
      </c>
      <c r="J733" s="63" t="str">
        <f t="shared" si="55"/>
        <v/>
      </c>
      <c r="K733" s="63" t="str">
        <f>IF($H733="","",COUNTIF($H$2:$H733,"?*"))</f>
        <v/>
      </c>
    </row>
    <row r="734" spans="1:11" x14ac:dyDescent="0.25">
      <c r="A734" s="63" t="s">
        <v>554</v>
      </c>
      <c r="B734" s="63" t="s">
        <v>1289</v>
      </c>
      <c r="C734" s="63" t="s">
        <v>556</v>
      </c>
      <c r="D734" s="63" t="str">
        <f>IF('Barn - Back Rack'!AB64="","",TRIM('Barn - Back Rack'!AB64))</f>
        <v>La Marzocco Swift Grinder</v>
      </c>
      <c r="E734" s="64" t="str">
        <f>IF($D734="","",'Barn - Back Rack'!AC64&amp;"")</f>
        <v>6436</v>
      </c>
      <c r="F734" s="63">
        <f t="shared" si="56"/>
        <v>1</v>
      </c>
      <c r="G734" s="64" t="str">
        <f t="shared" si="53"/>
        <v>La Marzocco Swift Grinder</v>
      </c>
      <c r="H734" s="64" t="str">
        <f t="shared" si="54"/>
        <v/>
      </c>
      <c r="I734" s="63">
        <f>IF($G734="",0,IF(COUNTIF($G$2:$G734,$G734)=1,1,0))</f>
        <v>1</v>
      </c>
      <c r="J734" s="63">
        <f t="shared" si="55"/>
        <v>73</v>
      </c>
      <c r="K734" s="63" t="str">
        <f>IF($H734="","",COUNTIF($H$2:$H734,"?*"))</f>
        <v/>
      </c>
    </row>
    <row r="735" spans="1:11" x14ac:dyDescent="0.25">
      <c r="A735" s="63" t="s">
        <v>554</v>
      </c>
      <c r="B735" s="63" t="s">
        <v>1290</v>
      </c>
      <c r="C735" s="63" t="s">
        <v>556</v>
      </c>
      <c r="D735" s="63" t="str">
        <f>IF('Barn - Back Rack'!AB65="","",TRIM('Barn - Back Rack'!AB65))</f>
        <v>Bunn ITB-DD</v>
      </c>
      <c r="E735" s="64" t="str">
        <f>IF($D735="","",'Barn - Back Rack'!AC65&amp;"")</f>
        <v>ITB0065194</v>
      </c>
      <c r="F735" s="63">
        <f t="shared" si="56"/>
        <v>1</v>
      </c>
      <c r="G735" s="64" t="str">
        <f t="shared" si="53"/>
        <v>Bunn ITB-DD</v>
      </c>
      <c r="H735" s="64" t="str">
        <f t="shared" si="54"/>
        <v/>
      </c>
      <c r="I735" s="63">
        <f>IF($G735="",0,IF(COUNTIF($G$2:$G735,$G735)=1,1,0))</f>
        <v>1</v>
      </c>
      <c r="J735" s="63">
        <f t="shared" si="55"/>
        <v>22</v>
      </c>
      <c r="K735" s="63" t="str">
        <f>IF($H735="","",COUNTIF($H$2:$H735,"?*"))</f>
        <v/>
      </c>
    </row>
    <row r="736" spans="1:11" x14ac:dyDescent="0.25">
      <c r="A736" s="63" t="s">
        <v>554</v>
      </c>
      <c r="B736" s="63" t="s">
        <v>1291</v>
      </c>
      <c r="C736" s="63" t="s">
        <v>556</v>
      </c>
      <c r="D736" s="63" t="str">
        <f>IF('Barn - Back Rack'!AB66="","",TRIM('Barn - Back Rack'!AB66))</f>
        <v>Fetco 1251 Plus</v>
      </c>
      <c r="E736" s="64" t="str">
        <f>IF($D736="","",'Barn - Back Rack'!AC66&amp;"")</f>
        <v>12511B23045259780</v>
      </c>
      <c r="F736" s="63">
        <f t="shared" si="56"/>
        <v>1</v>
      </c>
      <c r="G736" s="64" t="str">
        <f t="shared" si="53"/>
        <v>Fetco 1251 Plus</v>
      </c>
      <c r="H736" s="64" t="str">
        <f t="shared" si="54"/>
        <v/>
      </c>
      <c r="I736" s="63">
        <f>IF($G736="",0,IF(COUNTIF($G$2:$G736,$G736)=1,1,0))</f>
        <v>1</v>
      </c>
      <c r="J736" s="63">
        <f t="shared" si="55"/>
        <v>52</v>
      </c>
      <c r="K736" s="63" t="str">
        <f>IF($H736="","",COUNTIF($H$2:$H736,"?*"))</f>
        <v/>
      </c>
    </row>
    <row r="737" spans="1:11" x14ac:dyDescent="0.25">
      <c r="A737" s="63" t="s">
        <v>554</v>
      </c>
      <c r="B737" s="63" t="s">
        <v>1292</v>
      </c>
      <c r="C737" s="63" t="s">
        <v>556</v>
      </c>
      <c r="D737" s="63" t="str">
        <f>IF('Barn - Back Rack'!AB67="","",TRIM('Barn - Back Rack'!AB67))</f>
        <v/>
      </c>
      <c r="E737" s="64" t="str">
        <f>IF($D737="","",'Barn - Back Rack'!AC67&amp;"")</f>
        <v/>
      </c>
      <c r="F737" s="63">
        <f t="shared" si="56"/>
        <v>0</v>
      </c>
      <c r="G737" s="64" t="str">
        <f t="shared" si="53"/>
        <v/>
      </c>
      <c r="H737" s="64" t="str">
        <f t="shared" si="54"/>
        <v/>
      </c>
      <c r="I737" s="63">
        <f>IF($G737="",0,IF(COUNTIF($G$2:$G737,$G737)=1,1,0))</f>
        <v>0</v>
      </c>
      <c r="J737" s="63" t="str">
        <f t="shared" si="55"/>
        <v/>
      </c>
      <c r="K737" s="63" t="str">
        <f>IF($H737="","",COUNTIF($H$2:$H737,"?*"))</f>
        <v/>
      </c>
    </row>
    <row r="738" spans="1:11" x14ac:dyDescent="0.25">
      <c r="A738" s="63" t="s">
        <v>554</v>
      </c>
      <c r="B738" s="63" t="s">
        <v>1293</v>
      </c>
      <c r="C738" s="63" t="s">
        <v>556</v>
      </c>
      <c r="D738" s="63" t="str">
        <f>IF('Barn - Back Rack'!AB68="","",TRIM('Barn - Back Rack'!AB68))</f>
        <v/>
      </c>
      <c r="E738" s="64" t="str">
        <f>IF($D738="","",'Barn - Back Rack'!AC68&amp;"")</f>
        <v/>
      </c>
      <c r="F738" s="63">
        <f t="shared" si="56"/>
        <v>0</v>
      </c>
      <c r="G738" s="64" t="str">
        <f t="shared" si="53"/>
        <v/>
      </c>
      <c r="H738" s="64" t="str">
        <f t="shared" si="54"/>
        <v/>
      </c>
      <c r="I738" s="63">
        <f>IF($G738="",0,IF(COUNTIF($G$2:$G738,$G738)=1,1,0))</f>
        <v>0</v>
      </c>
      <c r="J738" s="63" t="str">
        <f t="shared" si="55"/>
        <v/>
      </c>
      <c r="K738" s="63" t="str">
        <f>IF($H738="","",COUNTIF($H$2:$H738,"?*"))</f>
        <v/>
      </c>
    </row>
    <row r="739" spans="1:11" x14ac:dyDescent="0.25">
      <c r="A739" s="63" t="s">
        <v>554</v>
      </c>
      <c r="B739" s="63" t="s">
        <v>1294</v>
      </c>
      <c r="C739" s="63" t="s">
        <v>556</v>
      </c>
      <c r="D739" s="63" t="str">
        <f>IF('Barn - Back Rack'!AB69="","",TRIM('Barn - Back Rack'!AB69))</f>
        <v/>
      </c>
      <c r="E739" s="64" t="str">
        <f>IF($D739="","",'Barn - Back Rack'!AC69&amp;"")</f>
        <v/>
      </c>
      <c r="F739" s="63">
        <f t="shared" si="56"/>
        <v>0</v>
      </c>
      <c r="G739" s="64" t="str">
        <f t="shared" si="53"/>
        <v/>
      </c>
      <c r="H739" s="64" t="str">
        <f t="shared" si="54"/>
        <v/>
      </c>
      <c r="I739" s="63">
        <f>IF($G739="",0,IF(COUNTIF($G$2:$G739,$G739)=1,1,0))</f>
        <v>0</v>
      </c>
      <c r="J739" s="63" t="str">
        <f t="shared" si="55"/>
        <v/>
      </c>
      <c r="K739" s="63" t="str">
        <f>IF($H739="","",COUNTIF($H$2:$H739,"?*"))</f>
        <v/>
      </c>
    </row>
    <row r="740" spans="1:11" x14ac:dyDescent="0.25">
      <c r="A740" s="63" t="s">
        <v>554</v>
      </c>
      <c r="B740" s="63" t="s">
        <v>1295</v>
      </c>
      <c r="C740" s="63" t="s">
        <v>556</v>
      </c>
      <c r="D740" s="63" t="str">
        <f>IF('Barn - Back Rack'!AB70="","",TRIM('Barn - Back Rack'!AB70))</f>
        <v/>
      </c>
      <c r="E740" s="64" t="str">
        <f>IF($D740="","",'Barn - Back Rack'!AC70&amp;"")</f>
        <v/>
      </c>
      <c r="F740" s="63">
        <f t="shared" si="56"/>
        <v>0</v>
      </c>
      <c r="G740" s="64" t="str">
        <f t="shared" si="53"/>
        <v/>
      </c>
      <c r="H740" s="64" t="str">
        <f t="shared" si="54"/>
        <v/>
      </c>
      <c r="I740" s="63">
        <f>IF($G740="",0,IF(COUNTIF($G$2:$G740,$G740)=1,1,0))</f>
        <v>0</v>
      </c>
      <c r="J740" s="63" t="str">
        <f t="shared" si="55"/>
        <v/>
      </c>
      <c r="K740" s="63" t="str">
        <f>IF($H740="","",COUNTIF($H$2:$H740,"?*"))</f>
        <v/>
      </c>
    </row>
    <row r="741" spans="1:11" x14ac:dyDescent="0.25">
      <c r="A741" s="63" t="s">
        <v>554</v>
      </c>
      <c r="B741" s="63" t="s">
        <v>1296</v>
      </c>
      <c r="C741" s="63" t="s">
        <v>556</v>
      </c>
      <c r="D741" s="63" t="str">
        <f>IF('Barn - Back Rack'!AB71="","",TRIM('Barn - Back Rack'!AB71))</f>
        <v/>
      </c>
      <c r="E741" s="64" t="str">
        <f>IF($D741="","",'Barn - Back Rack'!AC71&amp;"")</f>
        <v/>
      </c>
      <c r="F741" s="63">
        <f t="shared" si="56"/>
        <v>0</v>
      </c>
      <c r="G741" s="64" t="str">
        <f t="shared" si="53"/>
        <v/>
      </c>
      <c r="H741" s="64" t="str">
        <f t="shared" si="54"/>
        <v/>
      </c>
      <c r="I741" s="63">
        <f>IF($G741="",0,IF(COUNTIF($G$2:$G741,$G741)=1,1,0))</f>
        <v>0</v>
      </c>
      <c r="J741" s="63" t="str">
        <f t="shared" si="55"/>
        <v/>
      </c>
      <c r="K741" s="63" t="str">
        <f>IF($H741="","",COUNTIF($H$2:$H741,"?*"))</f>
        <v/>
      </c>
    </row>
    <row r="742" spans="1:11" x14ac:dyDescent="0.25">
      <c r="A742" s="63" t="s">
        <v>554</v>
      </c>
      <c r="B742" s="63" t="s">
        <v>1297</v>
      </c>
      <c r="C742" s="63" t="s">
        <v>556</v>
      </c>
      <c r="D742" s="63" t="str">
        <f>IF('Barn - Back Rack'!AB72="","",TRIM('Barn - Back Rack'!AB72))</f>
        <v/>
      </c>
      <c r="E742" s="64" t="str">
        <f>IF($D742="","",'Barn - Back Rack'!AC72&amp;"")</f>
        <v/>
      </c>
      <c r="F742" s="63">
        <f t="shared" si="56"/>
        <v>0</v>
      </c>
      <c r="G742" s="64" t="str">
        <f t="shared" si="53"/>
        <v/>
      </c>
      <c r="H742" s="64" t="str">
        <f t="shared" si="54"/>
        <v/>
      </c>
      <c r="I742" s="63">
        <f>IF($G742="",0,IF(COUNTIF($G$2:$G742,$G742)=1,1,0))</f>
        <v>0</v>
      </c>
      <c r="J742" s="63" t="str">
        <f t="shared" si="55"/>
        <v/>
      </c>
      <c r="K742" s="63" t="str">
        <f>IF($H742="","",COUNTIF($H$2:$H742,"?*"))</f>
        <v/>
      </c>
    </row>
    <row r="743" spans="1:11" x14ac:dyDescent="0.25">
      <c r="A743" s="63" t="s">
        <v>554</v>
      </c>
      <c r="B743" s="63" t="s">
        <v>1298</v>
      </c>
      <c r="C743" s="63" t="s">
        <v>556</v>
      </c>
      <c r="D743" s="63" t="str">
        <f>IF('Barn - Back Rack'!AB73="","",TRIM('Barn - Back Rack'!AB73))</f>
        <v/>
      </c>
      <c r="E743" s="64" t="str">
        <f>IF($D743="","",'Barn - Back Rack'!AC73&amp;"")</f>
        <v/>
      </c>
      <c r="F743" s="63">
        <f t="shared" si="56"/>
        <v>0</v>
      </c>
      <c r="G743" s="64" t="str">
        <f t="shared" si="53"/>
        <v/>
      </c>
      <c r="H743" s="64" t="str">
        <f t="shared" si="54"/>
        <v/>
      </c>
      <c r="I743" s="63">
        <f>IF($G743="",0,IF(COUNTIF($G$2:$G743,$G743)=1,1,0))</f>
        <v>0</v>
      </c>
      <c r="J743" s="63" t="str">
        <f t="shared" si="55"/>
        <v/>
      </c>
      <c r="K743" s="63" t="str">
        <f>IF($H743="","",COUNTIF($H$2:$H743,"?*"))</f>
        <v/>
      </c>
    </row>
    <row r="744" spans="1:11" x14ac:dyDescent="0.25">
      <c r="A744" s="63" t="s">
        <v>554</v>
      </c>
      <c r="B744" s="63" t="s">
        <v>1299</v>
      </c>
      <c r="C744" s="63" t="s">
        <v>556</v>
      </c>
      <c r="D744" s="63" t="str">
        <f>IF('Barn - Back Rack'!AB74="","",TRIM('Barn - Back Rack'!AB74))</f>
        <v/>
      </c>
      <c r="E744" s="64" t="str">
        <f>IF($D744="","",'Barn - Back Rack'!AC74&amp;"")</f>
        <v/>
      </c>
      <c r="F744" s="63">
        <f t="shared" si="56"/>
        <v>0</v>
      </c>
      <c r="G744" s="64" t="str">
        <f t="shared" si="53"/>
        <v/>
      </c>
      <c r="H744" s="64" t="str">
        <f t="shared" si="54"/>
        <v/>
      </c>
      <c r="I744" s="63">
        <f>IF($G744="",0,IF(COUNTIF($G$2:$G744,$G744)=1,1,0))</f>
        <v>0</v>
      </c>
      <c r="J744" s="63" t="str">
        <f t="shared" si="55"/>
        <v/>
      </c>
      <c r="K744" s="63" t="str">
        <f>IF($H744="","",COUNTIF($H$2:$H744,"?*"))</f>
        <v/>
      </c>
    </row>
    <row r="745" spans="1:11" x14ac:dyDescent="0.25">
      <c r="A745" s="63" t="s">
        <v>554</v>
      </c>
      <c r="B745" s="63" t="s">
        <v>1300</v>
      </c>
      <c r="C745" s="63" t="s">
        <v>556</v>
      </c>
      <c r="D745" s="63" t="str">
        <f>IF('Barn - Back Rack'!AB75="","",TRIM('Barn - Back Rack'!AB75))</f>
        <v/>
      </c>
      <c r="E745" s="64" t="str">
        <f>IF($D745="","",'Barn - Back Rack'!AC75&amp;"")</f>
        <v/>
      </c>
      <c r="F745" s="63">
        <f t="shared" si="56"/>
        <v>0</v>
      </c>
      <c r="G745" s="64" t="str">
        <f t="shared" si="53"/>
        <v/>
      </c>
      <c r="H745" s="64" t="str">
        <f t="shared" si="54"/>
        <v/>
      </c>
      <c r="I745" s="63">
        <f>IF($G745="",0,IF(COUNTIF($G$2:$G745,$G745)=1,1,0))</f>
        <v>0</v>
      </c>
      <c r="J745" s="63" t="str">
        <f t="shared" si="55"/>
        <v/>
      </c>
      <c r="K745" s="63" t="str">
        <f>IF($H745="","",COUNTIF($H$2:$H745,"?*"))</f>
        <v/>
      </c>
    </row>
    <row r="746" spans="1:11" x14ac:dyDescent="0.25">
      <c r="A746" s="63" t="s">
        <v>554</v>
      </c>
      <c r="B746" s="63" t="s">
        <v>1301</v>
      </c>
      <c r="C746" s="63" t="s">
        <v>556</v>
      </c>
      <c r="D746" s="63" t="str">
        <f>IF('Barn - Back Rack'!AD64="","",TRIM('Barn - Back Rack'!AD64))</f>
        <v>Fetco 62H</v>
      </c>
      <c r="E746" s="64" t="str">
        <f>IF($D746="","",'Barn - Back Rack'!AE64&amp;"")</f>
        <v>N/A</v>
      </c>
      <c r="F746" s="63">
        <f t="shared" si="56"/>
        <v>1</v>
      </c>
      <c r="G746" s="64" t="str">
        <f t="shared" si="53"/>
        <v>Fetco 62H</v>
      </c>
      <c r="H746" s="64" t="str">
        <f t="shared" si="54"/>
        <v/>
      </c>
      <c r="I746" s="63">
        <f>IF($G746="",0,IF(COUNTIF($G$2:$G746,$G746)=1,1,0))</f>
        <v>0</v>
      </c>
      <c r="J746" s="63" t="str">
        <f t="shared" si="55"/>
        <v/>
      </c>
      <c r="K746" s="63" t="str">
        <f>IF($H746="","",COUNTIF($H$2:$H746,"?*"))</f>
        <v/>
      </c>
    </row>
    <row r="747" spans="1:11" x14ac:dyDescent="0.25">
      <c r="A747" s="63" t="s">
        <v>554</v>
      </c>
      <c r="B747" s="63" t="s">
        <v>1302</v>
      </c>
      <c r="C747" s="63" t="s">
        <v>556</v>
      </c>
      <c r="D747" s="63" t="str">
        <f>IF('Barn - Back Rack'!AD65="","",TRIM('Barn - Back Rack'!AD65))</f>
        <v>Fetco 62H</v>
      </c>
      <c r="E747" s="64" t="str">
        <f>IF($D747="","",'Barn - Back Rack'!AE65&amp;"")</f>
        <v>N/A</v>
      </c>
      <c r="F747" s="63">
        <f t="shared" si="56"/>
        <v>1</v>
      </c>
      <c r="G747" s="64" t="str">
        <f t="shared" si="53"/>
        <v>Fetco 62H</v>
      </c>
      <c r="H747" s="64" t="str">
        <f t="shared" si="54"/>
        <v/>
      </c>
      <c r="I747" s="63">
        <f>IF($G747="",0,IF(COUNTIF($G$2:$G747,$G747)=1,1,0))</f>
        <v>0</v>
      </c>
      <c r="J747" s="63" t="str">
        <f t="shared" si="55"/>
        <v/>
      </c>
      <c r="K747" s="63" t="str">
        <f>IF($H747="","",COUNTIF($H$2:$H747,"?*"))</f>
        <v/>
      </c>
    </row>
    <row r="748" spans="1:11" x14ac:dyDescent="0.25">
      <c r="A748" s="63" t="s">
        <v>554</v>
      </c>
      <c r="B748" s="63" t="s">
        <v>1303</v>
      </c>
      <c r="C748" s="63" t="s">
        <v>556</v>
      </c>
      <c r="D748" s="63" t="str">
        <f>IF('Barn - Back Rack'!AD66="","",TRIM('Barn - Back Rack'!AD66))</f>
        <v/>
      </c>
      <c r="E748" s="64" t="str">
        <f>IF($D748="","",'Barn - Back Rack'!AE66&amp;"")</f>
        <v/>
      </c>
      <c r="F748" s="63">
        <f t="shared" si="56"/>
        <v>0</v>
      </c>
      <c r="G748" s="64" t="str">
        <f t="shared" si="53"/>
        <v/>
      </c>
      <c r="H748" s="64" t="str">
        <f t="shared" si="54"/>
        <v/>
      </c>
      <c r="I748" s="63">
        <f>IF($G748="",0,IF(COUNTIF($G$2:$G748,$G748)=1,1,0))</f>
        <v>0</v>
      </c>
      <c r="J748" s="63" t="str">
        <f t="shared" si="55"/>
        <v/>
      </c>
      <c r="K748" s="63" t="str">
        <f>IF($H748="","",COUNTIF($H$2:$H748,"?*"))</f>
        <v/>
      </c>
    </row>
    <row r="749" spans="1:11" x14ac:dyDescent="0.25">
      <c r="A749" s="63" t="s">
        <v>554</v>
      </c>
      <c r="B749" s="63" t="s">
        <v>1304</v>
      </c>
      <c r="C749" s="63" t="s">
        <v>556</v>
      </c>
      <c r="D749" s="63" t="str">
        <f>IF('Barn - Back Rack'!AD67="","",TRIM('Barn - Back Rack'!AD67))</f>
        <v/>
      </c>
      <c r="E749" s="64" t="str">
        <f>IF($D749="","",'Barn - Back Rack'!AE67&amp;"")</f>
        <v/>
      </c>
      <c r="F749" s="63">
        <f t="shared" si="56"/>
        <v>0</v>
      </c>
      <c r="G749" s="64" t="str">
        <f t="shared" si="53"/>
        <v/>
      </c>
      <c r="H749" s="64" t="str">
        <f t="shared" si="54"/>
        <v/>
      </c>
      <c r="I749" s="63">
        <f>IF($G749="",0,IF(COUNTIF($G$2:$G749,$G749)=1,1,0))</f>
        <v>0</v>
      </c>
      <c r="J749" s="63" t="str">
        <f t="shared" si="55"/>
        <v/>
      </c>
      <c r="K749" s="63" t="str">
        <f>IF($H749="","",COUNTIF($H$2:$H749,"?*"))</f>
        <v/>
      </c>
    </row>
    <row r="750" spans="1:11" x14ac:dyDescent="0.25">
      <c r="A750" s="63" t="s">
        <v>554</v>
      </c>
      <c r="B750" s="63" t="s">
        <v>1305</v>
      </c>
      <c r="C750" s="63" t="s">
        <v>556</v>
      </c>
      <c r="D750" s="63" t="str">
        <f>IF('Barn - Back Rack'!AD68="","",TRIM('Barn - Back Rack'!AD68))</f>
        <v/>
      </c>
      <c r="E750" s="64" t="str">
        <f>IF($D750="","",'Barn - Back Rack'!AE68&amp;"")</f>
        <v/>
      </c>
      <c r="F750" s="63">
        <f t="shared" si="56"/>
        <v>0</v>
      </c>
      <c r="G750" s="64" t="str">
        <f t="shared" si="53"/>
        <v/>
      </c>
      <c r="H750" s="64" t="str">
        <f t="shared" si="54"/>
        <v/>
      </c>
      <c r="I750" s="63">
        <f>IF($G750="",0,IF(COUNTIF($G$2:$G750,$G750)=1,1,0))</f>
        <v>0</v>
      </c>
      <c r="J750" s="63" t="str">
        <f t="shared" si="55"/>
        <v/>
      </c>
      <c r="K750" s="63" t="str">
        <f>IF($H750="","",COUNTIF($H$2:$H750,"?*"))</f>
        <v/>
      </c>
    </row>
    <row r="751" spans="1:11" x14ac:dyDescent="0.25">
      <c r="A751" s="63" t="s">
        <v>554</v>
      </c>
      <c r="B751" s="63" t="s">
        <v>1306</v>
      </c>
      <c r="C751" s="63" t="s">
        <v>556</v>
      </c>
      <c r="D751" s="63" t="str">
        <f>IF('Barn - Back Rack'!AD69="","",TRIM('Barn - Back Rack'!AD69))</f>
        <v/>
      </c>
      <c r="E751" s="64" t="str">
        <f>IF($D751="","",'Barn - Back Rack'!AE69&amp;"")</f>
        <v/>
      </c>
      <c r="F751" s="63">
        <f t="shared" si="56"/>
        <v>0</v>
      </c>
      <c r="G751" s="64" t="str">
        <f t="shared" si="53"/>
        <v/>
      </c>
      <c r="H751" s="64" t="str">
        <f t="shared" si="54"/>
        <v/>
      </c>
      <c r="I751" s="63">
        <f>IF($G751="",0,IF(COUNTIF($G$2:$G751,$G751)=1,1,0))</f>
        <v>0</v>
      </c>
      <c r="J751" s="63" t="str">
        <f t="shared" si="55"/>
        <v/>
      </c>
      <c r="K751" s="63" t="str">
        <f>IF($H751="","",COUNTIF($H$2:$H751,"?*"))</f>
        <v/>
      </c>
    </row>
    <row r="752" spans="1:11" x14ac:dyDescent="0.25">
      <c r="A752" s="63" t="s">
        <v>554</v>
      </c>
      <c r="B752" s="63" t="s">
        <v>1307</v>
      </c>
      <c r="C752" s="63" t="s">
        <v>556</v>
      </c>
      <c r="D752" s="63" t="str">
        <f>IF('Barn - Back Rack'!AD70="","",TRIM('Barn - Back Rack'!AD70))</f>
        <v/>
      </c>
      <c r="E752" s="64" t="str">
        <f>IF($D752="","",'Barn - Back Rack'!AE70&amp;"")</f>
        <v/>
      </c>
      <c r="F752" s="63">
        <f t="shared" si="56"/>
        <v>0</v>
      </c>
      <c r="G752" s="64" t="str">
        <f t="shared" si="53"/>
        <v/>
      </c>
      <c r="H752" s="64" t="str">
        <f t="shared" si="54"/>
        <v/>
      </c>
      <c r="I752" s="63">
        <f>IF($G752="",0,IF(COUNTIF($G$2:$G752,$G752)=1,1,0))</f>
        <v>0</v>
      </c>
      <c r="J752" s="63" t="str">
        <f t="shared" si="55"/>
        <v/>
      </c>
      <c r="K752" s="63" t="str">
        <f>IF($H752="","",COUNTIF($H$2:$H752,"?*"))</f>
        <v/>
      </c>
    </row>
    <row r="753" spans="1:11" x14ac:dyDescent="0.25">
      <c r="A753" s="63" t="s">
        <v>554</v>
      </c>
      <c r="B753" s="63" t="s">
        <v>1308</v>
      </c>
      <c r="C753" s="63" t="s">
        <v>556</v>
      </c>
      <c r="D753" s="63" t="str">
        <f>IF('Barn - Back Rack'!AD71="","",TRIM('Barn - Back Rack'!AD71))</f>
        <v/>
      </c>
      <c r="E753" s="64" t="str">
        <f>IF($D753="","",'Barn - Back Rack'!AE71&amp;"")</f>
        <v/>
      </c>
      <c r="F753" s="63">
        <f t="shared" si="56"/>
        <v>0</v>
      </c>
      <c r="G753" s="64" t="str">
        <f t="shared" si="53"/>
        <v/>
      </c>
      <c r="H753" s="64" t="str">
        <f t="shared" si="54"/>
        <v/>
      </c>
      <c r="I753" s="63">
        <f>IF($G753="",0,IF(COUNTIF($G$2:$G753,$G753)=1,1,0))</f>
        <v>0</v>
      </c>
      <c r="J753" s="63" t="str">
        <f t="shared" si="55"/>
        <v/>
      </c>
      <c r="K753" s="63" t="str">
        <f>IF($H753="","",COUNTIF($H$2:$H753,"?*"))</f>
        <v/>
      </c>
    </row>
    <row r="754" spans="1:11" x14ac:dyDescent="0.25">
      <c r="A754" s="63" t="s">
        <v>554</v>
      </c>
      <c r="B754" s="63" t="s">
        <v>1309</v>
      </c>
      <c r="C754" s="63" t="s">
        <v>556</v>
      </c>
      <c r="D754" s="63" t="str">
        <f>IF('Barn - Back Rack'!AD72="","",TRIM('Barn - Back Rack'!AD72))</f>
        <v/>
      </c>
      <c r="E754" s="64" t="str">
        <f>IF($D754="","",'Barn - Back Rack'!AE72&amp;"")</f>
        <v/>
      </c>
      <c r="F754" s="63">
        <f t="shared" si="56"/>
        <v>0</v>
      </c>
      <c r="G754" s="64" t="str">
        <f t="shared" si="53"/>
        <v/>
      </c>
      <c r="H754" s="64" t="str">
        <f t="shared" si="54"/>
        <v/>
      </c>
      <c r="I754" s="63">
        <f>IF($G754="",0,IF(COUNTIF($G$2:$G754,$G754)=1,1,0))</f>
        <v>0</v>
      </c>
      <c r="J754" s="63" t="str">
        <f t="shared" si="55"/>
        <v/>
      </c>
      <c r="K754" s="63" t="str">
        <f>IF($H754="","",COUNTIF($H$2:$H754,"?*"))</f>
        <v/>
      </c>
    </row>
    <row r="755" spans="1:11" x14ac:dyDescent="0.25">
      <c r="A755" s="63" t="s">
        <v>554</v>
      </c>
      <c r="B755" s="63" t="s">
        <v>1310</v>
      </c>
      <c r="C755" s="63" t="s">
        <v>556</v>
      </c>
      <c r="D755" s="63" t="str">
        <f>IF('Barn - Back Rack'!AD73="","",TRIM('Barn - Back Rack'!AD73))</f>
        <v/>
      </c>
      <c r="E755" s="64" t="str">
        <f>IF($D755="","",'Barn - Back Rack'!AE73&amp;"")</f>
        <v/>
      </c>
      <c r="F755" s="63">
        <f t="shared" si="56"/>
        <v>0</v>
      </c>
      <c r="G755" s="64" t="str">
        <f t="shared" si="53"/>
        <v/>
      </c>
      <c r="H755" s="64" t="str">
        <f t="shared" si="54"/>
        <v/>
      </c>
      <c r="I755" s="63">
        <f>IF($G755="",0,IF(COUNTIF($G$2:$G755,$G755)=1,1,0))</f>
        <v>0</v>
      </c>
      <c r="J755" s="63" t="str">
        <f t="shared" si="55"/>
        <v/>
      </c>
      <c r="K755" s="63" t="str">
        <f>IF($H755="","",COUNTIF($H$2:$H755,"?*"))</f>
        <v/>
      </c>
    </row>
    <row r="756" spans="1:11" x14ac:dyDescent="0.25">
      <c r="A756" s="63" t="s">
        <v>554</v>
      </c>
      <c r="B756" s="63" t="s">
        <v>1311</v>
      </c>
      <c r="C756" s="63" t="s">
        <v>556</v>
      </c>
      <c r="D756" s="63" t="str">
        <f>IF('Barn - Back Rack'!AD74="","",TRIM('Barn - Back Rack'!AD74))</f>
        <v/>
      </c>
      <c r="E756" s="64" t="str">
        <f>IF($D756="","",'Barn - Back Rack'!AE74&amp;"")</f>
        <v/>
      </c>
      <c r="F756" s="63">
        <f t="shared" si="56"/>
        <v>0</v>
      </c>
      <c r="G756" s="64" t="str">
        <f t="shared" si="53"/>
        <v/>
      </c>
      <c r="H756" s="64" t="str">
        <f t="shared" si="54"/>
        <v/>
      </c>
      <c r="I756" s="63">
        <f>IF($G756="",0,IF(COUNTIF($G$2:$G756,$G756)=1,1,0))</f>
        <v>0</v>
      </c>
      <c r="J756" s="63" t="str">
        <f t="shared" si="55"/>
        <v/>
      </c>
      <c r="K756" s="63" t="str">
        <f>IF($H756="","",COUNTIF($H$2:$H756,"?*"))</f>
        <v/>
      </c>
    </row>
    <row r="757" spans="1:11" x14ac:dyDescent="0.25">
      <c r="A757" s="63" t="s">
        <v>554</v>
      </c>
      <c r="B757" s="63" t="s">
        <v>1312</v>
      </c>
      <c r="C757" s="63" t="s">
        <v>556</v>
      </c>
      <c r="D757" s="63" t="str">
        <f>IF('Barn - Back Rack'!AD75="","",TRIM('Barn - Back Rack'!AD75))</f>
        <v/>
      </c>
      <c r="E757" s="64" t="str">
        <f>IF($D757="","",'Barn - Back Rack'!AE75&amp;"")</f>
        <v/>
      </c>
      <c r="F757" s="63">
        <f t="shared" si="56"/>
        <v>0</v>
      </c>
      <c r="G757" s="64" t="str">
        <f t="shared" si="53"/>
        <v/>
      </c>
      <c r="H757" s="64" t="str">
        <f t="shared" si="54"/>
        <v/>
      </c>
      <c r="I757" s="63">
        <f>IF($G757="",0,IF(COUNTIF($G$2:$G757,$G757)=1,1,0))</f>
        <v>0</v>
      </c>
      <c r="J757" s="63" t="str">
        <f t="shared" si="55"/>
        <v/>
      </c>
      <c r="K757" s="63" t="str">
        <f>IF($H757="","",COUNTIF($H$2:$H757,"?*"))</f>
        <v/>
      </c>
    </row>
    <row r="758" spans="1:11" x14ac:dyDescent="0.25">
      <c r="A758" s="63" t="s">
        <v>554</v>
      </c>
      <c r="B758" s="63" t="s">
        <v>1313</v>
      </c>
      <c r="C758" s="63" t="s">
        <v>556</v>
      </c>
      <c r="D758" s="63" t="str">
        <f>IF('Barn - Back Rack'!AF64="","",TRIM('Barn - Back Rack'!AF64))</f>
        <v>Fetco 62H</v>
      </c>
      <c r="E758" s="64" t="str">
        <f>IF($D758="","",'Barn - Back Rack'!AG64&amp;"")</f>
        <v>N/A</v>
      </c>
      <c r="F758" s="63">
        <f t="shared" si="56"/>
        <v>1</v>
      </c>
      <c r="G758" s="64" t="str">
        <f t="shared" si="53"/>
        <v>Fetco 62H</v>
      </c>
      <c r="H758" s="64" t="str">
        <f t="shared" si="54"/>
        <v/>
      </c>
      <c r="I758" s="63">
        <f>IF($G758="",0,IF(COUNTIF($G$2:$G758,$G758)=1,1,0))</f>
        <v>0</v>
      </c>
      <c r="J758" s="63" t="str">
        <f t="shared" si="55"/>
        <v/>
      </c>
      <c r="K758" s="63" t="str">
        <f>IF($H758="","",COUNTIF($H$2:$H758,"?*"))</f>
        <v/>
      </c>
    </row>
    <row r="759" spans="1:11" x14ac:dyDescent="0.25">
      <c r="A759" s="63" t="s">
        <v>554</v>
      </c>
      <c r="B759" s="63" t="s">
        <v>1314</v>
      </c>
      <c r="C759" s="63" t="s">
        <v>556</v>
      </c>
      <c r="D759" s="63" t="str">
        <f>IF('Barn - Back Rack'!AF65="","",TRIM('Barn - Back Rack'!AF65))</f>
        <v>Fetco 62H</v>
      </c>
      <c r="E759" s="64" t="str">
        <f>IF($D759="","",'Barn - Back Rack'!AG65&amp;"")</f>
        <v>N/A</v>
      </c>
      <c r="F759" s="63">
        <f t="shared" si="56"/>
        <v>1</v>
      </c>
      <c r="G759" s="64" t="str">
        <f t="shared" si="53"/>
        <v>Fetco 62H</v>
      </c>
      <c r="H759" s="64" t="str">
        <f t="shared" si="54"/>
        <v/>
      </c>
      <c r="I759" s="63">
        <f>IF($G759="",0,IF(COUNTIF($G$2:$G759,$G759)=1,1,0))</f>
        <v>0</v>
      </c>
      <c r="J759" s="63" t="str">
        <f t="shared" si="55"/>
        <v/>
      </c>
      <c r="K759" s="63" t="str">
        <f>IF($H759="","",COUNTIF($H$2:$H759,"?*"))</f>
        <v/>
      </c>
    </row>
    <row r="760" spans="1:11" x14ac:dyDescent="0.25">
      <c r="A760" s="63" t="s">
        <v>554</v>
      </c>
      <c r="B760" s="63" t="s">
        <v>1315</v>
      </c>
      <c r="C760" s="63" t="s">
        <v>556</v>
      </c>
      <c r="D760" s="63" t="str">
        <f>IF('Barn - Back Rack'!AF66="","",TRIM('Barn - Back Rack'!AF66))</f>
        <v/>
      </c>
      <c r="E760" s="64" t="str">
        <f>IF($D760="","",'Barn - Back Rack'!AG66&amp;"")</f>
        <v/>
      </c>
      <c r="F760" s="63">
        <f t="shared" si="56"/>
        <v>0</v>
      </c>
      <c r="G760" s="64" t="str">
        <f t="shared" si="53"/>
        <v/>
      </c>
      <c r="H760" s="64" t="str">
        <f t="shared" si="54"/>
        <v/>
      </c>
      <c r="I760" s="63">
        <f>IF($G760="",0,IF(COUNTIF($G$2:$G760,$G760)=1,1,0))</f>
        <v>0</v>
      </c>
      <c r="J760" s="63" t="str">
        <f t="shared" si="55"/>
        <v/>
      </c>
      <c r="K760" s="63" t="str">
        <f>IF($H760="","",COUNTIF($H$2:$H760,"?*"))</f>
        <v/>
      </c>
    </row>
    <row r="761" spans="1:11" x14ac:dyDescent="0.25">
      <c r="A761" s="63" t="s">
        <v>554</v>
      </c>
      <c r="B761" s="63" t="s">
        <v>1316</v>
      </c>
      <c r="C761" s="63" t="s">
        <v>556</v>
      </c>
      <c r="D761" s="63" t="str">
        <f>IF('Barn - Back Rack'!AF67="","",TRIM('Barn - Back Rack'!AF67))</f>
        <v/>
      </c>
      <c r="E761" s="64" t="str">
        <f>IF($D761="","",'Barn - Back Rack'!AG67&amp;"")</f>
        <v/>
      </c>
      <c r="F761" s="63">
        <f t="shared" si="56"/>
        <v>0</v>
      </c>
      <c r="G761" s="64" t="str">
        <f t="shared" si="53"/>
        <v/>
      </c>
      <c r="H761" s="64" t="str">
        <f t="shared" si="54"/>
        <v/>
      </c>
      <c r="I761" s="63">
        <f>IF($G761="",0,IF(COUNTIF($G$2:$G761,$G761)=1,1,0))</f>
        <v>0</v>
      </c>
      <c r="J761" s="63" t="str">
        <f t="shared" si="55"/>
        <v/>
      </c>
      <c r="K761" s="63" t="str">
        <f>IF($H761="","",COUNTIF($H$2:$H761,"?*"))</f>
        <v/>
      </c>
    </row>
    <row r="762" spans="1:11" x14ac:dyDescent="0.25">
      <c r="A762" s="63" t="s">
        <v>554</v>
      </c>
      <c r="B762" s="63" t="s">
        <v>1317</v>
      </c>
      <c r="C762" s="63" t="s">
        <v>556</v>
      </c>
      <c r="D762" s="63" t="str">
        <f>IF('Barn - Back Rack'!AF68="","",TRIM('Barn - Back Rack'!AF68))</f>
        <v/>
      </c>
      <c r="E762" s="64" t="str">
        <f>IF($D762="","",'Barn - Back Rack'!AG68&amp;"")</f>
        <v/>
      </c>
      <c r="F762" s="63">
        <f t="shared" si="56"/>
        <v>0</v>
      </c>
      <c r="G762" s="64" t="str">
        <f t="shared" si="53"/>
        <v/>
      </c>
      <c r="H762" s="64" t="str">
        <f t="shared" si="54"/>
        <v/>
      </c>
      <c r="I762" s="63">
        <f>IF($G762="",0,IF(COUNTIF($G$2:$G762,$G762)=1,1,0))</f>
        <v>0</v>
      </c>
      <c r="J762" s="63" t="str">
        <f t="shared" si="55"/>
        <v/>
      </c>
      <c r="K762" s="63" t="str">
        <f>IF($H762="","",COUNTIF($H$2:$H762,"?*"))</f>
        <v/>
      </c>
    </row>
    <row r="763" spans="1:11" x14ac:dyDescent="0.25">
      <c r="A763" s="63" t="s">
        <v>554</v>
      </c>
      <c r="B763" s="63" t="s">
        <v>1318</v>
      </c>
      <c r="C763" s="63" t="s">
        <v>556</v>
      </c>
      <c r="D763" s="63" t="str">
        <f>IF('Barn - Back Rack'!AF69="","",TRIM('Barn - Back Rack'!AF69))</f>
        <v/>
      </c>
      <c r="E763" s="64" t="str">
        <f>IF($D763="","",'Barn - Back Rack'!AG69&amp;"")</f>
        <v/>
      </c>
      <c r="F763" s="63">
        <f t="shared" si="56"/>
        <v>0</v>
      </c>
      <c r="G763" s="64" t="str">
        <f t="shared" si="53"/>
        <v/>
      </c>
      <c r="H763" s="64" t="str">
        <f t="shared" si="54"/>
        <v/>
      </c>
      <c r="I763" s="63">
        <f>IF($G763="",0,IF(COUNTIF($G$2:$G763,$G763)=1,1,0))</f>
        <v>0</v>
      </c>
      <c r="J763" s="63" t="str">
        <f t="shared" si="55"/>
        <v/>
      </c>
      <c r="K763" s="63" t="str">
        <f>IF($H763="","",COUNTIF($H$2:$H763,"?*"))</f>
        <v/>
      </c>
    </row>
    <row r="764" spans="1:11" x14ac:dyDescent="0.25">
      <c r="A764" s="63" t="s">
        <v>554</v>
      </c>
      <c r="B764" s="63" t="s">
        <v>1319</v>
      </c>
      <c r="C764" s="63" t="s">
        <v>556</v>
      </c>
      <c r="D764" s="63" t="str">
        <f>IF('Barn - Back Rack'!AF70="","",TRIM('Barn - Back Rack'!AF70))</f>
        <v/>
      </c>
      <c r="E764" s="64" t="str">
        <f>IF($D764="","",'Barn - Back Rack'!AG70&amp;"")</f>
        <v/>
      </c>
      <c r="F764" s="63">
        <f t="shared" si="56"/>
        <v>0</v>
      </c>
      <c r="G764" s="64" t="str">
        <f t="shared" si="53"/>
        <v/>
      </c>
      <c r="H764" s="64" t="str">
        <f t="shared" si="54"/>
        <v/>
      </c>
      <c r="I764" s="63">
        <f>IF($G764="",0,IF(COUNTIF($G$2:$G764,$G764)=1,1,0))</f>
        <v>0</v>
      </c>
      <c r="J764" s="63" t="str">
        <f t="shared" si="55"/>
        <v/>
      </c>
      <c r="K764" s="63" t="str">
        <f>IF($H764="","",COUNTIF($H$2:$H764,"?*"))</f>
        <v/>
      </c>
    </row>
    <row r="765" spans="1:11" x14ac:dyDescent="0.25">
      <c r="A765" s="63" t="s">
        <v>554</v>
      </c>
      <c r="B765" s="63" t="s">
        <v>1320</v>
      </c>
      <c r="C765" s="63" t="s">
        <v>556</v>
      </c>
      <c r="D765" s="63" t="str">
        <f>IF('Barn - Back Rack'!AF71="","",TRIM('Barn - Back Rack'!AF71))</f>
        <v/>
      </c>
      <c r="E765" s="64" t="str">
        <f>IF($D765="","",'Barn - Back Rack'!AG71&amp;"")</f>
        <v/>
      </c>
      <c r="F765" s="63">
        <f t="shared" si="56"/>
        <v>0</v>
      </c>
      <c r="G765" s="64" t="str">
        <f t="shared" si="53"/>
        <v/>
      </c>
      <c r="H765" s="64" t="str">
        <f t="shared" si="54"/>
        <v/>
      </c>
      <c r="I765" s="63">
        <f>IF($G765="",0,IF(COUNTIF($G$2:$G765,$G765)=1,1,0))</f>
        <v>0</v>
      </c>
      <c r="J765" s="63" t="str">
        <f t="shared" si="55"/>
        <v/>
      </c>
      <c r="K765" s="63" t="str">
        <f>IF($H765="","",COUNTIF($H$2:$H765,"?*"))</f>
        <v/>
      </c>
    </row>
    <row r="766" spans="1:11" x14ac:dyDescent="0.25">
      <c r="A766" s="63" t="s">
        <v>554</v>
      </c>
      <c r="B766" s="63" t="s">
        <v>1321</v>
      </c>
      <c r="C766" s="63" t="s">
        <v>556</v>
      </c>
      <c r="D766" s="63" t="str">
        <f>IF('Barn - Back Rack'!AF72="","",TRIM('Barn - Back Rack'!AF72))</f>
        <v/>
      </c>
      <c r="E766" s="64" t="str">
        <f>IF($D766="","",'Barn - Back Rack'!AG72&amp;"")</f>
        <v/>
      </c>
      <c r="F766" s="63">
        <f t="shared" si="56"/>
        <v>0</v>
      </c>
      <c r="G766" s="64" t="str">
        <f t="shared" si="53"/>
        <v/>
      </c>
      <c r="H766" s="64" t="str">
        <f t="shared" si="54"/>
        <v/>
      </c>
      <c r="I766" s="63">
        <f>IF($G766="",0,IF(COUNTIF($G$2:$G766,$G766)=1,1,0))</f>
        <v>0</v>
      </c>
      <c r="J766" s="63" t="str">
        <f t="shared" si="55"/>
        <v/>
      </c>
      <c r="K766" s="63" t="str">
        <f>IF($H766="","",COUNTIF($H$2:$H766,"?*"))</f>
        <v/>
      </c>
    </row>
    <row r="767" spans="1:11" x14ac:dyDescent="0.25">
      <c r="A767" s="63" t="s">
        <v>554</v>
      </c>
      <c r="B767" s="63" t="s">
        <v>1322</v>
      </c>
      <c r="C767" s="63" t="s">
        <v>556</v>
      </c>
      <c r="D767" s="63" t="str">
        <f>IF('Barn - Back Rack'!AF73="","",TRIM('Barn - Back Rack'!AF73))</f>
        <v/>
      </c>
      <c r="E767" s="64" t="str">
        <f>IF($D767="","",'Barn - Back Rack'!AG73&amp;"")</f>
        <v/>
      </c>
      <c r="F767" s="63">
        <f t="shared" si="56"/>
        <v>0</v>
      </c>
      <c r="G767" s="64" t="str">
        <f t="shared" si="53"/>
        <v/>
      </c>
      <c r="H767" s="64" t="str">
        <f t="shared" si="54"/>
        <v/>
      </c>
      <c r="I767" s="63">
        <f>IF($G767="",0,IF(COUNTIF($G$2:$G767,$G767)=1,1,0))</f>
        <v>0</v>
      </c>
      <c r="J767" s="63" t="str">
        <f t="shared" si="55"/>
        <v/>
      </c>
      <c r="K767" s="63" t="str">
        <f>IF($H767="","",COUNTIF($H$2:$H767,"?*"))</f>
        <v/>
      </c>
    </row>
    <row r="768" spans="1:11" x14ac:dyDescent="0.25">
      <c r="A768" s="63" t="s">
        <v>554</v>
      </c>
      <c r="B768" s="63" t="s">
        <v>1323</v>
      </c>
      <c r="C768" s="63" t="s">
        <v>556</v>
      </c>
      <c r="D768" s="63" t="str">
        <f>IF('Barn - Back Rack'!AF74="","",TRIM('Barn - Back Rack'!AF74))</f>
        <v/>
      </c>
      <c r="E768" s="64" t="str">
        <f>IF($D768="","",'Barn - Back Rack'!AG74&amp;"")</f>
        <v/>
      </c>
      <c r="F768" s="63">
        <f t="shared" si="56"/>
        <v>0</v>
      </c>
      <c r="G768" s="64" t="str">
        <f t="shared" si="53"/>
        <v/>
      </c>
      <c r="H768" s="64" t="str">
        <f t="shared" si="54"/>
        <v/>
      </c>
      <c r="I768" s="63">
        <f>IF($G768="",0,IF(COUNTIF($G$2:$G768,$G768)=1,1,0))</f>
        <v>0</v>
      </c>
      <c r="J768" s="63" t="str">
        <f t="shared" si="55"/>
        <v/>
      </c>
      <c r="K768" s="63" t="str">
        <f>IF($H768="","",COUNTIF($H$2:$H768,"?*"))</f>
        <v/>
      </c>
    </row>
    <row r="769" spans="1:11" x14ac:dyDescent="0.25">
      <c r="A769" s="63" t="s">
        <v>554</v>
      </c>
      <c r="B769" s="63" t="s">
        <v>1324</v>
      </c>
      <c r="C769" s="63" t="s">
        <v>556</v>
      </c>
      <c r="D769" s="63" t="str">
        <f>IF('Barn - Back Rack'!AF75="","",TRIM('Barn - Back Rack'!AF75))</f>
        <v/>
      </c>
      <c r="E769" s="64" t="str">
        <f>IF($D769="","",'Barn - Back Rack'!AG75&amp;"")</f>
        <v/>
      </c>
      <c r="F769" s="63">
        <f t="shared" si="56"/>
        <v>0</v>
      </c>
      <c r="G769" s="64" t="str">
        <f t="shared" si="53"/>
        <v/>
      </c>
      <c r="H769" s="64" t="str">
        <f t="shared" si="54"/>
        <v/>
      </c>
      <c r="I769" s="63">
        <f>IF($G769="",0,IF(COUNTIF($G$2:$G769,$G769)=1,1,0))</f>
        <v>0</v>
      </c>
      <c r="J769" s="63" t="str">
        <f t="shared" si="55"/>
        <v/>
      </c>
      <c r="K769" s="63" t="str">
        <f>IF($H769="","",COUNTIF($H$2:$H769,"?*"))</f>
        <v/>
      </c>
    </row>
    <row r="770" spans="1:11" x14ac:dyDescent="0.25">
      <c r="A770" s="63" t="s">
        <v>1325</v>
      </c>
      <c r="B770" s="63" t="s">
        <v>653</v>
      </c>
      <c r="C770" s="63" t="s">
        <v>556</v>
      </c>
      <c r="D770" s="63" t="str">
        <f>IF('Barn - Front Rack'!B13="","",TRIM('Barn - Front Rack'!B13))</f>
        <v>Bunn G9-2</v>
      </c>
      <c r="E770" s="64" t="str">
        <f>IF($D770="","",'Barn - Front Rack'!C13&amp;"")</f>
        <v>G900055242</v>
      </c>
      <c r="F770" s="63">
        <f t="shared" si="56"/>
        <v>1</v>
      </c>
      <c r="G770" s="64" t="str">
        <f t="shared" ref="G770:G833" si="57">IF($D770="","",IF(ISNUMBER(FIND("(",$D770)),TRIM(LEFT($D770,FIND("(",$D770)-1)),$D770))</f>
        <v>Bunn G9-2</v>
      </c>
      <c r="H770" s="64" t="str">
        <f t="shared" ref="H770:H833" si="58">IF($D770="","",IF(ISNUMBER(FIND("(",$D770)),TRIM(SUBSTITUTE(MID($D770,FIND("(",$D770)+1,200),")","")),""))</f>
        <v/>
      </c>
      <c r="I770" s="63">
        <f>IF($G770="",0,IF(COUNTIF($G$2:$G770,$G770)=1,1,0))</f>
        <v>1</v>
      </c>
      <c r="J770" s="63">
        <f t="shared" ref="J770:J833" si="59">IF($I770=0,"",SUMPRODUCT(($I$2:$I$1513=1)*($G$2:$G$1513&lt;$G770))+1)</f>
        <v>16</v>
      </c>
      <c r="K770" s="63" t="str">
        <f>IF($H770="","",COUNTIF($H$2:$H770,"?*"))</f>
        <v/>
      </c>
    </row>
    <row r="771" spans="1:11" x14ac:dyDescent="0.25">
      <c r="A771" s="63" t="s">
        <v>1325</v>
      </c>
      <c r="B771" s="63" t="s">
        <v>654</v>
      </c>
      <c r="C771" s="63" t="s">
        <v>556</v>
      </c>
      <c r="D771" s="63" t="str">
        <f>IF('Barn - Front Rack'!B14="","",TRIM('Barn - Front Rack'!B14))</f>
        <v>Bunn G9-2</v>
      </c>
      <c r="E771" s="64" t="str">
        <f>IF($D771="","",'Barn - Front Rack'!C14&amp;"")</f>
        <v>N/A</v>
      </c>
      <c r="F771" s="63">
        <f t="shared" si="56"/>
        <v>1</v>
      </c>
      <c r="G771" s="64" t="str">
        <f t="shared" si="57"/>
        <v>Bunn G9-2</v>
      </c>
      <c r="H771" s="64" t="str">
        <f t="shared" si="58"/>
        <v/>
      </c>
      <c r="I771" s="63">
        <f>IF($G771="",0,IF(COUNTIF($G$2:$G771,$G771)=1,1,0))</f>
        <v>0</v>
      </c>
      <c r="J771" s="63" t="str">
        <f t="shared" si="59"/>
        <v/>
      </c>
      <c r="K771" s="63" t="str">
        <f>IF($H771="","",COUNTIF($H$2:$H771,"?*"))</f>
        <v/>
      </c>
    </row>
    <row r="772" spans="1:11" x14ac:dyDescent="0.25">
      <c r="A772" s="63" t="s">
        <v>1325</v>
      </c>
      <c r="B772" s="63" t="s">
        <v>655</v>
      </c>
      <c r="C772" s="63" t="s">
        <v>556</v>
      </c>
      <c r="D772" s="63" t="str">
        <f>IF('Barn - Front Rack'!B15="","",TRIM('Barn - Front Rack'!B15))</f>
        <v>Bunn G9-2</v>
      </c>
      <c r="E772" s="64" t="str">
        <f>IF($D772="","",'Barn - Front Rack'!C15&amp;"")</f>
        <v>G900107448</v>
      </c>
      <c r="F772" s="63">
        <f t="shared" si="56"/>
        <v>1</v>
      </c>
      <c r="G772" s="64" t="str">
        <f t="shared" si="57"/>
        <v>Bunn G9-2</v>
      </c>
      <c r="H772" s="64" t="str">
        <f t="shared" si="58"/>
        <v/>
      </c>
      <c r="I772" s="63">
        <f>IF($G772="",0,IF(COUNTIF($G$2:$G772,$G772)=1,1,0))</f>
        <v>0</v>
      </c>
      <c r="J772" s="63" t="str">
        <f t="shared" si="59"/>
        <v/>
      </c>
      <c r="K772" s="63" t="str">
        <f>IF($H772="","",COUNTIF($H$2:$H772,"?*"))</f>
        <v/>
      </c>
    </row>
    <row r="773" spans="1:11" x14ac:dyDescent="0.25">
      <c r="A773" s="63" t="s">
        <v>1325</v>
      </c>
      <c r="B773" s="63" t="s">
        <v>656</v>
      </c>
      <c r="C773" s="63" t="s">
        <v>556</v>
      </c>
      <c r="D773" s="63" t="str">
        <f>IF('Barn - Front Rack'!B16="","",TRIM('Barn - Front Rack'!B16))</f>
        <v>Bunn G9-2</v>
      </c>
      <c r="E773" s="64" t="str">
        <f>IF($D773="","",'Barn - Front Rack'!C16&amp;"")</f>
        <v>G900029673</v>
      </c>
      <c r="F773" s="63">
        <f t="shared" si="56"/>
        <v>1</v>
      </c>
      <c r="G773" s="64" t="str">
        <f t="shared" si="57"/>
        <v>Bunn G9-2</v>
      </c>
      <c r="H773" s="64" t="str">
        <f t="shared" si="58"/>
        <v/>
      </c>
      <c r="I773" s="63">
        <f>IF($G773="",0,IF(COUNTIF($G$2:$G773,$G773)=1,1,0))</f>
        <v>0</v>
      </c>
      <c r="J773" s="63" t="str">
        <f t="shared" si="59"/>
        <v/>
      </c>
      <c r="K773" s="63" t="str">
        <f>IF($H773="","",COUNTIF($H$2:$H773,"?*"))</f>
        <v/>
      </c>
    </row>
    <row r="774" spans="1:11" x14ac:dyDescent="0.25">
      <c r="A774" s="63" t="s">
        <v>1325</v>
      </c>
      <c r="B774" s="63" t="s">
        <v>657</v>
      </c>
      <c r="C774" s="63" t="s">
        <v>556</v>
      </c>
      <c r="D774" s="63" t="str">
        <f>IF('Barn - Front Rack'!B17="","",TRIM('Barn - Front Rack'!B17))</f>
        <v>Bunn G9-2</v>
      </c>
      <c r="E774" s="64" t="str">
        <f>IF($D774="","",'Barn - Front Rack'!C17&amp;"")</f>
        <v>G900006469</v>
      </c>
      <c r="F774" s="63">
        <f t="shared" si="56"/>
        <v>1</v>
      </c>
      <c r="G774" s="64" t="str">
        <f t="shared" si="57"/>
        <v>Bunn G9-2</v>
      </c>
      <c r="H774" s="64" t="str">
        <f t="shared" si="58"/>
        <v/>
      </c>
      <c r="I774" s="63">
        <f>IF($G774="",0,IF(COUNTIF($G$2:$G774,$G774)=1,1,0))</f>
        <v>0</v>
      </c>
      <c r="J774" s="63" t="str">
        <f t="shared" si="59"/>
        <v/>
      </c>
      <c r="K774" s="63" t="str">
        <f>IF($H774="","",COUNTIF($H$2:$H774,"?*"))</f>
        <v/>
      </c>
    </row>
    <row r="775" spans="1:11" x14ac:dyDescent="0.25">
      <c r="A775" s="63" t="s">
        <v>1325</v>
      </c>
      <c r="B775" s="63" t="s">
        <v>658</v>
      </c>
      <c r="C775" s="63" t="s">
        <v>556</v>
      </c>
      <c r="D775" s="63" t="str">
        <f>IF('Barn - Front Rack'!B18="","",TRIM('Barn - Front Rack'!B18))</f>
        <v>Bunn G9-2</v>
      </c>
      <c r="E775" s="64" t="str">
        <f>IF($D775="","",'Barn - Front Rack'!C18&amp;"")</f>
        <v>N/A</v>
      </c>
      <c r="F775" s="63">
        <f t="shared" si="56"/>
        <v>1</v>
      </c>
      <c r="G775" s="64" t="str">
        <f t="shared" si="57"/>
        <v>Bunn G9-2</v>
      </c>
      <c r="H775" s="64" t="str">
        <f t="shared" si="58"/>
        <v/>
      </c>
      <c r="I775" s="63">
        <f>IF($G775="",0,IF(COUNTIF($G$2:$G775,$G775)=1,1,0))</f>
        <v>0</v>
      </c>
      <c r="J775" s="63" t="str">
        <f t="shared" si="59"/>
        <v/>
      </c>
      <c r="K775" s="63" t="str">
        <f>IF($H775="","",COUNTIF($H$2:$H775,"?*"))</f>
        <v/>
      </c>
    </row>
    <row r="776" spans="1:11" x14ac:dyDescent="0.25">
      <c r="A776" s="63" t="s">
        <v>1325</v>
      </c>
      <c r="B776" s="63" t="s">
        <v>659</v>
      </c>
      <c r="C776" s="63" t="s">
        <v>556</v>
      </c>
      <c r="D776" s="63" t="str">
        <f>IF('Barn - Front Rack'!B19="","",TRIM('Barn - Front Rack'!B19))</f>
        <v>Bunn G9-2</v>
      </c>
      <c r="E776" s="64" t="str">
        <f>IF($D776="","",'Barn - Front Rack'!C19&amp;"")</f>
        <v>N/A</v>
      </c>
      <c r="F776" s="63">
        <f t="shared" si="56"/>
        <v>1</v>
      </c>
      <c r="G776" s="64" t="str">
        <f t="shared" si="57"/>
        <v>Bunn G9-2</v>
      </c>
      <c r="H776" s="64" t="str">
        <f t="shared" si="58"/>
        <v/>
      </c>
      <c r="I776" s="63">
        <f>IF($G776="",0,IF(COUNTIF($G$2:$G776,$G776)=1,1,0))</f>
        <v>0</v>
      </c>
      <c r="J776" s="63" t="str">
        <f t="shared" si="59"/>
        <v/>
      </c>
      <c r="K776" s="63" t="str">
        <f>IF($H776="","",COUNTIF($H$2:$H776,"?*"))</f>
        <v/>
      </c>
    </row>
    <row r="777" spans="1:11" x14ac:dyDescent="0.25">
      <c r="A777" s="63" t="s">
        <v>1325</v>
      </c>
      <c r="B777" s="63" t="s">
        <v>660</v>
      </c>
      <c r="C777" s="63" t="s">
        <v>556</v>
      </c>
      <c r="D777" s="63" t="str">
        <f>IF('Barn - Front Rack'!B20="","",TRIM('Barn - Front Rack'!B20))</f>
        <v>Bunn G9-2</v>
      </c>
      <c r="E777" s="64" t="str">
        <f>IF($D777="","",'Barn - Front Rack'!C20&amp;"")</f>
        <v>N/A</v>
      </c>
      <c r="F777" s="63">
        <f t="shared" si="56"/>
        <v>1</v>
      </c>
      <c r="G777" s="64" t="str">
        <f t="shared" si="57"/>
        <v>Bunn G9-2</v>
      </c>
      <c r="H777" s="64" t="str">
        <f t="shared" si="58"/>
        <v/>
      </c>
      <c r="I777" s="63">
        <f>IF($G777="",0,IF(COUNTIF($G$2:$G777,$G777)=1,1,0))</f>
        <v>0</v>
      </c>
      <c r="J777" s="63" t="str">
        <f t="shared" si="59"/>
        <v/>
      </c>
      <c r="K777" s="63" t="str">
        <f>IF($H777="","",COUNTIF($H$2:$H777,"?*"))</f>
        <v/>
      </c>
    </row>
    <row r="778" spans="1:11" x14ac:dyDescent="0.25">
      <c r="A778" s="63" t="s">
        <v>1325</v>
      </c>
      <c r="B778" s="63" t="s">
        <v>661</v>
      </c>
      <c r="C778" s="63" t="s">
        <v>556</v>
      </c>
      <c r="D778" s="63" t="str">
        <f>IF('Barn - Front Rack'!B21="","",TRIM('Barn - Front Rack'!B21))</f>
        <v>Bunn G9-2</v>
      </c>
      <c r="E778" s="64" t="str">
        <f>IF($D778="","",'Barn - Front Rack'!C21&amp;"")</f>
        <v>G900046332</v>
      </c>
      <c r="F778" s="63">
        <f t="shared" ref="F778:F841" si="60">IF($D778="",0,1)</f>
        <v>1</v>
      </c>
      <c r="G778" s="64" t="str">
        <f t="shared" si="57"/>
        <v>Bunn G9-2</v>
      </c>
      <c r="H778" s="64" t="str">
        <f t="shared" si="58"/>
        <v/>
      </c>
      <c r="I778" s="63">
        <f>IF($G778="",0,IF(COUNTIF($G$2:$G778,$G778)=1,1,0))</f>
        <v>0</v>
      </c>
      <c r="J778" s="63" t="str">
        <f t="shared" si="59"/>
        <v/>
      </c>
      <c r="K778" s="63" t="str">
        <f>IF($H778="","",COUNTIF($H$2:$H778,"?*"))</f>
        <v/>
      </c>
    </row>
    <row r="779" spans="1:11" x14ac:dyDescent="0.25">
      <c r="A779" s="63" t="s">
        <v>1325</v>
      </c>
      <c r="B779" s="63" t="s">
        <v>662</v>
      </c>
      <c r="C779" s="63" t="s">
        <v>556</v>
      </c>
      <c r="D779" s="63" t="str">
        <f>IF('Barn - Front Rack'!B22="","",TRIM('Barn - Front Rack'!B22))</f>
        <v>Bunn G9-2</v>
      </c>
      <c r="E779" s="64" t="str">
        <f>IF($D779="","",'Barn - Front Rack'!C22&amp;"")</f>
        <v>G900057284</v>
      </c>
      <c r="F779" s="63">
        <f t="shared" si="60"/>
        <v>1</v>
      </c>
      <c r="G779" s="64" t="str">
        <f t="shared" si="57"/>
        <v>Bunn G9-2</v>
      </c>
      <c r="H779" s="64" t="str">
        <f t="shared" si="58"/>
        <v/>
      </c>
      <c r="I779" s="63">
        <f>IF($G779="",0,IF(COUNTIF($G$2:$G779,$G779)=1,1,0))</f>
        <v>0</v>
      </c>
      <c r="J779" s="63" t="str">
        <f t="shared" si="59"/>
        <v/>
      </c>
      <c r="K779" s="63" t="str">
        <f>IF($H779="","",COUNTIF($H$2:$H779,"?*"))</f>
        <v/>
      </c>
    </row>
    <row r="780" spans="1:11" x14ac:dyDescent="0.25">
      <c r="A780" s="63" t="s">
        <v>1325</v>
      </c>
      <c r="B780" s="63" t="s">
        <v>663</v>
      </c>
      <c r="C780" s="63" t="s">
        <v>556</v>
      </c>
      <c r="D780" s="63" t="str">
        <f>IF('Barn - Front Rack'!B23="","",TRIM('Barn - Front Rack'!B23))</f>
        <v/>
      </c>
      <c r="E780" s="64" t="str">
        <f>IF($D780="","",'Barn - Front Rack'!C23&amp;"")</f>
        <v/>
      </c>
      <c r="F780" s="63">
        <f t="shared" si="60"/>
        <v>0</v>
      </c>
      <c r="G780" s="64" t="str">
        <f t="shared" si="57"/>
        <v/>
      </c>
      <c r="H780" s="64" t="str">
        <f t="shared" si="58"/>
        <v/>
      </c>
      <c r="I780" s="63">
        <f>IF($G780="",0,IF(COUNTIF($G$2:$G780,$G780)=1,1,0))</f>
        <v>0</v>
      </c>
      <c r="J780" s="63" t="str">
        <f t="shared" si="59"/>
        <v/>
      </c>
      <c r="K780" s="63" t="str">
        <f>IF($H780="","",COUNTIF($H$2:$H780,"?*"))</f>
        <v/>
      </c>
    </row>
    <row r="781" spans="1:11" x14ac:dyDescent="0.25">
      <c r="A781" s="63" t="s">
        <v>1325</v>
      </c>
      <c r="B781" s="63" t="s">
        <v>664</v>
      </c>
      <c r="C781" s="63" t="s">
        <v>556</v>
      </c>
      <c r="D781" s="63" t="str">
        <f>IF('Barn - Front Rack'!B24="","",TRIM('Barn - Front Rack'!B24))</f>
        <v/>
      </c>
      <c r="E781" s="64" t="str">
        <f>IF($D781="","",'Barn - Front Rack'!C24&amp;"")</f>
        <v/>
      </c>
      <c r="F781" s="63">
        <f t="shared" si="60"/>
        <v>0</v>
      </c>
      <c r="G781" s="64" t="str">
        <f t="shared" si="57"/>
        <v/>
      </c>
      <c r="H781" s="64" t="str">
        <f t="shared" si="58"/>
        <v/>
      </c>
      <c r="I781" s="63">
        <f>IF($G781="",0,IF(COUNTIF($G$2:$G781,$G781)=1,1,0))</f>
        <v>0</v>
      </c>
      <c r="J781" s="63" t="str">
        <f t="shared" si="59"/>
        <v/>
      </c>
      <c r="K781" s="63" t="str">
        <f>IF($H781="","",COUNTIF($H$2:$H781,"?*"))</f>
        <v/>
      </c>
    </row>
    <row r="782" spans="1:11" x14ac:dyDescent="0.25">
      <c r="A782" s="63" t="s">
        <v>1325</v>
      </c>
      <c r="B782" s="63" t="s">
        <v>665</v>
      </c>
      <c r="C782" s="63" t="s">
        <v>556</v>
      </c>
      <c r="D782" s="63" t="str">
        <f>IF('Barn - Front Rack'!D13="","",TRIM('Barn - Front Rack'!D13))</f>
        <v/>
      </c>
      <c r="E782" s="64" t="str">
        <f>IF($D782="","",'Barn - Front Rack'!E13&amp;"")</f>
        <v/>
      </c>
      <c r="F782" s="63">
        <f t="shared" si="60"/>
        <v>0</v>
      </c>
      <c r="G782" s="64" t="str">
        <f t="shared" si="57"/>
        <v/>
      </c>
      <c r="H782" s="64" t="str">
        <f t="shared" si="58"/>
        <v/>
      </c>
      <c r="I782" s="63">
        <f>IF($G782="",0,IF(COUNTIF($G$2:$G782,$G782)=1,1,0))</f>
        <v>0</v>
      </c>
      <c r="J782" s="63" t="str">
        <f t="shared" si="59"/>
        <v/>
      </c>
      <c r="K782" s="63" t="str">
        <f>IF($H782="","",COUNTIF($H$2:$H782,"?*"))</f>
        <v/>
      </c>
    </row>
    <row r="783" spans="1:11" x14ac:dyDescent="0.25">
      <c r="A783" s="63" t="s">
        <v>1325</v>
      </c>
      <c r="B783" s="63" t="s">
        <v>666</v>
      </c>
      <c r="C783" s="63" t="s">
        <v>556</v>
      </c>
      <c r="D783" s="63" t="str">
        <f>IF('Barn - Front Rack'!D14="","",TRIM('Barn - Front Rack'!D14))</f>
        <v/>
      </c>
      <c r="E783" s="64" t="str">
        <f>IF($D783="","",'Barn - Front Rack'!E14&amp;"")</f>
        <v/>
      </c>
      <c r="F783" s="63">
        <f t="shared" si="60"/>
        <v>0</v>
      </c>
      <c r="G783" s="64" t="str">
        <f t="shared" si="57"/>
        <v/>
      </c>
      <c r="H783" s="64" t="str">
        <f t="shared" si="58"/>
        <v/>
      </c>
      <c r="I783" s="63">
        <f>IF($G783="",0,IF(COUNTIF($G$2:$G783,$G783)=1,1,0))</f>
        <v>0</v>
      </c>
      <c r="J783" s="63" t="str">
        <f t="shared" si="59"/>
        <v/>
      </c>
      <c r="K783" s="63" t="str">
        <f>IF($H783="","",COUNTIF($H$2:$H783,"?*"))</f>
        <v/>
      </c>
    </row>
    <row r="784" spans="1:11" x14ac:dyDescent="0.25">
      <c r="A784" s="63" t="s">
        <v>1325</v>
      </c>
      <c r="B784" s="63" t="s">
        <v>667</v>
      </c>
      <c r="C784" s="63" t="s">
        <v>556</v>
      </c>
      <c r="D784" s="63" t="str">
        <f>IF('Barn - Front Rack'!D15="","",TRIM('Barn - Front Rack'!D15))</f>
        <v/>
      </c>
      <c r="E784" s="64" t="str">
        <f>IF($D784="","",'Barn - Front Rack'!E15&amp;"")</f>
        <v/>
      </c>
      <c r="F784" s="63">
        <f t="shared" si="60"/>
        <v>0</v>
      </c>
      <c r="G784" s="64" t="str">
        <f t="shared" si="57"/>
        <v/>
      </c>
      <c r="H784" s="64" t="str">
        <f t="shared" si="58"/>
        <v/>
      </c>
      <c r="I784" s="63">
        <f>IF($G784="",0,IF(COUNTIF($G$2:$G784,$G784)=1,1,0))</f>
        <v>0</v>
      </c>
      <c r="J784" s="63" t="str">
        <f t="shared" si="59"/>
        <v/>
      </c>
      <c r="K784" s="63" t="str">
        <f>IF($H784="","",COUNTIF($H$2:$H784,"?*"))</f>
        <v/>
      </c>
    </row>
    <row r="785" spans="1:11" x14ac:dyDescent="0.25">
      <c r="A785" s="63" t="s">
        <v>1325</v>
      </c>
      <c r="B785" s="63" t="s">
        <v>668</v>
      </c>
      <c r="C785" s="63" t="s">
        <v>556</v>
      </c>
      <c r="D785" s="63" t="str">
        <f>IF('Barn - Front Rack'!D16="","",TRIM('Barn - Front Rack'!D16))</f>
        <v/>
      </c>
      <c r="E785" s="64" t="str">
        <f>IF($D785="","",'Barn - Front Rack'!E16&amp;"")</f>
        <v/>
      </c>
      <c r="F785" s="63">
        <f t="shared" si="60"/>
        <v>0</v>
      </c>
      <c r="G785" s="64" t="str">
        <f t="shared" si="57"/>
        <v/>
      </c>
      <c r="H785" s="64" t="str">
        <f t="shared" si="58"/>
        <v/>
      </c>
      <c r="I785" s="63">
        <f>IF($G785="",0,IF(COUNTIF($G$2:$G785,$G785)=1,1,0))</f>
        <v>0</v>
      </c>
      <c r="J785" s="63" t="str">
        <f t="shared" si="59"/>
        <v/>
      </c>
      <c r="K785" s="63" t="str">
        <f>IF($H785="","",COUNTIF($H$2:$H785,"?*"))</f>
        <v/>
      </c>
    </row>
    <row r="786" spans="1:11" x14ac:dyDescent="0.25">
      <c r="A786" s="63" t="s">
        <v>1325</v>
      </c>
      <c r="B786" s="63" t="s">
        <v>669</v>
      </c>
      <c r="C786" s="63" t="s">
        <v>556</v>
      </c>
      <c r="D786" s="63" t="str">
        <f>IF('Barn - Front Rack'!D17="","",TRIM('Barn - Front Rack'!D17))</f>
        <v/>
      </c>
      <c r="E786" s="64" t="str">
        <f>IF($D786="","",'Barn - Front Rack'!E17&amp;"")</f>
        <v/>
      </c>
      <c r="F786" s="63">
        <f t="shared" si="60"/>
        <v>0</v>
      </c>
      <c r="G786" s="64" t="str">
        <f t="shared" si="57"/>
        <v/>
      </c>
      <c r="H786" s="64" t="str">
        <f t="shared" si="58"/>
        <v/>
      </c>
      <c r="I786" s="63">
        <f>IF($G786="",0,IF(COUNTIF($G$2:$G786,$G786)=1,1,0))</f>
        <v>0</v>
      </c>
      <c r="J786" s="63" t="str">
        <f t="shared" si="59"/>
        <v/>
      </c>
      <c r="K786" s="63" t="str">
        <f>IF($H786="","",COUNTIF($H$2:$H786,"?*"))</f>
        <v/>
      </c>
    </row>
    <row r="787" spans="1:11" x14ac:dyDescent="0.25">
      <c r="A787" s="63" t="s">
        <v>1325</v>
      </c>
      <c r="B787" s="63" t="s">
        <v>670</v>
      </c>
      <c r="C787" s="63" t="s">
        <v>556</v>
      </c>
      <c r="D787" s="63" t="str">
        <f>IF('Barn - Front Rack'!D18="","",TRIM('Barn - Front Rack'!D18))</f>
        <v/>
      </c>
      <c r="E787" s="64" t="str">
        <f>IF($D787="","",'Barn - Front Rack'!E18&amp;"")</f>
        <v/>
      </c>
      <c r="F787" s="63">
        <f t="shared" si="60"/>
        <v>0</v>
      </c>
      <c r="G787" s="64" t="str">
        <f t="shared" si="57"/>
        <v/>
      </c>
      <c r="H787" s="64" t="str">
        <f t="shared" si="58"/>
        <v/>
      </c>
      <c r="I787" s="63">
        <f>IF($G787="",0,IF(COUNTIF($G$2:$G787,$G787)=1,1,0))</f>
        <v>0</v>
      </c>
      <c r="J787" s="63" t="str">
        <f t="shared" si="59"/>
        <v/>
      </c>
      <c r="K787" s="63" t="str">
        <f>IF($H787="","",COUNTIF($H$2:$H787,"?*"))</f>
        <v/>
      </c>
    </row>
    <row r="788" spans="1:11" x14ac:dyDescent="0.25">
      <c r="A788" s="63" t="s">
        <v>1325</v>
      </c>
      <c r="B788" s="63" t="s">
        <v>671</v>
      </c>
      <c r="C788" s="63" t="s">
        <v>556</v>
      </c>
      <c r="D788" s="63" t="str">
        <f>IF('Barn - Front Rack'!D19="","",TRIM('Barn - Front Rack'!D19))</f>
        <v/>
      </c>
      <c r="E788" s="64" t="str">
        <f>IF($D788="","",'Barn - Front Rack'!E19&amp;"")</f>
        <v/>
      </c>
      <c r="F788" s="63">
        <f t="shared" si="60"/>
        <v>0</v>
      </c>
      <c r="G788" s="64" t="str">
        <f t="shared" si="57"/>
        <v/>
      </c>
      <c r="H788" s="64" t="str">
        <f t="shared" si="58"/>
        <v/>
      </c>
      <c r="I788" s="63">
        <f>IF($G788="",0,IF(COUNTIF($G$2:$G788,$G788)=1,1,0))</f>
        <v>0</v>
      </c>
      <c r="J788" s="63" t="str">
        <f t="shared" si="59"/>
        <v/>
      </c>
      <c r="K788" s="63" t="str">
        <f>IF($H788="","",COUNTIF($H$2:$H788,"?*"))</f>
        <v/>
      </c>
    </row>
    <row r="789" spans="1:11" x14ac:dyDescent="0.25">
      <c r="A789" s="63" t="s">
        <v>1325</v>
      </c>
      <c r="B789" s="63" t="s">
        <v>672</v>
      </c>
      <c r="C789" s="63" t="s">
        <v>556</v>
      </c>
      <c r="D789" s="63" t="str">
        <f>IF('Barn - Front Rack'!D20="","",TRIM('Barn - Front Rack'!D20))</f>
        <v/>
      </c>
      <c r="E789" s="64" t="str">
        <f>IF($D789="","",'Barn - Front Rack'!E20&amp;"")</f>
        <v/>
      </c>
      <c r="F789" s="63">
        <f t="shared" si="60"/>
        <v>0</v>
      </c>
      <c r="G789" s="64" t="str">
        <f t="shared" si="57"/>
        <v/>
      </c>
      <c r="H789" s="64" t="str">
        <f t="shared" si="58"/>
        <v/>
      </c>
      <c r="I789" s="63">
        <f>IF($G789="",0,IF(COUNTIF($G$2:$G789,$G789)=1,1,0))</f>
        <v>0</v>
      </c>
      <c r="J789" s="63" t="str">
        <f t="shared" si="59"/>
        <v/>
      </c>
      <c r="K789" s="63" t="str">
        <f>IF($H789="","",COUNTIF($H$2:$H789,"?*"))</f>
        <v/>
      </c>
    </row>
    <row r="790" spans="1:11" x14ac:dyDescent="0.25">
      <c r="A790" s="63" t="s">
        <v>1325</v>
      </c>
      <c r="B790" s="63" t="s">
        <v>673</v>
      </c>
      <c r="C790" s="63" t="s">
        <v>556</v>
      </c>
      <c r="D790" s="63" t="str">
        <f>IF('Barn - Front Rack'!D21="","",TRIM('Barn - Front Rack'!D21))</f>
        <v/>
      </c>
      <c r="E790" s="64" t="str">
        <f>IF($D790="","",'Barn - Front Rack'!E21&amp;"")</f>
        <v/>
      </c>
      <c r="F790" s="63">
        <f t="shared" si="60"/>
        <v>0</v>
      </c>
      <c r="G790" s="64" t="str">
        <f t="shared" si="57"/>
        <v/>
      </c>
      <c r="H790" s="64" t="str">
        <f t="shared" si="58"/>
        <v/>
      </c>
      <c r="I790" s="63">
        <f>IF($G790="",0,IF(COUNTIF($G$2:$G790,$G790)=1,1,0))</f>
        <v>0</v>
      </c>
      <c r="J790" s="63" t="str">
        <f t="shared" si="59"/>
        <v/>
      </c>
      <c r="K790" s="63" t="str">
        <f>IF($H790="","",COUNTIF($H$2:$H790,"?*"))</f>
        <v/>
      </c>
    </row>
    <row r="791" spans="1:11" x14ac:dyDescent="0.25">
      <c r="A791" s="63" t="s">
        <v>1325</v>
      </c>
      <c r="B791" s="63" t="s">
        <v>674</v>
      </c>
      <c r="C791" s="63" t="s">
        <v>556</v>
      </c>
      <c r="D791" s="63" t="str">
        <f>IF('Barn - Front Rack'!D22="","",TRIM('Barn - Front Rack'!D22))</f>
        <v/>
      </c>
      <c r="E791" s="64" t="str">
        <f>IF($D791="","",'Barn - Front Rack'!E22&amp;"")</f>
        <v/>
      </c>
      <c r="F791" s="63">
        <f t="shared" si="60"/>
        <v>0</v>
      </c>
      <c r="G791" s="64" t="str">
        <f t="shared" si="57"/>
        <v/>
      </c>
      <c r="H791" s="64" t="str">
        <f t="shared" si="58"/>
        <v/>
      </c>
      <c r="I791" s="63">
        <f>IF($G791="",0,IF(COUNTIF($G$2:$G791,$G791)=1,1,0))</f>
        <v>0</v>
      </c>
      <c r="J791" s="63" t="str">
        <f t="shared" si="59"/>
        <v/>
      </c>
      <c r="K791" s="63" t="str">
        <f>IF($H791="","",COUNTIF($H$2:$H791,"?*"))</f>
        <v/>
      </c>
    </row>
    <row r="792" spans="1:11" x14ac:dyDescent="0.25">
      <c r="A792" s="63" t="s">
        <v>1325</v>
      </c>
      <c r="B792" s="63" t="s">
        <v>675</v>
      </c>
      <c r="C792" s="63" t="s">
        <v>556</v>
      </c>
      <c r="D792" s="63" t="str">
        <f>IF('Barn - Front Rack'!D23="","",TRIM('Barn - Front Rack'!D23))</f>
        <v/>
      </c>
      <c r="E792" s="64" t="str">
        <f>IF($D792="","",'Barn - Front Rack'!E23&amp;"")</f>
        <v/>
      </c>
      <c r="F792" s="63">
        <f t="shared" si="60"/>
        <v>0</v>
      </c>
      <c r="G792" s="64" t="str">
        <f t="shared" si="57"/>
        <v/>
      </c>
      <c r="H792" s="64" t="str">
        <f t="shared" si="58"/>
        <v/>
      </c>
      <c r="I792" s="63">
        <f>IF($G792="",0,IF(COUNTIF($G$2:$G792,$G792)=1,1,0))</f>
        <v>0</v>
      </c>
      <c r="J792" s="63" t="str">
        <f t="shared" si="59"/>
        <v/>
      </c>
      <c r="K792" s="63" t="str">
        <f>IF($H792="","",COUNTIF($H$2:$H792,"?*"))</f>
        <v/>
      </c>
    </row>
    <row r="793" spans="1:11" x14ac:dyDescent="0.25">
      <c r="A793" s="63" t="s">
        <v>1325</v>
      </c>
      <c r="B793" s="63" t="s">
        <v>676</v>
      </c>
      <c r="C793" s="63" t="s">
        <v>556</v>
      </c>
      <c r="D793" s="63" t="str">
        <f>IF('Barn - Front Rack'!D24="","",TRIM('Barn - Front Rack'!D24))</f>
        <v/>
      </c>
      <c r="E793" s="64" t="str">
        <f>IF($D793="","",'Barn - Front Rack'!E24&amp;"")</f>
        <v/>
      </c>
      <c r="F793" s="63">
        <f t="shared" si="60"/>
        <v>0</v>
      </c>
      <c r="G793" s="64" t="str">
        <f t="shared" si="57"/>
        <v/>
      </c>
      <c r="H793" s="64" t="str">
        <f t="shared" si="58"/>
        <v/>
      </c>
      <c r="I793" s="63">
        <f>IF($G793="",0,IF(COUNTIF($G$2:$G793,$G793)=1,1,0))</f>
        <v>0</v>
      </c>
      <c r="J793" s="63" t="str">
        <f t="shared" si="59"/>
        <v/>
      </c>
      <c r="K793" s="63" t="str">
        <f>IF($H793="","",COUNTIF($H$2:$H793,"?*"))</f>
        <v/>
      </c>
    </row>
    <row r="794" spans="1:11" x14ac:dyDescent="0.25">
      <c r="A794" s="63" t="s">
        <v>1325</v>
      </c>
      <c r="B794" s="63" t="s">
        <v>677</v>
      </c>
      <c r="C794" s="63" t="s">
        <v>556</v>
      </c>
      <c r="D794" s="63" t="str">
        <f>IF('Barn - Front Rack'!F13="","",TRIM('Barn - Front Rack'!F13))</f>
        <v/>
      </c>
      <c r="E794" s="64" t="str">
        <f>IF($D794="","",'Barn - Front Rack'!G13&amp;"")</f>
        <v/>
      </c>
      <c r="F794" s="63">
        <f t="shared" si="60"/>
        <v>0</v>
      </c>
      <c r="G794" s="64" t="str">
        <f t="shared" si="57"/>
        <v/>
      </c>
      <c r="H794" s="64" t="str">
        <f t="shared" si="58"/>
        <v/>
      </c>
      <c r="I794" s="63">
        <f>IF($G794="",0,IF(COUNTIF($G$2:$G794,$G794)=1,1,0))</f>
        <v>0</v>
      </c>
      <c r="J794" s="63" t="str">
        <f t="shared" si="59"/>
        <v/>
      </c>
      <c r="K794" s="63" t="str">
        <f>IF($H794="","",COUNTIF($H$2:$H794,"?*"))</f>
        <v/>
      </c>
    </row>
    <row r="795" spans="1:11" x14ac:dyDescent="0.25">
      <c r="A795" s="63" t="s">
        <v>1325</v>
      </c>
      <c r="B795" s="63" t="s">
        <v>678</v>
      </c>
      <c r="C795" s="63" t="s">
        <v>556</v>
      </c>
      <c r="D795" s="63" t="str">
        <f>IF('Barn - Front Rack'!F14="","",TRIM('Barn - Front Rack'!F14))</f>
        <v/>
      </c>
      <c r="E795" s="64" t="str">
        <f>IF($D795="","",'Barn - Front Rack'!G14&amp;"")</f>
        <v/>
      </c>
      <c r="F795" s="63">
        <f t="shared" si="60"/>
        <v>0</v>
      </c>
      <c r="G795" s="64" t="str">
        <f t="shared" si="57"/>
        <v/>
      </c>
      <c r="H795" s="64" t="str">
        <f t="shared" si="58"/>
        <v/>
      </c>
      <c r="I795" s="63">
        <f>IF($G795="",0,IF(COUNTIF($G$2:$G795,$G795)=1,1,0))</f>
        <v>0</v>
      </c>
      <c r="J795" s="63" t="str">
        <f t="shared" si="59"/>
        <v/>
      </c>
      <c r="K795" s="63" t="str">
        <f>IF($H795="","",COUNTIF($H$2:$H795,"?*"))</f>
        <v/>
      </c>
    </row>
    <row r="796" spans="1:11" x14ac:dyDescent="0.25">
      <c r="A796" s="63" t="s">
        <v>1325</v>
      </c>
      <c r="B796" s="63" t="s">
        <v>679</v>
      </c>
      <c r="C796" s="63" t="s">
        <v>556</v>
      </c>
      <c r="D796" s="63" t="str">
        <f>IF('Barn - Front Rack'!F15="","",TRIM('Barn - Front Rack'!F15))</f>
        <v/>
      </c>
      <c r="E796" s="64" t="str">
        <f>IF($D796="","",'Barn - Front Rack'!G15&amp;"")</f>
        <v/>
      </c>
      <c r="F796" s="63">
        <f t="shared" si="60"/>
        <v>0</v>
      </c>
      <c r="G796" s="64" t="str">
        <f t="shared" si="57"/>
        <v/>
      </c>
      <c r="H796" s="64" t="str">
        <f t="shared" si="58"/>
        <v/>
      </c>
      <c r="I796" s="63">
        <f>IF($G796="",0,IF(COUNTIF($G$2:$G796,$G796)=1,1,0))</f>
        <v>0</v>
      </c>
      <c r="J796" s="63" t="str">
        <f t="shared" si="59"/>
        <v/>
      </c>
      <c r="K796" s="63" t="str">
        <f>IF($H796="","",COUNTIF($H$2:$H796,"?*"))</f>
        <v/>
      </c>
    </row>
    <row r="797" spans="1:11" x14ac:dyDescent="0.25">
      <c r="A797" s="63" t="s">
        <v>1325</v>
      </c>
      <c r="B797" s="63" t="s">
        <v>680</v>
      </c>
      <c r="C797" s="63" t="s">
        <v>556</v>
      </c>
      <c r="D797" s="63" t="str">
        <f>IF('Barn - Front Rack'!F16="","",TRIM('Barn - Front Rack'!F16))</f>
        <v/>
      </c>
      <c r="E797" s="64" t="str">
        <f>IF($D797="","",'Barn - Front Rack'!G16&amp;"")</f>
        <v/>
      </c>
      <c r="F797" s="63">
        <f t="shared" si="60"/>
        <v>0</v>
      </c>
      <c r="G797" s="64" t="str">
        <f t="shared" si="57"/>
        <v/>
      </c>
      <c r="H797" s="64" t="str">
        <f t="shared" si="58"/>
        <v/>
      </c>
      <c r="I797" s="63">
        <f>IF($G797="",0,IF(COUNTIF($G$2:$G797,$G797)=1,1,0))</f>
        <v>0</v>
      </c>
      <c r="J797" s="63" t="str">
        <f t="shared" si="59"/>
        <v/>
      </c>
      <c r="K797" s="63" t="str">
        <f>IF($H797="","",COUNTIF($H$2:$H797,"?*"))</f>
        <v/>
      </c>
    </row>
    <row r="798" spans="1:11" x14ac:dyDescent="0.25">
      <c r="A798" s="63" t="s">
        <v>1325</v>
      </c>
      <c r="B798" s="63" t="s">
        <v>681</v>
      </c>
      <c r="C798" s="63" t="s">
        <v>556</v>
      </c>
      <c r="D798" s="63" t="str">
        <f>IF('Barn - Front Rack'!F17="","",TRIM('Barn - Front Rack'!F17))</f>
        <v/>
      </c>
      <c r="E798" s="64" t="str">
        <f>IF($D798="","",'Barn - Front Rack'!G17&amp;"")</f>
        <v/>
      </c>
      <c r="F798" s="63">
        <f t="shared" si="60"/>
        <v>0</v>
      </c>
      <c r="G798" s="64" t="str">
        <f t="shared" si="57"/>
        <v/>
      </c>
      <c r="H798" s="64" t="str">
        <f t="shared" si="58"/>
        <v/>
      </c>
      <c r="I798" s="63">
        <f>IF($G798="",0,IF(COUNTIF($G$2:$G798,$G798)=1,1,0))</f>
        <v>0</v>
      </c>
      <c r="J798" s="63" t="str">
        <f t="shared" si="59"/>
        <v/>
      </c>
      <c r="K798" s="63" t="str">
        <f>IF($H798="","",COUNTIF($H$2:$H798,"?*"))</f>
        <v/>
      </c>
    </row>
    <row r="799" spans="1:11" x14ac:dyDescent="0.25">
      <c r="A799" s="63" t="s">
        <v>1325</v>
      </c>
      <c r="B799" s="63" t="s">
        <v>682</v>
      </c>
      <c r="C799" s="63" t="s">
        <v>556</v>
      </c>
      <c r="D799" s="63" t="str">
        <f>IF('Barn - Front Rack'!F18="","",TRIM('Barn - Front Rack'!F18))</f>
        <v/>
      </c>
      <c r="E799" s="64" t="str">
        <f>IF($D799="","",'Barn - Front Rack'!G18&amp;"")</f>
        <v/>
      </c>
      <c r="F799" s="63">
        <f t="shared" si="60"/>
        <v>0</v>
      </c>
      <c r="G799" s="64" t="str">
        <f t="shared" si="57"/>
        <v/>
      </c>
      <c r="H799" s="64" t="str">
        <f t="shared" si="58"/>
        <v/>
      </c>
      <c r="I799" s="63">
        <f>IF($G799="",0,IF(COUNTIF($G$2:$G799,$G799)=1,1,0))</f>
        <v>0</v>
      </c>
      <c r="J799" s="63" t="str">
        <f t="shared" si="59"/>
        <v/>
      </c>
      <c r="K799" s="63" t="str">
        <f>IF($H799="","",COUNTIF($H$2:$H799,"?*"))</f>
        <v/>
      </c>
    </row>
    <row r="800" spans="1:11" x14ac:dyDescent="0.25">
      <c r="A800" s="63" t="s">
        <v>1325</v>
      </c>
      <c r="B800" s="63" t="s">
        <v>683</v>
      </c>
      <c r="C800" s="63" t="s">
        <v>556</v>
      </c>
      <c r="D800" s="63" t="str">
        <f>IF('Barn - Front Rack'!F19="","",TRIM('Barn - Front Rack'!F19))</f>
        <v/>
      </c>
      <c r="E800" s="64" t="str">
        <f>IF($D800="","",'Barn - Front Rack'!G19&amp;"")</f>
        <v/>
      </c>
      <c r="F800" s="63">
        <f t="shared" si="60"/>
        <v>0</v>
      </c>
      <c r="G800" s="64" t="str">
        <f t="shared" si="57"/>
        <v/>
      </c>
      <c r="H800" s="64" t="str">
        <f t="shared" si="58"/>
        <v/>
      </c>
      <c r="I800" s="63">
        <f>IF($G800="",0,IF(COUNTIF($G$2:$G800,$G800)=1,1,0))</f>
        <v>0</v>
      </c>
      <c r="J800" s="63" t="str">
        <f t="shared" si="59"/>
        <v/>
      </c>
      <c r="K800" s="63" t="str">
        <f>IF($H800="","",COUNTIF($H$2:$H800,"?*"))</f>
        <v/>
      </c>
    </row>
    <row r="801" spans="1:11" x14ac:dyDescent="0.25">
      <c r="A801" s="63" t="s">
        <v>1325</v>
      </c>
      <c r="B801" s="63" t="s">
        <v>684</v>
      </c>
      <c r="C801" s="63" t="s">
        <v>556</v>
      </c>
      <c r="D801" s="63" t="str">
        <f>IF('Barn - Front Rack'!F20="","",TRIM('Barn - Front Rack'!F20))</f>
        <v/>
      </c>
      <c r="E801" s="64" t="str">
        <f>IF($D801="","",'Barn - Front Rack'!G20&amp;"")</f>
        <v/>
      </c>
      <c r="F801" s="63">
        <f t="shared" si="60"/>
        <v>0</v>
      </c>
      <c r="G801" s="64" t="str">
        <f t="shared" si="57"/>
        <v/>
      </c>
      <c r="H801" s="64" t="str">
        <f t="shared" si="58"/>
        <v/>
      </c>
      <c r="I801" s="63">
        <f>IF($G801="",0,IF(COUNTIF($G$2:$G801,$G801)=1,1,0))</f>
        <v>0</v>
      </c>
      <c r="J801" s="63" t="str">
        <f t="shared" si="59"/>
        <v/>
      </c>
      <c r="K801" s="63" t="str">
        <f>IF($H801="","",COUNTIF($H$2:$H801,"?*"))</f>
        <v/>
      </c>
    </row>
    <row r="802" spans="1:11" x14ac:dyDescent="0.25">
      <c r="A802" s="63" t="s">
        <v>1325</v>
      </c>
      <c r="B802" s="63" t="s">
        <v>685</v>
      </c>
      <c r="C802" s="63" t="s">
        <v>556</v>
      </c>
      <c r="D802" s="63" t="str">
        <f>IF('Barn - Front Rack'!F21="","",TRIM('Barn - Front Rack'!F21))</f>
        <v/>
      </c>
      <c r="E802" s="64" t="str">
        <f>IF($D802="","",'Barn - Front Rack'!G21&amp;"")</f>
        <v/>
      </c>
      <c r="F802" s="63">
        <f t="shared" si="60"/>
        <v>0</v>
      </c>
      <c r="G802" s="64" t="str">
        <f t="shared" si="57"/>
        <v/>
      </c>
      <c r="H802" s="64" t="str">
        <f t="shared" si="58"/>
        <v/>
      </c>
      <c r="I802" s="63">
        <f>IF($G802="",0,IF(COUNTIF($G$2:$G802,$G802)=1,1,0))</f>
        <v>0</v>
      </c>
      <c r="J802" s="63" t="str">
        <f t="shared" si="59"/>
        <v/>
      </c>
      <c r="K802" s="63" t="str">
        <f>IF($H802="","",COUNTIF($H$2:$H802,"?*"))</f>
        <v/>
      </c>
    </row>
    <row r="803" spans="1:11" x14ac:dyDescent="0.25">
      <c r="A803" s="63" t="s">
        <v>1325</v>
      </c>
      <c r="B803" s="63" t="s">
        <v>686</v>
      </c>
      <c r="C803" s="63" t="s">
        <v>556</v>
      </c>
      <c r="D803" s="63" t="str">
        <f>IF('Barn - Front Rack'!F22="","",TRIM('Barn - Front Rack'!F22))</f>
        <v/>
      </c>
      <c r="E803" s="64" t="str">
        <f>IF($D803="","",'Barn - Front Rack'!G22&amp;"")</f>
        <v/>
      </c>
      <c r="F803" s="63">
        <f t="shared" si="60"/>
        <v>0</v>
      </c>
      <c r="G803" s="64" t="str">
        <f t="shared" si="57"/>
        <v/>
      </c>
      <c r="H803" s="64" t="str">
        <f t="shared" si="58"/>
        <v/>
      </c>
      <c r="I803" s="63">
        <f>IF($G803="",0,IF(COUNTIF($G$2:$G803,$G803)=1,1,0))</f>
        <v>0</v>
      </c>
      <c r="J803" s="63" t="str">
        <f t="shared" si="59"/>
        <v/>
      </c>
      <c r="K803" s="63" t="str">
        <f>IF($H803="","",COUNTIF($H$2:$H803,"?*"))</f>
        <v/>
      </c>
    </row>
    <row r="804" spans="1:11" x14ac:dyDescent="0.25">
      <c r="A804" s="63" t="s">
        <v>1325</v>
      </c>
      <c r="B804" s="63" t="s">
        <v>687</v>
      </c>
      <c r="C804" s="63" t="s">
        <v>556</v>
      </c>
      <c r="D804" s="63" t="str">
        <f>IF('Barn - Front Rack'!F23="","",TRIM('Barn - Front Rack'!F23))</f>
        <v/>
      </c>
      <c r="E804" s="64" t="str">
        <f>IF($D804="","",'Barn - Front Rack'!G23&amp;"")</f>
        <v/>
      </c>
      <c r="F804" s="63">
        <f t="shared" si="60"/>
        <v>0</v>
      </c>
      <c r="G804" s="64" t="str">
        <f t="shared" si="57"/>
        <v/>
      </c>
      <c r="H804" s="64" t="str">
        <f t="shared" si="58"/>
        <v/>
      </c>
      <c r="I804" s="63">
        <f>IF($G804="",0,IF(COUNTIF($G$2:$G804,$G804)=1,1,0))</f>
        <v>0</v>
      </c>
      <c r="J804" s="63" t="str">
        <f t="shared" si="59"/>
        <v/>
      </c>
      <c r="K804" s="63" t="str">
        <f>IF($H804="","",COUNTIF($H$2:$H804,"?*"))</f>
        <v/>
      </c>
    </row>
    <row r="805" spans="1:11" x14ac:dyDescent="0.25">
      <c r="A805" s="63" t="s">
        <v>1325</v>
      </c>
      <c r="B805" s="63" t="s">
        <v>688</v>
      </c>
      <c r="C805" s="63" t="s">
        <v>556</v>
      </c>
      <c r="D805" s="63" t="str">
        <f>IF('Barn - Front Rack'!F24="","",TRIM('Barn - Front Rack'!F24))</f>
        <v/>
      </c>
      <c r="E805" s="64" t="str">
        <f>IF($D805="","",'Barn - Front Rack'!G24&amp;"")</f>
        <v/>
      </c>
      <c r="F805" s="63">
        <f t="shared" si="60"/>
        <v>0</v>
      </c>
      <c r="G805" s="64" t="str">
        <f t="shared" si="57"/>
        <v/>
      </c>
      <c r="H805" s="64" t="str">
        <f t="shared" si="58"/>
        <v/>
      </c>
      <c r="I805" s="63">
        <f>IF($G805="",0,IF(COUNTIF($G$2:$G805,$G805)=1,1,0))</f>
        <v>0</v>
      </c>
      <c r="J805" s="63" t="str">
        <f t="shared" si="59"/>
        <v/>
      </c>
      <c r="K805" s="63" t="str">
        <f>IF($H805="","",COUNTIF($H$2:$H805,"?*"))</f>
        <v/>
      </c>
    </row>
    <row r="806" spans="1:11" x14ac:dyDescent="0.25">
      <c r="A806" s="63" t="s">
        <v>1325</v>
      </c>
      <c r="B806" s="63" t="s">
        <v>689</v>
      </c>
      <c r="C806" s="63" t="s">
        <v>556</v>
      </c>
      <c r="D806" s="63" t="str">
        <f>IF('Barn - Front Rack'!H13="","",TRIM('Barn - Front Rack'!H13))</f>
        <v/>
      </c>
      <c r="E806" s="64" t="str">
        <f>IF($D806="","",'Barn - Front Rack'!I13&amp;"")</f>
        <v/>
      </c>
      <c r="F806" s="63">
        <f t="shared" si="60"/>
        <v>0</v>
      </c>
      <c r="G806" s="64" t="str">
        <f t="shared" si="57"/>
        <v/>
      </c>
      <c r="H806" s="64" t="str">
        <f t="shared" si="58"/>
        <v/>
      </c>
      <c r="I806" s="63">
        <f>IF($G806="",0,IF(COUNTIF($G$2:$G806,$G806)=1,1,0))</f>
        <v>0</v>
      </c>
      <c r="J806" s="63" t="str">
        <f t="shared" si="59"/>
        <v/>
      </c>
      <c r="K806" s="63" t="str">
        <f>IF($H806="","",COUNTIF($H$2:$H806,"?*"))</f>
        <v/>
      </c>
    </row>
    <row r="807" spans="1:11" x14ac:dyDescent="0.25">
      <c r="A807" s="63" t="s">
        <v>1325</v>
      </c>
      <c r="B807" s="63" t="s">
        <v>690</v>
      </c>
      <c r="C807" s="63" t="s">
        <v>556</v>
      </c>
      <c r="D807" s="63" t="str">
        <f>IF('Barn - Front Rack'!H14="","",TRIM('Barn - Front Rack'!H14))</f>
        <v/>
      </c>
      <c r="E807" s="64" t="str">
        <f>IF($D807="","",'Barn - Front Rack'!I14&amp;"")</f>
        <v/>
      </c>
      <c r="F807" s="63">
        <f t="shared" si="60"/>
        <v>0</v>
      </c>
      <c r="G807" s="64" t="str">
        <f t="shared" si="57"/>
        <v/>
      </c>
      <c r="H807" s="64" t="str">
        <f t="shared" si="58"/>
        <v/>
      </c>
      <c r="I807" s="63">
        <f>IF($G807="",0,IF(COUNTIF($G$2:$G807,$G807)=1,1,0))</f>
        <v>0</v>
      </c>
      <c r="J807" s="63" t="str">
        <f t="shared" si="59"/>
        <v/>
      </c>
      <c r="K807" s="63" t="str">
        <f>IF($H807="","",COUNTIF($H$2:$H807,"?*"))</f>
        <v/>
      </c>
    </row>
    <row r="808" spans="1:11" x14ac:dyDescent="0.25">
      <c r="A808" s="63" t="s">
        <v>1325</v>
      </c>
      <c r="B808" s="63" t="s">
        <v>691</v>
      </c>
      <c r="C808" s="63" t="s">
        <v>556</v>
      </c>
      <c r="D808" s="63" t="str">
        <f>IF('Barn - Front Rack'!H15="","",TRIM('Barn - Front Rack'!H15))</f>
        <v/>
      </c>
      <c r="E808" s="64" t="str">
        <f>IF($D808="","",'Barn - Front Rack'!I15&amp;"")</f>
        <v/>
      </c>
      <c r="F808" s="63">
        <f t="shared" si="60"/>
        <v>0</v>
      </c>
      <c r="G808" s="64" t="str">
        <f t="shared" si="57"/>
        <v/>
      </c>
      <c r="H808" s="64" t="str">
        <f t="shared" si="58"/>
        <v/>
      </c>
      <c r="I808" s="63">
        <f>IF($G808="",0,IF(COUNTIF($G$2:$G808,$G808)=1,1,0))</f>
        <v>0</v>
      </c>
      <c r="J808" s="63" t="str">
        <f t="shared" si="59"/>
        <v/>
      </c>
      <c r="K808" s="63" t="str">
        <f>IF($H808="","",COUNTIF($H$2:$H808,"?*"))</f>
        <v/>
      </c>
    </row>
    <row r="809" spans="1:11" x14ac:dyDescent="0.25">
      <c r="A809" s="63" t="s">
        <v>1325</v>
      </c>
      <c r="B809" s="63" t="s">
        <v>692</v>
      </c>
      <c r="C809" s="63" t="s">
        <v>556</v>
      </c>
      <c r="D809" s="63" t="str">
        <f>IF('Barn - Front Rack'!H16="","",TRIM('Barn - Front Rack'!H16))</f>
        <v/>
      </c>
      <c r="E809" s="64" t="str">
        <f>IF($D809="","",'Barn - Front Rack'!I16&amp;"")</f>
        <v/>
      </c>
      <c r="F809" s="63">
        <f t="shared" si="60"/>
        <v>0</v>
      </c>
      <c r="G809" s="64" t="str">
        <f t="shared" si="57"/>
        <v/>
      </c>
      <c r="H809" s="64" t="str">
        <f t="shared" si="58"/>
        <v/>
      </c>
      <c r="I809" s="63">
        <f>IF($G809="",0,IF(COUNTIF($G$2:$G809,$G809)=1,1,0))</f>
        <v>0</v>
      </c>
      <c r="J809" s="63" t="str">
        <f t="shared" si="59"/>
        <v/>
      </c>
      <c r="K809" s="63" t="str">
        <f>IF($H809="","",COUNTIF($H$2:$H809,"?*"))</f>
        <v/>
      </c>
    </row>
    <row r="810" spans="1:11" x14ac:dyDescent="0.25">
      <c r="A810" s="63" t="s">
        <v>1325</v>
      </c>
      <c r="B810" s="63" t="s">
        <v>693</v>
      </c>
      <c r="C810" s="63" t="s">
        <v>556</v>
      </c>
      <c r="D810" s="63" t="str">
        <f>IF('Barn - Front Rack'!H17="","",TRIM('Barn - Front Rack'!H17))</f>
        <v/>
      </c>
      <c r="E810" s="64" t="str">
        <f>IF($D810="","",'Barn - Front Rack'!I17&amp;"")</f>
        <v/>
      </c>
      <c r="F810" s="63">
        <f t="shared" si="60"/>
        <v>0</v>
      </c>
      <c r="G810" s="64" t="str">
        <f t="shared" si="57"/>
        <v/>
      </c>
      <c r="H810" s="64" t="str">
        <f t="shared" si="58"/>
        <v/>
      </c>
      <c r="I810" s="63">
        <f>IF($G810="",0,IF(COUNTIF($G$2:$G810,$G810)=1,1,0))</f>
        <v>0</v>
      </c>
      <c r="J810" s="63" t="str">
        <f t="shared" si="59"/>
        <v/>
      </c>
      <c r="K810" s="63" t="str">
        <f>IF($H810="","",COUNTIF($H$2:$H810,"?*"))</f>
        <v/>
      </c>
    </row>
    <row r="811" spans="1:11" x14ac:dyDescent="0.25">
      <c r="A811" s="63" t="s">
        <v>1325</v>
      </c>
      <c r="B811" s="63" t="s">
        <v>694</v>
      </c>
      <c r="C811" s="63" t="s">
        <v>556</v>
      </c>
      <c r="D811" s="63" t="str">
        <f>IF('Barn - Front Rack'!H18="","",TRIM('Barn - Front Rack'!H18))</f>
        <v/>
      </c>
      <c r="E811" s="64" t="str">
        <f>IF($D811="","",'Barn - Front Rack'!I18&amp;"")</f>
        <v/>
      </c>
      <c r="F811" s="63">
        <f t="shared" si="60"/>
        <v>0</v>
      </c>
      <c r="G811" s="64" t="str">
        <f t="shared" si="57"/>
        <v/>
      </c>
      <c r="H811" s="64" t="str">
        <f t="shared" si="58"/>
        <v/>
      </c>
      <c r="I811" s="63">
        <f>IF($G811="",0,IF(COUNTIF($G$2:$G811,$G811)=1,1,0))</f>
        <v>0</v>
      </c>
      <c r="J811" s="63" t="str">
        <f t="shared" si="59"/>
        <v/>
      </c>
      <c r="K811" s="63" t="str">
        <f>IF($H811="","",COUNTIF($H$2:$H811,"?*"))</f>
        <v/>
      </c>
    </row>
    <row r="812" spans="1:11" x14ac:dyDescent="0.25">
      <c r="A812" s="63" t="s">
        <v>1325</v>
      </c>
      <c r="B812" s="63" t="s">
        <v>695</v>
      </c>
      <c r="C812" s="63" t="s">
        <v>556</v>
      </c>
      <c r="D812" s="63" t="str">
        <f>IF('Barn - Front Rack'!H19="","",TRIM('Barn - Front Rack'!H19))</f>
        <v/>
      </c>
      <c r="E812" s="64" t="str">
        <f>IF($D812="","",'Barn - Front Rack'!I19&amp;"")</f>
        <v/>
      </c>
      <c r="F812" s="63">
        <f t="shared" si="60"/>
        <v>0</v>
      </c>
      <c r="G812" s="64" t="str">
        <f t="shared" si="57"/>
        <v/>
      </c>
      <c r="H812" s="64" t="str">
        <f t="shared" si="58"/>
        <v/>
      </c>
      <c r="I812" s="63">
        <f>IF($G812="",0,IF(COUNTIF($G$2:$G812,$G812)=1,1,0))</f>
        <v>0</v>
      </c>
      <c r="J812" s="63" t="str">
        <f t="shared" si="59"/>
        <v/>
      </c>
      <c r="K812" s="63" t="str">
        <f>IF($H812="","",COUNTIF($H$2:$H812,"?*"))</f>
        <v/>
      </c>
    </row>
    <row r="813" spans="1:11" x14ac:dyDescent="0.25">
      <c r="A813" s="63" t="s">
        <v>1325</v>
      </c>
      <c r="B813" s="63" t="s">
        <v>696</v>
      </c>
      <c r="C813" s="63" t="s">
        <v>556</v>
      </c>
      <c r="D813" s="63" t="str">
        <f>IF('Barn - Front Rack'!H20="","",TRIM('Barn - Front Rack'!H20))</f>
        <v/>
      </c>
      <c r="E813" s="64" t="str">
        <f>IF($D813="","",'Barn - Front Rack'!I20&amp;"")</f>
        <v/>
      </c>
      <c r="F813" s="63">
        <f t="shared" si="60"/>
        <v>0</v>
      </c>
      <c r="G813" s="64" t="str">
        <f t="shared" si="57"/>
        <v/>
      </c>
      <c r="H813" s="64" t="str">
        <f t="shared" si="58"/>
        <v/>
      </c>
      <c r="I813" s="63">
        <f>IF($G813="",0,IF(COUNTIF($G$2:$G813,$G813)=1,1,0))</f>
        <v>0</v>
      </c>
      <c r="J813" s="63" t="str">
        <f t="shared" si="59"/>
        <v/>
      </c>
      <c r="K813" s="63" t="str">
        <f>IF($H813="","",COUNTIF($H$2:$H813,"?*"))</f>
        <v/>
      </c>
    </row>
    <row r="814" spans="1:11" x14ac:dyDescent="0.25">
      <c r="A814" s="63" t="s">
        <v>1325</v>
      </c>
      <c r="B814" s="63" t="s">
        <v>697</v>
      </c>
      <c r="C814" s="63" t="s">
        <v>556</v>
      </c>
      <c r="D814" s="63" t="str">
        <f>IF('Barn - Front Rack'!H21="","",TRIM('Barn - Front Rack'!H21))</f>
        <v/>
      </c>
      <c r="E814" s="64" t="str">
        <f>IF($D814="","",'Barn - Front Rack'!I21&amp;"")</f>
        <v/>
      </c>
      <c r="F814" s="63">
        <f t="shared" si="60"/>
        <v>0</v>
      </c>
      <c r="G814" s="64" t="str">
        <f t="shared" si="57"/>
        <v/>
      </c>
      <c r="H814" s="64" t="str">
        <f t="shared" si="58"/>
        <v/>
      </c>
      <c r="I814" s="63">
        <f>IF($G814="",0,IF(COUNTIF($G$2:$G814,$G814)=1,1,0))</f>
        <v>0</v>
      </c>
      <c r="J814" s="63" t="str">
        <f t="shared" si="59"/>
        <v/>
      </c>
      <c r="K814" s="63" t="str">
        <f>IF($H814="","",COUNTIF($H$2:$H814,"?*"))</f>
        <v/>
      </c>
    </row>
    <row r="815" spans="1:11" x14ac:dyDescent="0.25">
      <c r="A815" s="63" t="s">
        <v>1325</v>
      </c>
      <c r="B815" s="63" t="s">
        <v>698</v>
      </c>
      <c r="C815" s="63" t="s">
        <v>556</v>
      </c>
      <c r="D815" s="63" t="str">
        <f>IF('Barn - Front Rack'!H22="","",TRIM('Barn - Front Rack'!H22))</f>
        <v/>
      </c>
      <c r="E815" s="64" t="str">
        <f>IF($D815="","",'Barn - Front Rack'!I22&amp;"")</f>
        <v/>
      </c>
      <c r="F815" s="63">
        <f t="shared" si="60"/>
        <v>0</v>
      </c>
      <c r="G815" s="64" t="str">
        <f t="shared" si="57"/>
        <v/>
      </c>
      <c r="H815" s="64" t="str">
        <f t="shared" si="58"/>
        <v/>
      </c>
      <c r="I815" s="63">
        <f>IF($G815="",0,IF(COUNTIF($G$2:$G815,$G815)=1,1,0))</f>
        <v>0</v>
      </c>
      <c r="J815" s="63" t="str">
        <f t="shared" si="59"/>
        <v/>
      </c>
      <c r="K815" s="63" t="str">
        <f>IF($H815="","",COUNTIF($H$2:$H815,"?*"))</f>
        <v/>
      </c>
    </row>
    <row r="816" spans="1:11" x14ac:dyDescent="0.25">
      <c r="A816" s="63" t="s">
        <v>1325</v>
      </c>
      <c r="B816" s="63" t="s">
        <v>699</v>
      </c>
      <c r="C816" s="63" t="s">
        <v>556</v>
      </c>
      <c r="D816" s="63" t="str">
        <f>IF('Barn - Front Rack'!H23="","",TRIM('Barn - Front Rack'!H23))</f>
        <v/>
      </c>
      <c r="E816" s="64" t="str">
        <f>IF($D816="","",'Barn - Front Rack'!I23&amp;"")</f>
        <v/>
      </c>
      <c r="F816" s="63">
        <f t="shared" si="60"/>
        <v>0</v>
      </c>
      <c r="G816" s="64" t="str">
        <f t="shared" si="57"/>
        <v/>
      </c>
      <c r="H816" s="64" t="str">
        <f t="shared" si="58"/>
        <v/>
      </c>
      <c r="I816" s="63">
        <f>IF($G816="",0,IF(COUNTIF($G$2:$G816,$G816)=1,1,0))</f>
        <v>0</v>
      </c>
      <c r="J816" s="63" t="str">
        <f t="shared" si="59"/>
        <v/>
      </c>
      <c r="K816" s="63" t="str">
        <f>IF($H816="","",COUNTIF($H$2:$H816,"?*"))</f>
        <v/>
      </c>
    </row>
    <row r="817" spans="1:11" x14ac:dyDescent="0.25">
      <c r="A817" s="63" t="s">
        <v>1325</v>
      </c>
      <c r="B817" s="63" t="s">
        <v>700</v>
      </c>
      <c r="C817" s="63" t="s">
        <v>556</v>
      </c>
      <c r="D817" s="63" t="str">
        <f>IF('Barn - Front Rack'!H24="","",TRIM('Barn - Front Rack'!H24))</f>
        <v/>
      </c>
      <c r="E817" s="64" t="str">
        <f>IF($D817="","",'Barn - Front Rack'!I24&amp;"")</f>
        <v/>
      </c>
      <c r="F817" s="63">
        <f t="shared" si="60"/>
        <v>0</v>
      </c>
      <c r="G817" s="64" t="str">
        <f t="shared" si="57"/>
        <v/>
      </c>
      <c r="H817" s="64" t="str">
        <f t="shared" si="58"/>
        <v/>
      </c>
      <c r="I817" s="63">
        <f>IF($G817="",0,IF(COUNTIF($G$2:$G817,$G817)=1,1,0))</f>
        <v>0</v>
      </c>
      <c r="J817" s="63" t="str">
        <f t="shared" si="59"/>
        <v/>
      </c>
      <c r="K817" s="63" t="str">
        <f>IF($H817="","",COUNTIF($H$2:$H817,"?*"))</f>
        <v/>
      </c>
    </row>
    <row r="818" spans="1:11" x14ac:dyDescent="0.25">
      <c r="A818" s="63" t="s">
        <v>1325</v>
      </c>
      <c r="B818" s="63" t="s">
        <v>701</v>
      </c>
      <c r="C818" s="63" t="s">
        <v>556</v>
      </c>
      <c r="D818" s="63" t="str">
        <f>IF('Barn - Front Rack'!J13="","",TRIM('Barn - Front Rack'!J13))</f>
        <v/>
      </c>
      <c r="E818" s="64" t="str">
        <f>IF($D818="","",'Barn - Front Rack'!K13&amp;"")</f>
        <v/>
      </c>
      <c r="F818" s="63">
        <f t="shared" si="60"/>
        <v>0</v>
      </c>
      <c r="G818" s="64" t="str">
        <f t="shared" si="57"/>
        <v/>
      </c>
      <c r="H818" s="64" t="str">
        <f t="shared" si="58"/>
        <v/>
      </c>
      <c r="I818" s="63">
        <f>IF($G818="",0,IF(COUNTIF($G$2:$G818,$G818)=1,1,0))</f>
        <v>0</v>
      </c>
      <c r="J818" s="63" t="str">
        <f t="shared" si="59"/>
        <v/>
      </c>
      <c r="K818" s="63" t="str">
        <f>IF($H818="","",COUNTIF($H$2:$H818,"?*"))</f>
        <v/>
      </c>
    </row>
    <row r="819" spans="1:11" x14ac:dyDescent="0.25">
      <c r="A819" s="63" t="s">
        <v>1325</v>
      </c>
      <c r="B819" s="63" t="s">
        <v>702</v>
      </c>
      <c r="C819" s="63" t="s">
        <v>556</v>
      </c>
      <c r="D819" s="63" t="str">
        <f>IF('Barn - Front Rack'!J14="","",TRIM('Barn - Front Rack'!J14))</f>
        <v/>
      </c>
      <c r="E819" s="64" t="str">
        <f>IF($D819="","",'Barn - Front Rack'!K14&amp;"")</f>
        <v/>
      </c>
      <c r="F819" s="63">
        <f t="shared" si="60"/>
        <v>0</v>
      </c>
      <c r="G819" s="64" t="str">
        <f t="shared" si="57"/>
        <v/>
      </c>
      <c r="H819" s="64" t="str">
        <f t="shared" si="58"/>
        <v/>
      </c>
      <c r="I819" s="63">
        <f>IF($G819="",0,IF(COUNTIF($G$2:$G819,$G819)=1,1,0))</f>
        <v>0</v>
      </c>
      <c r="J819" s="63" t="str">
        <f t="shared" si="59"/>
        <v/>
      </c>
      <c r="K819" s="63" t="str">
        <f>IF($H819="","",COUNTIF($H$2:$H819,"?*"))</f>
        <v/>
      </c>
    </row>
    <row r="820" spans="1:11" x14ac:dyDescent="0.25">
      <c r="A820" s="63" t="s">
        <v>1325</v>
      </c>
      <c r="B820" s="63" t="s">
        <v>703</v>
      </c>
      <c r="C820" s="63" t="s">
        <v>556</v>
      </c>
      <c r="D820" s="63" t="str">
        <f>IF('Barn - Front Rack'!J15="","",TRIM('Barn - Front Rack'!J15))</f>
        <v/>
      </c>
      <c r="E820" s="64" t="str">
        <f>IF($D820="","",'Barn - Front Rack'!K15&amp;"")</f>
        <v/>
      </c>
      <c r="F820" s="63">
        <f t="shared" si="60"/>
        <v>0</v>
      </c>
      <c r="G820" s="64" t="str">
        <f t="shared" si="57"/>
        <v/>
      </c>
      <c r="H820" s="64" t="str">
        <f t="shared" si="58"/>
        <v/>
      </c>
      <c r="I820" s="63">
        <f>IF($G820="",0,IF(COUNTIF($G$2:$G820,$G820)=1,1,0))</f>
        <v>0</v>
      </c>
      <c r="J820" s="63" t="str">
        <f t="shared" si="59"/>
        <v/>
      </c>
      <c r="K820" s="63" t="str">
        <f>IF($H820="","",COUNTIF($H$2:$H820,"?*"))</f>
        <v/>
      </c>
    </row>
    <row r="821" spans="1:11" x14ac:dyDescent="0.25">
      <c r="A821" s="63" t="s">
        <v>1325</v>
      </c>
      <c r="B821" s="63" t="s">
        <v>704</v>
      </c>
      <c r="C821" s="63" t="s">
        <v>556</v>
      </c>
      <c r="D821" s="63" t="str">
        <f>IF('Barn - Front Rack'!J16="","",TRIM('Barn - Front Rack'!J16))</f>
        <v/>
      </c>
      <c r="E821" s="64" t="str">
        <f>IF($D821="","",'Barn - Front Rack'!K16&amp;"")</f>
        <v/>
      </c>
      <c r="F821" s="63">
        <f t="shared" si="60"/>
        <v>0</v>
      </c>
      <c r="G821" s="64" t="str">
        <f t="shared" si="57"/>
        <v/>
      </c>
      <c r="H821" s="64" t="str">
        <f t="shared" si="58"/>
        <v/>
      </c>
      <c r="I821" s="63">
        <f>IF($G821="",0,IF(COUNTIF($G$2:$G821,$G821)=1,1,0))</f>
        <v>0</v>
      </c>
      <c r="J821" s="63" t="str">
        <f t="shared" si="59"/>
        <v/>
      </c>
      <c r="K821" s="63" t="str">
        <f>IF($H821="","",COUNTIF($H$2:$H821,"?*"))</f>
        <v/>
      </c>
    </row>
    <row r="822" spans="1:11" x14ac:dyDescent="0.25">
      <c r="A822" s="63" t="s">
        <v>1325</v>
      </c>
      <c r="B822" s="63" t="s">
        <v>705</v>
      </c>
      <c r="C822" s="63" t="s">
        <v>556</v>
      </c>
      <c r="D822" s="63" t="str">
        <f>IF('Barn - Front Rack'!J17="","",TRIM('Barn - Front Rack'!J17))</f>
        <v/>
      </c>
      <c r="E822" s="64" t="str">
        <f>IF($D822="","",'Barn - Front Rack'!K17&amp;"")</f>
        <v/>
      </c>
      <c r="F822" s="63">
        <f t="shared" si="60"/>
        <v>0</v>
      </c>
      <c r="G822" s="64" t="str">
        <f t="shared" si="57"/>
        <v/>
      </c>
      <c r="H822" s="64" t="str">
        <f t="shared" si="58"/>
        <v/>
      </c>
      <c r="I822" s="63">
        <f>IF($G822="",0,IF(COUNTIF($G$2:$G822,$G822)=1,1,0))</f>
        <v>0</v>
      </c>
      <c r="J822" s="63" t="str">
        <f t="shared" si="59"/>
        <v/>
      </c>
      <c r="K822" s="63" t="str">
        <f>IF($H822="","",COUNTIF($H$2:$H822,"?*"))</f>
        <v/>
      </c>
    </row>
    <row r="823" spans="1:11" x14ac:dyDescent="0.25">
      <c r="A823" s="63" t="s">
        <v>1325</v>
      </c>
      <c r="B823" s="63" t="s">
        <v>706</v>
      </c>
      <c r="C823" s="63" t="s">
        <v>556</v>
      </c>
      <c r="D823" s="63" t="str">
        <f>IF('Barn - Front Rack'!J18="","",TRIM('Barn - Front Rack'!J18))</f>
        <v/>
      </c>
      <c r="E823" s="64" t="str">
        <f>IF($D823="","",'Barn - Front Rack'!K18&amp;"")</f>
        <v/>
      </c>
      <c r="F823" s="63">
        <f t="shared" si="60"/>
        <v>0</v>
      </c>
      <c r="G823" s="64" t="str">
        <f t="shared" si="57"/>
        <v/>
      </c>
      <c r="H823" s="64" t="str">
        <f t="shared" si="58"/>
        <v/>
      </c>
      <c r="I823" s="63">
        <f>IF($G823="",0,IF(COUNTIF($G$2:$G823,$G823)=1,1,0))</f>
        <v>0</v>
      </c>
      <c r="J823" s="63" t="str">
        <f t="shared" si="59"/>
        <v/>
      </c>
      <c r="K823" s="63" t="str">
        <f>IF($H823="","",COUNTIF($H$2:$H823,"?*"))</f>
        <v/>
      </c>
    </row>
    <row r="824" spans="1:11" x14ac:dyDescent="0.25">
      <c r="A824" s="63" t="s">
        <v>1325</v>
      </c>
      <c r="B824" s="63" t="s">
        <v>707</v>
      </c>
      <c r="C824" s="63" t="s">
        <v>556</v>
      </c>
      <c r="D824" s="63" t="str">
        <f>IF('Barn - Front Rack'!J19="","",TRIM('Barn - Front Rack'!J19))</f>
        <v/>
      </c>
      <c r="E824" s="64" t="str">
        <f>IF($D824="","",'Barn - Front Rack'!K19&amp;"")</f>
        <v/>
      </c>
      <c r="F824" s="63">
        <f t="shared" si="60"/>
        <v>0</v>
      </c>
      <c r="G824" s="64" t="str">
        <f t="shared" si="57"/>
        <v/>
      </c>
      <c r="H824" s="64" t="str">
        <f t="shared" si="58"/>
        <v/>
      </c>
      <c r="I824" s="63">
        <f>IF($G824="",0,IF(COUNTIF($G$2:$G824,$G824)=1,1,0))</f>
        <v>0</v>
      </c>
      <c r="J824" s="63" t="str">
        <f t="shared" si="59"/>
        <v/>
      </c>
      <c r="K824" s="63" t="str">
        <f>IF($H824="","",COUNTIF($H$2:$H824,"?*"))</f>
        <v/>
      </c>
    </row>
    <row r="825" spans="1:11" x14ac:dyDescent="0.25">
      <c r="A825" s="63" t="s">
        <v>1325</v>
      </c>
      <c r="B825" s="63" t="s">
        <v>708</v>
      </c>
      <c r="C825" s="63" t="s">
        <v>556</v>
      </c>
      <c r="D825" s="63" t="str">
        <f>IF('Barn - Front Rack'!J20="","",TRIM('Barn - Front Rack'!J20))</f>
        <v/>
      </c>
      <c r="E825" s="64" t="str">
        <f>IF($D825="","",'Barn - Front Rack'!K20&amp;"")</f>
        <v/>
      </c>
      <c r="F825" s="63">
        <f t="shared" si="60"/>
        <v>0</v>
      </c>
      <c r="G825" s="64" t="str">
        <f t="shared" si="57"/>
        <v/>
      </c>
      <c r="H825" s="64" t="str">
        <f t="shared" si="58"/>
        <v/>
      </c>
      <c r="I825" s="63">
        <f>IF($G825="",0,IF(COUNTIF($G$2:$G825,$G825)=1,1,0))</f>
        <v>0</v>
      </c>
      <c r="J825" s="63" t="str">
        <f t="shared" si="59"/>
        <v/>
      </c>
      <c r="K825" s="63" t="str">
        <f>IF($H825="","",COUNTIF($H$2:$H825,"?*"))</f>
        <v/>
      </c>
    </row>
    <row r="826" spans="1:11" x14ac:dyDescent="0.25">
      <c r="A826" s="63" t="s">
        <v>1325</v>
      </c>
      <c r="B826" s="63" t="s">
        <v>709</v>
      </c>
      <c r="C826" s="63" t="s">
        <v>556</v>
      </c>
      <c r="D826" s="63" t="str">
        <f>IF('Barn - Front Rack'!J21="","",TRIM('Barn - Front Rack'!J21))</f>
        <v/>
      </c>
      <c r="E826" s="64" t="str">
        <f>IF($D826="","",'Barn - Front Rack'!K21&amp;"")</f>
        <v/>
      </c>
      <c r="F826" s="63">
        <f t="shared" si="60"/>
        <v>0</v>
      </c>
      <c r="G826" s="64" t="str">
        <f t="shared" si="57"/>
        <v/>
      </c>
      <c r="H826" s="64" t="str">
        <f t="shared" si="58"/>
        <v/>
      </c>
      <c r="I826" s="63">
        <f>IF($G826="",0,IF(COUNTIF($G$2:$G826,$G826)=1,1,0))</f>
        <v>0</v>
      </c>
      <c r="J826" s="63" t="str">
        <f t="shared" si="59"/>
        <v/>
      </c>
      <c r="K826" s="63" t="str">
        <f>IF($H826="","",COUNTIF($H$2:$H826,"?*"))</f>
        <v/>
      </c>
    </row>
    <row r="827" spans="1:11" x14ac:dyDescent="0.25">
      <c r="A827" s="63" t="s">
        <v>1325</v>
      </c>
      <c r="B827" s="63" t="s">
        <v>710</v>
      </c>
      <c r="C827" s="63" t="s">
        <v>556</v>
      </c>
      <c r="D827" s="63" t="str">
        <f>IF('Barn - Front Rack'!J22="","",TRIM('Barn - Front Rack'!J22))</f>
        <v/>
      </c>
      <c r="E827" s="64" t="str">
        <f>IF($D827="","",'Barn - Front Rack'!K22&amp;"")</f>
        <v/>
      </c>
      <c r="F827" s="63">
        <f t="shared" si="60"/>
        <v>0</v>
      </c>
      <c r="G827" s="64" t="str">
        <f t="shared" si="57"/>
        <v/>
      </c>
      <c r="H827" s="64" t="str">
        <f t="shared" si="58"/>
        <v/>
      </c>
      <c r="I827" s="63">
        <f>IF($G827="",0,IF(COUNTIF($G$2:$G827,$G827)=1,1,0))</f>
        <v>0</v>
      </c>
      <c r="J827" s="63" t="str">
        <f t="shared" si="59"/>
        <v/>
      </c>
      <c r="K827" s="63" t="str">
        <f>IF($H827="","",COUNTIF($H$2:$H827,"?*"))</f>
        <v/>
      </c>
    </row>
    <row r="828" spans="1:11" x14ac:dyDescent="0.25">
      <c r="A828" s="63" t="s">
        <v>1325</v>
      </c>
      <c r="B828" s="63" t="s">
        <v>711</v>
      </c>
      <c r="C828" s="63" t="s">
        <v>556</v>
      </c>
      <c r="D828" s="63" t="str">
        <f>IF('Barn - Front Rack'!J23="","",TRIM('Barn - Front Rack'!J23))</f>
        <v/>
      </c>
      <c r="E828" s="64" t="str">
        <f>IF($D828="","",'Barn - Front Rack'!K23&amp;"")</f>
        <v/>
      </c>
      <c r="F828" s="63">
        <f t="shared" si="60"/>
        <v>0</v>
      </c>
      <c r="G828" s="64" t="str">
        <f t="shared" si="57"/>
        <v/>
      </c>
      <c r="H828" s="64" t="str">
        <f t="shared" si="58"/>
        <v/>
      </c>
      <c r="I828" s="63">
        <f>IF($G828="",0,IF(COUNTIF($G$2:$G828,$G828)=1,1,0))</f>
        <v>0</v>
      </c>
      <c r="J828" s="63" t="str">
        <f t="shared" si="59"/>
        <v/>
      </c>
      <c r="K828" s="63" t="str">
        <f>IF($H828="","",COUNTIF($H$2:$H828,"?*"))</f>
        <v/>
      </c>
    </row>
    <row r="829" spans="1:11" x14ac:dyDescent="0.25">
      <c r="A829" s="63" t="s">
        <v>1325</v>
      </c>
      <c r="B829" s="63" t="s">
        <v>712</v>
      </c>
      <c r="C829" s="63" t="s">
        <v>556</v>
      </c>
      <c r="D829" s="63" t="str">
        <f>IF('Barn - Front Rack'!J24="","",TRIM('Barn - Front Rack'!J24))</f>
        <v/>
      </c>
      <c r="E829" s="64" t="str">
        <f>IF($D829="","",'Barn - Front Rack'!K24&amp;"")</f>
        <v/>
      </c>
      <c r="F829" s="63">
        <f t="shared" si="60"/>
        <v>0</v>
      </c>
      <c r="G829" s="64" t="str">
        <f t="shared" si="57"/>
        <v/>
      </c>
      <c r="H829" s="64" t="str">
        <f t="shared" si="58"/>
        <v/>
      </c>
      <c r="I829" s="63">
        <f>IF($G829="",0,IF(COUNTIF($G$2:$G829,$G829)=1,1,0))</f>
        <v>0</v>
      </c>
      <c r="J829" s="63" t="str">
        <f t="shared" si="59"/>
        <v/>
      </c>
      <c r="K829" s="63" t="str">
        <f>IF($H829="","",COUNTIF($H$2:$H829,"?*"))</f>
        <v/>
      </c>
    </row>
    <row r="830" spans="1:11" x14ac:dyDescent="0.25">
      <c r="A830" s="63" t="s">
        <v>1325</v>
      </c>
      <c r="B830" s="63" t="s">
        <v>713</v>
      </c>
      <c r="C830" s="63" t="s">
        <v>556</v>
      </c>
      <c r="D830" s="63" t="str">
        <f>IF('Barn - Front Rack'!L13="","",TRIM('Barn - Front Rack'!L13))</f>
        <v/>
      </c>
      <c r="E830" s="64" t="str">
        <f>IF($D830="","",'Barn - Front Rack'!M13&amp;"")</f>
        <v/>
      </c>
      <c r="F830" s="63">
        <f t="shared" si="60"/>
        <v>0</v>
      </c>
      <c r="G830" s="64" t="str">
        <f t="shared" si="57"/>
        <v/>
      </c>
      <c r="H830" s="64" t="str">
        <f t="shared" si="58"/>
        <v/>
      </c>
      <c r="I830" s="63">
        <f>IF($G830="",0,IF(COUNTIF($G$2:$G830,$G830)=1,1,0))</f>
        <v>0</v>
      </c>
      <c r="J830" s="63" t="str">
        <f t="shared" si="59"/>
        <v/>
      </c>
      <c r="K830" s="63" t="str">
        <f>IF($H830="","",COUNTIF($H$2:$H830,"?*"))</f>
        <v/>
      </c>
    </row>
    <row r="831" spans="1:11" x14ac:dyDescent="0.25">
      <c r="A831" s="63" t="s">
        <v>1325</v>
      </c>
      <c r="B831" s="63" t="s">
        <v>714</v>
      </c>
      <c r="C831" s="63" t="s">
        <v>556</v>
      </c>
      <c r="D831" s="63" t="str">
        <f>IF('Barn - Front Rack'!L14="","",TRIM('Barn - Front Rack'!L14))</f>
        <v/>
      </c>
      <c r="E831" s="64" t="str">
        <f>IF($D831="","",'Barn - Front Rack'!M14&amp;"")</f>
        <v/>
      </c>
      <c r="F831" s="63">
        <f t="shared" si="60"/>
        <v>0</v>
      </c>
      <c r="G831" s="64" t="str">
        <f t="shared" si="57"/>
        <v/>
      </c>
      <c r="H831" s="64" t="str">
        <f t="shared" si="58"/>
        <v/>
      </c>
      <c r="I831" s="63">
        <f>IF($G831="",0,IF(COUNTIF($G$2:$G831,$G831)=1,1,0))</f>
        <v>0</v>
      </c>
      <c r="J831" s="63" t="str">
        <f t="shared" si="59"/>
        <v/>
      </c>
      <c r="K831" s="63" t="str">
        <f>IF($H831="","",COUNTIF($H$2:$H831,"?*"))</f>
        <v/>
      </c>
    </row>
    <row r="832" spans="1:11" x14ac:dyDescent="0.25">
      <c r="A832" s="63" t="s">
        <v>1325</v>
      </c>
      <c r="B832" s="63" t="s">
        <v>715</v>
      </c>
      <c r="C832" s="63" t="s">
        <v>556</v>
      </c>
      <c r="D832" s="63" t="str">
        <f>IF('Barn - Front Rack'!L15="","",TRIM('Barn - Front Rack'!L15))</f>
        <v/>
      </c>
      <c r="E832" s="64" t="str">
        <f>IF($D832="","",'Barn - Front Rack'!M15&amp;"")</f>
        <v/>
      </c>
      <c r="F832" s="63">
        <f t="shared" si="60"/>
        <v>0</v>
      </c>
      <c r="G832" s="64" t="str">
        <f t="shared" si="57"/>
        <v/>
      </c>
      <c r="H832" s="64" t="str">
        <f t="shared" si="58"/>
        <v/>
      </c>
      <c r="I832" s="63">
        <f>IF($G832="",0,IF(COUNTIF($G$2:$G832,$G832)=1,1,0))</f>
        <v>0</v>
      </c>
      <c r="J832" s="63" t="str">
        <f t="shared" si="59"/>
        <v/>
      </c>
      <c r="K832" s="63" t="str">
        <f>IF($H832="","",COUNTIF($H$2:$H832,"?*"))</f>
        <v/>
      </c>
    </row>
    <row r="833" spans="1:11" x14ac:dyDescent="0.25">
      <c r="A833" s="63" t="s">
        <v>1325</v>
      </c>
      <c r="B833" s="63" t="s">
        <v>716</v>
      </c>
      <c r="C833" s="63" t="s">
        <v>556</v>
      </c>
      <c r="D833" s="63" t="str">
        <f>IF('Barn - Front Rack'!L16="","",TRIM('Barn - Front Rack'!L16))</f>
        <v/>
      </c>
      <c r="E833" s="64" t="str">
        <f>IF($D833="","",'Barn - Front Rack'!M16&amp;"")</f>
        <v/>
      </c>
      <c r="F833" s="63">
        <f t="shared" si="60"/>
        <v>0</v>
      </c>
      <c r="G833" s="64" t="str">
        <f t="shared" si="57"/>
        <v/>
      </c>
      <c r="H833" s="64" t="str">
        <f t="shared" si="58"/>
        <v/>
      </c>
      <c r="I833" s="63">
        <f>IF($G833="",0,IF(COUNTIF($G$2:$G833,$G833)=1,1,0))</f>
        <v>0</v>
      </c>
      <c r="J833" s="63" t="str">
        <f t="shared" si="59"/>
        <v/>
      </c>
      <c r="K833" s="63" t="str">
        <f>IF($H833="","",COUNTIF($H$2:$H833,"?*"))</f>
        <v/>
      </c>
    </row>
    <row r="834" spans="1:11" x14ac:dyDescent="0.25">
      <c r="A834" s="63" t="s">
        <v>1325</v>
      </c>
      <c r="B834" s="63" t="s">
        <v>717</v>
      </c>
      <c r="C834" s="63" t="s">
        <v>556</v>
      </c>
      <c r="D834" s="63" t="str">
        <f>IF('Barn - Front Rack'!L17="","",TRIM('Barn - Front Rack'!L17))</f>
        <v/>
      </c>
      <c r="E834" s="64" t="str">
        <f>IF($D834="","",'Barn - Front Rack'!M17&amp;"")</f>
        <v/>
      </c>
      <c r="F834" s="63">
        <f t="shared" si="60"/>
        <v>0</v>
      </c>
      <c r="G834" s="64" t="str">
        <f t="shared" ref="G834:G897" si="61">IF($D834="","",IF(ISNUMBER(FIND("(",$D834)),TRIM(LEFT($D834,FIND("(",$D834)-1)),$D834))</f>
        <v/>
      </c>
      <c r="H834" s="64" t="str">
        <f t="shared" ref="H834:H897" si="62">IF($D834="","",IF(ISNUMBER(FIND("(",$D834)),TRIM(SUBSTITUTE(MID($D834,FIND("(",$D834)+1,200),")","")),""))</f>
        <v/>
      </c>
      <c r="I834" s="63">
        <f>IF($G834="",0,IF(COUNTIF($G$2:$G834,$G834)=1,1,0))</f>
        <v>0</v>
      </c>
      <c r="J834" s="63" t="str">
        <f t="shared" ref="J834:J897" si="63">IF($I834=0,"",SUMPRODUCT(($I$2:$I$1513=1)*($G$2:$G$1513&lt;$G834))+1)</f>
        <v/>
      </c>
      <c r="K834" s="63" t="str">
        <f>IF($H834="","",COUNTIF($H$2:$H834,"?*"))</f>
        <v/>
      </c>
    </row>
    <row r="835" spans="1:11" x14ac:dyDescent="0.25">
      <c r="A835" s="63" t="s">
        <v>1325</v>
      </c>
      <c r="B835" s="63" t="s">
        <v>718</v>
      </c>
      <c r="C835" s="63" t="s">
        <v>556</v>
      </c>
      <c r="D835" s="63" t="str">
        <f>IF('Barn - Front Rack'!L18="","",TRIM('Barn - Front Rack'!L18))</f>
        <v/>
      </c>
      <c r="E835" s="64" t="str">
        <f>IF($D835="","",'Barn - Front Rack'!M18&amp;"")</f>
        <v/>
      </c>
      <c r="F835" s="63">
        <f t="shared" si="60"/>
        <v>0</v>
      </c>
      <c r="G835" s="64" t="str">
        <f t="shared" si="61"/>
        <v/>
      </c>
      <c r="H835" s="64" t="str">
        <f t="shared" si="62"/>
        <v/>
      </c>
      <c r="I835" s="63">
        <f>IF($G835="",0,IF(COUNTIF($G$2:$G835,$G835)=1,1,0))</f>
        <v>0</v>
      </c>
      <c r="J835" s="63" t="str">
        <f t="shared" si="63"/>
        <v/>
      </c>
      <c r="K835" s="63" t="str">
        <f>IF($H835="","",COUNTIF($H$2:$H835,"?*"))</f>
        <v/>
      </c>
    </row>
    <row r="836" spans="1:11" x14ac:dyDescent="0.25">
      <c r="A836" s="63" t="s">
        <v>1325</v>
      </c>
      <c r="B836" s="63" t="s">
        <v>719</v>
      </c>
      <c r="C836" s="63" t="s">
        <v>556</v>
      </c>
      <c r="D836" s="63" t="str">
        <f>IF('Barn - Front Rack'!L19="","",TRIM('Barn - Front Rack'!L19))</f>
        <v/>
      </c>
      <c r="E836" s="64" t="str">
        <f>IF($D836="","",'Barn - Front Rack'!M19&amp;"")</f>
        <v/>
      </c>
      <c r="F836" s="63">
        <f t="shared" si="60"/>
        <v>0</v>
      </c>
      <c r="G836" s="64" t="str">
        <f t="shared" si="61"/>
        <v/>
      </c>
      <c r="H836" s="64" t="str">
        <f t="shared" si="62"/>
        <v/>
      </c>
      <c r="I836" s="63">
        <f>IF($G836="",0,IF(COUNTIF($G$2:$G836,$G836)=1,1,0))</f>
        <v>0</v>
      </c>
      <c r="J836" s="63" t="str">
        <f t="shared" si="63"/>
        <v/>
      </c>
      <c r="K836" s="63" t="str">
        <f>IF($H836="","",COUNTIF($H$2:$H836,"?*"))</f>
        <v/>
      </c>
    </row>
    <row r="837" spans="1:11" x14ac:dyDescent="0.25">
      <c r="A837" s="63" t="s">
        <v>1325</v>
      </c>
      <c r="B837" s="63" t="s">
        <v>720</v>
      </c>
      <c r="C837" s="63" t="s">
        <v>556</v>
      </c>
      <c r="D837" s="63" t="str">
        <f>IF('Barn - Front Rack'!L20="","",TRIM('Barn - Front Rack'!L20))</f>
        <v/>
      </c>
      <c r="E837" s="64" t="str">
        <f>IF($D837="","",'Barn - Front Rack'!M20&amp;"")</f>
        <v/>
      </c>
      <c r="F837" s="63">
        <f t="shared" si="60"/>
        <v>0</v>
      </c>
      <c r="G837" s="64" t="str">
        <f t="shared" si="61"/>
        <v/>
      </c>
      <c r="H837" s="64" t="str">
        <f t="shared" si="62"/>
        <v/>
      </c>
      <c r="I837" s="63">
        <f>IF($G837="",0,IF(COUNTIF($G$2:$G837,$G837)=1,1,0))</f>
        <v>0</v>
      </c>
      <c r="J837" s="63" t="str">
        <f t="shared" si="63"/>
        <v/>
      </c>
      <c r="K837" s="63" t="str">
        <f>IF($H837="","",COUNTIF($H$2:$H837,"?*"))</f>
        <v/>
      </c>
    </row>
    <row r="838" spans="1:11" x14ac:dyDescent="0.25">
      <c r="A838" s="63" t="s">
        <v>1325</v>
      </c>
      <c r="B838" s="63" t="s">
        <v>721</v>
      </c>
      <c r="C838" s="63" t="s">
        <v>556</v>
      </c>
      <c r="D838" s="63" t="str">
        <f>IF('Barn - Front Rack'!L21="","",TRIM('Barn - Front Rack'!L21))</f>
        <v/>
      </c>
      <c r="E838" s="64" t="str">
        <f>IF($D838="","",'Barn - Front Rack'!M21&amp;"")</f>
        <v/>
      </c>
      <c r="F838" s="63">
        <f t="shared" si="60"/>
        <v>0</v>
      </c>
      <c r="G838" s="64" t="str">
        <f t="shared" si="61"/>
        <v/>
      </c>
      <c r="H838" s="64" t="str">
        <f t="shared" si="62"/>
        <v/>
      </c>
      <c r="I838" s="63">
        <f>IF($G838="",0,IF(COUNTIF($G$2:$G838,$G838)=1,1,0))</f>
        <v>0</v>
      </c>
      <c r="J838" s="63" t="str">
        <f t="shared" si="63"/>
        <v/>
      </c>
      <c r="K838" s="63" t="str">
        <f>IF($H838="","",COUNTIF($H$2:$H838,"?*"))</f>
        <v/>
      </c>
    </row>
    <row r="839" spans="1:11" x14ac:dyDescent="0.25">
      <c r="A839" s="63" t="s">
        <v>1325</v>
      </c>
      <c r="B839" s="63" t="s">
        <v>722</v>
      </c>
      <c r="C839" s="63" t="s">
        <v>556</v>
      </c>
      <c r="D839" s="63" t="str">
        <f>IF('Barn - Front Rack'!L22="","",TRIM('Barn - Front Rack'!L22))</f>
        <v/>
      </c>
      <c r="E839" s="64" t="str">
        <f>IF($D839="","",'Barn - Front Rack'!M22&amp;"")</f>
        <v/>
      </c>
      <c r="F839" s="63">
        <f t="shared" si="60"/>
        <v>0</v>
      </c>
      <c r="G839" s="64" t="str">
        <f t="shared" si="61"/>
        <v/>
      </c>
      <c r="H839" s="64" t="str">
        <f t="shared" si="62"/>
        <v/>
      </c>
      <c r="I839" s="63">
        <f>IF($G839="",0,IF(COUNTIF($G$2:$G839,$G839)=1,1,0))</f>
        <v>0</v>
      </c>
      <c r="J839" s="63" t="str">
        <f t="shared" si="63"/>
        <v/>
      </c>
      <c r="K839" s="63" t="str">
        <f>IF($H839="","",COUNTIF($H$2:$H839,"?*"))</f>
        <v/>
      </c>
    </row>
    <row r="840" spans="1:11" x14ac:dyDescent="0.25">
      <c r="A840" s="63" t="s">
        <v>1325</v>
      </c>
      <c r="B840" s="63" t="s">
        <v>723</v>
      </c>
      <c r="C840" s="63" t="s">
        <v>556</v>
      </c>
      <c r="D840" s="63" t="str">
        <f>IF('Barn - Front Rack'!L23="","",TRIM('Barn - Front Rack'!L23))</f>
        <v/>
      </c>
      <c r="E840" s="64" t="str">
        <f>IF($D840="","",'Barn - Front Rack'!M23&amp;"")</f>
        <v/>
      </c>
      <c r="F840" s="63">
        <f t="shared" si="60"/>
        <v>0</v>
      </c>
      <c r="G840" s="64" t="str">
        <f t="shared" si="61"/>
        <v/>
      </c>
      <c r="H840" s="64" t="str">
        <f t="shared" si="62"/>
        <v/>
      </c>
      <c r="I840" s="63">
        <f>IF($G840="",0,IF(COUNTIF($G$2:$G840,$G840)=1,1,0))</f>
        <v>0</v>
      </c>
      <c r="J840" s="63" t="str">
        <f t="shared" si="63"/>
        <v/>
      </c>
      <c r="K840" s="63" t="str">
        <f>IF($H840="","",COUNTIF($H$2:$H840,"?*"))</f>
        <v/>
      </c>
    </row>
    <row r="841" spans="1:11" x14ac:dyDescent="0.25">
      <c r="A841" s="63" t="s">
        <v>1325</v>
      </c>
      <c r="B841" s="63" t="s">
        <v>724</v>
      </c>
      <c r="C841" s="63" t="s">
        <v>556</v>
      </c>
      <c r="D841" s="63" t="str">
        <f>IF('Barn - Front Rack'!L24="","",TRIM('Barn - Front Rack'!L24))</f>
        <v/>
      </c>
      <c r="E841" s="64" t="str">
        <f>IF($D841="","",'Barn - Front Rack'!M24&amp;"")</f>
        <v/>
      </c>
      <c r="F841" s="63">
        <f t="shared" si="60"/>
        <v>0</v>
      </c>
      <c r="G841" s="64" t="str">
        <f t="shared" si="61"/>
        <v/>
      </c>
      <c r="H841" s="64" t="str">
        <f t="shared" si="62"/>
        <v/>
      </c>
      <c r="I841" s="63">
        <f>IF($G841="",0,IF(COUNTIF($G$2:$G841,$G841)=1,1,0))</f>
        <v>0</v>
      </c>
      <c r="J841" s="63" t="str">
        <f t="shared" si="63"/>
        <v/>
      </c>
      <c r="K841" s="63" t="str">
        <f>IF($H841="","",COUNTIF($H$2:$H841,"?*"))</f>
        <v/>
      </c>
    </row>
    <row r="842" spans="1:11" x14ac:dyDescent="0.25">
      <c r="A842" s="63" t="s">
        <v>1325</v>
      </c>
      <c r="B842" s="63" t="s">
        <v>725</v>
      </c>
      <c r="C842" s="63" t="s">
        <v>556</v>
      </c>
      <c r="D842" s="63" t="str">
        <f>IF('Barn - Front Rack'!N13="","",TRIM('Barn - Front Rack'!N13))</f>
        <v/>
      </c>
      <c r="E842" s="64" t="str">
        <f>IF($D842="","",'Barn - Front Rack'!O13&amp;"")</f>
        <v/>
      </c>
      <c r="F842" s="63">
        <f t="shared" ref="F842:F905" si="64">IF($D842="",0,1)</f>
        <v>0</v>
      </c>
      <c r="G842" s="64" t="str">
        <f t="shared" si="61"/>
        <v/>
      </c>
      <c r="H842" s="64" t="str">
        <f t="shared" si="62"/>
        <v/>
      </c>
      <c r="I842" s="63">
        <f>IF($G842="",0,IF(COUNTIF($G$2:$G842,$G842)=1,1,0))</f>
        <v>0</v>
      </c>
      <c r="J842" s="63" t="str">
        <f t="shared" si="63"/>
        <v/>
      </c>
      <c r="K842" s="63" t="str">
        <f>IF($H842="","",COUNTIF($H$2:$H842,"?*"))</f>
        <v/>
      </c>
    </row>
    <row r="843" spans="1:11" x14ac:dyDescent="0.25">
      <c r="A843" s="63" t="s">
        <v>1325</v>
      </c>
      <c r="B843" s="63" t="s">
        <v>726</v>
      </c>
      <c r="C843" s="63" t="s">
        <v>556</v>
      </c>
      <c r="D843" s="63" t="str">
        <f>IF('Barn - Front Rack'!N14="","",TRIM('Barn - Front Rack'!N14))</f>
        <v/>
      </c>
      <c r="E843" s="64" t="str">
        <f>IF($D843="","",'Barn - Front Rack'!O14&amp;"")</f>
        <v/>
      </c>
      <c r="F843" s="63">
        <f t="shared" si="64"/>
        <v>0</v>
      </c>
      <c r="G843" s="64" t="str">
        <f t="shared" si="61"/>
        <v/>
      </c>
      <c r="H843" s="64" t="str">
        <f t="shared" si="62"/>
        <v/>
      </c>
      <c r="I843" s="63">
        <f>IF($G843="",0,IF(COUNTIF($G$2:$G843,$G843)=1,1,0))</f>
        <v>0</v>
      </c>
      <c r="J843" s="63" t="str">
        <f t="shared" si="63"/>
        <v/>
      </c>
      <c r="K843" s="63" t="str">
        <f>IF($H843="","",COUNTIF($H$2:$H843,"?*"))</f>
        <v/>
      </c>
    </row>
    <row r="844" spans="1:11" x14ac:dyDescent="0.25">
      <c r="A844" s="63" t="s">
        <v>1325</v>
      </c>
      <c r="B844" s="63" t="s">
        <v>727</v>
      </c>
      <c r="C844" s="63" t="s">
        <v>556</v>
      </c>
      <c r="D844" s="63" t="str">
        <f>IF('Barn - Front Rack'!N15="","",TRIM('Barn - Front Rack'!N15))</f>
        <v/>
      </c>
      <c r="E844" s="64" t="str">
        <f>IF($D844="","",'Barn - Front Rack'!O15&amp;"")</f>
        <v/>
      </c>
      <c r="F844" s="63">
        <f t="shared" si="64"/>
        <v>0</v>
      </c>
      <c r="G844" s="64" t="str">
        <f t="shared" si="61"/>
        <v/>
      </c>
      <c r="H844" s="64" t="str">
        <f t="shared" si="62"/>
        <v/>
      </c>
      <c r="I844" s="63">
        <f>IF($G844="",0,IF(COUNTIF($G$2:$G844,$G844)=1,1,0))</f>
        <v>0</v>
      </c>
      <c r="J844" s="63" t="str">
        <f t="shared" si="63"/>
        <v/>
      </c>
      <c r="K844" s="63" t="str">
        <f>IF($H844="","",COUNTIF($H$2:$H844,"?*"))</f>
        <v/>
      </c>
    </row>
    <row r="845" spans="1:11" x14ac:dyDescent="0.25">
      <c r="A845" s="63" t="s">
        <v>1325</v>
      </c>
      <c r="B845" s="63" t="s">
        <v>728</v>
      </c>
      <c r="C845" s="63" t="s">
        <v>556</v>
      </c>
      <c r="D845" s="63" t="str">
        <f>IF('Barn - Front Rack'!N16="","",TRIM('Barn - Front Rack'!N16))</f>
        <v/>
      </c>
      <c r="E845" s="64" t="str">
        <f>IF($D845="","",'Barn - Front Rack'!O16&amp;"")</f>
        <v/>
      </c>
      <c r="F845" s="63">
        <f t="shared" si="64"/>
        <v>0</v>
      </c>
      <c r="G845" s="64" t="str">
        <f t="shared" si="61"/>
        <v/>
      </c>
      <c r="H845" s="64" t="str">
        <f t="shared" si="62"/>
        <v/>
      </c>
      <c r="I845" s="63">
        <f>IF($G845="",0,IF(COUNTIF($G$2:$G845,$G845)=1,1,0))</f>
        <v>0</v>
      </c>
      <c r="J845" s="63" t="str">
        <f t="shared" si="63"/>
        <v/>
      </c>
      <c r="K845" s="63" t="str">
        <f>IF($H845="","",COUNTIF($H$2:$H845,"?*"))</f>
        <v/>
      </c>
    </row>
    <row r="846" spans="1:11" x14ac:dyDescent="0.25">
      <c r="A846" s="63" t="s">
        <v>1325</v>
      </c>
      <c r="B846" s="63" t="s">
        <v>729</v>
      </c>
      <c r="C846" s="63" t="s">
        <v>556</v>
      </c>
      <c r="D846" s="63" t="str">
        <f>IF('Barn - Front Rack'!N17="","",TRIM('Barn - Front Rack'!N17))</f>
        <v/>
      </c>
      <c r="E846" s="64" t="str">
        <f>IF($D846="","",'Barn - Front Rack'!O17&amp;"")</f>
        <v/>
      </c>
      <c r="F846" s="63">
        <f t="shared" si="64"/>
        <v>0</v>
      </c>
      <c r="G846" s="64" t="str">
        <f t="shared" si="61"/>
        <v/>
      </c>
      <c r="H846" s="64" t="str">
        <f t="shared" si="62"/>
        <v/>
      </c>
      <c r="I846" s="63">
        <f>IF($G846="",0,IF(COUNTIF($G$2:$G846,$G846)=1,1,0))</f>
        <v>0</v>
      </c>
      <c r="J846" s="63" t="str">
        <f t="shared" si="63"/>
        <v/>
      </c>
      <c r="K846" s="63" t="str">
        <f>IF($H846="","",COUNTIF($H$2:$H846,"?*"))</f>
        <v/>
      </c>
    </row>
    <row r="847" spans="1:11" x14ac:dyDescent="0.25">
      <c r="A847" s="63" t="s">
        <v>1325</v>
      </c>
      <c r="B847" s="63" t="s">
        <v>730</v>
      </c>
      <c r="C847" s="63" t="s">
        <v>556</v>
      </c>
      <c r="D847" s="63" t="str">
        <f>IF('Barn - Front Rack'!N18="","",TRIM('Barn - Front Rack'!N18))</f>
        <v/>
      </c>
      <c r="E847" s="64" t="str">
        <f>IF($D847="","",'Barn - Front Rack'!O18&amp;"")</f>
        <v/>
      </c>
      <c r="F847" s="63">
        <f t="shared" si="64"/>
        <v>0</v>
      </c>
      <c r="G847" s="64" t="str">
        <f t="shared" si="61"/>
        <v/>
      </c>
      <c r="H847" s="64" t="str">
        <f t="shared" si="62"/>
        <v/>
      </c>
      <c r="I847" s="63">
        <f>IF($G847="",0,IF(COUNTIF($G$2:$G847,$G847)=1,1,0))</f>
        <v>0</v>
      </c>
      <c r="J847" s="63" t="str">
        <f t="shared" si="63"/>
        <v/>
      </c>
      <c r="K847" s="63" t="str">
        <f>IF($H847="","",COUNTIF($H$2:$H847,"?*"))</f>
        <v/>
      </c>
    </row>
    <row r="848" spans="1:11" x14ac:dyDescent="0.25">
      <c r="A848" s="63" t="s">
        <v>1325</v>
      </c>
      <c r="B848" s="63" t="s">
        <v>731</v>
      </c>
      <c r="C848" s="63" t="s">
        <v>556</v>
      </c>
      <c r="D848" s="63" t="str">
        <f>IF('Barn - Front Rack'!N19="","",TRIM('Barn - Front Rack'!N19))</f>
        <v/>
      </c>
      <c r="E848" s="64" t="str">
        <f>IF($D848="","",'Barn - Front Rack'!O19&amp;"")</f>
        <v/>
      </c>
      <c r="F848" s="63">
        <f t="shared" si="64"/>
        <v>0</v>
      </c>
      <c r="G848" s="64" t="str">
        <f t="shared" si="61"/>
        <v/>
      </c>
      <c r="H848" s="64" t="str">
        <f t="shared" si="62"/>
        <v/>
      </c>
      <c r="I848" s="63">
        <f>IF($G848="",0,IF(COUNTIF($G$2:$G848,$G848)=1,1,0))</f>
        <v>0</v>
      </c>
      <c r="J848" s="63" t="str">
        <f t="shared" si="63"/>
        <v/>
      </c>
      <c r="K848" s="63" t="str">
        <f>IF($H848="","",COUNTIF($H$2:$H848,"?*"))</f>
        <v/>
      </c>
    </row>
    <row r="849" spans="1:11" x14ac:dyDescent="0.25">
      <c r="A849" s="63" t="s">
        <v>1325</v>
      </c>
      <c r="B849" s="63" t="s">
        <v>732</v>
      </c>
      <c r="C849" s="63" t="s">
        <v>556</v>
      </c>
      <c r="D849" s="63" t="str">
        <f>IF('Barn - Front Rack'!N20="","",TRIM('Barn - Front Rack'!N20))</f>
        <v/>
      </c>
      <c r="E849" s="64" t="str">
        <f>IF($D849="","",'Barn - Front Rack'!O20&amp;"")</f>
        <v/>
      </c>
      <c r="F849" s="63">
        <f t="shared" si="64"/>
        <v>0</v>
      </c>
      <c r="G849" s="64" t="str">
        <f t="shared" si="61"/>
        <v/>
      </c>
      <c r="H849" s="64" t="str">
        <f t="shared" si="62"/>
        <v/>
      </c>
      <c r="I849" s="63">
        <f>IF($G849="",0,IF(COUNTIF($G$2:$G849,$G849)=1,1,0))</f>
        <v>0</v>
      </c>
      <c r="J849" s="63" t="str">
        <f t="shared" si="63"/>
        <v/>
      </c>
      <c r="K849" s="63" t="str">
        <f>IF($H849="","",COUNTIF($H$2:$H849,"?*"))</f>
        <v/>
      </c>
    </row>
    <row r="850" spans="1:11" x14ac:dyDescent="0.25">
      <c r="A850" s="63" t="s">
        <v>1325</v>
      </c>
      <c r="B850" s="63" t="s">
        <v>733</v>
      </c>
      <c r="C850" s="63" t="s">
        <v>556</v>
      </c>
      <c r="D850" s="63" t="str">
        <f>IF('Barn - Front Rack'!N21="","",TRIM('Barn - Front Rack'!N21))</f>
        <v/>
      </c>
      <c r="E850" s="64" t="str">
        <f>IF($D850="","",'Barn - Front Rack'!O21&amp;"")</f>
        <v/>
      </c>
      <c r="F850" s="63">
        <f t="shared" si="64"/>
        <v>0</v>
      </c>
      <c r="G850" s="64" t="str">
        <f t="shared" si="61"/>
        <v/>
      </c>
      <c r="H850" s="64" t="str">
        <f t="shared" si="62"/>
        <v/>
      </c>
      <c r="I850" s="63">
        <f>IF($G850="",0,IF(COUNTIF($G$2:$G850,$G850)=1,1,0))</f>
        <v>0</v>
      </c>
      <c r="J850" s="63" t="str">
        <f t="shared" si="63"/>
        <v/>
      </c>
      <c r="K850" s="63" t="str">
        <f>IF($H850="","",COUNTIF($H$2:$H850,"?*"))</f>
        <v/>
      </c>
    </row>
    <row r="851" spans="1:11" x14ac:dyDescent="0.25">
      <c r="A851" s="63" t="s">
        <v>1325</v>
      </c>
      <c r="B851" s="63" t="s">
        <v>734</v>
      </c>
      <c r="C851" s="63" t="s">
        <v>556</v>
      </c>
      <c r="D851" s="63" t="str">
        <f>IF('Barn - Front Rack'!N22="","",TRIM('Barn - Front Rack'!N22))</f>
        <v/>
      </c>
      <c r="E851" s="64" t="str">
        <f>IF($D851="","",'Barn - Front Rack'!O22&amp;"")</f>
        <v/>
      </c>
      <c r="F851" s="63">
        <f t="shared" si="64"/>
        <v>0</v>
      </c>
      <c r="G851" s="64" t="str">
        <f t="shared" si="61"/>
        <v/>
      </c>
      <c r="H851" s="64" t="str">
        <f t="shared" si="62"/>
        <v/>
      </c>
      <c r="I851" s="63">
        <f>IF($G851="",0,IF(COUNTIF($G$2:$G851,$G851)=1,1,0))</f>
        <v>0</v>
      </c>
      <c r="J851" s="63" t="str">
        <f t="shared" si="63"/>
        <v/>
      </c>
      <c r="K851" s="63" t="str">
        <f>IF($H851="","",COUNTIF($H$2:$H851,"?*"))</f>
        <v/>
      </c>
    </row>
    <row r="852" spans="1:11" x14ac:dyDescent="0.25">
      <c r="A852" s="63" t="s">
        <v>1325</v>
      </c>
      <c r="B852" s="63" t="s">
        <v>735</v>
      </c>
      <c r="C852" s="63" t="s">
        <v>556</v>
      </c>
      <c r="D852" s="63" t="str">
        <f>IF('Barn - Front Rack'!N23="","",TRIM('Barn - Front Rack'!N23))</f>
        <v/>
      </c>
      <c r="E852" s="64" t="str">
        <f>IF($D852="","",'Barn - Front Rack'!O23&amp;"")</f>
        <v/>
      </c>
      <c r="F852" s="63">
        <f t="shared" si="64"/>
        <v>0</v>
      </c>
      <c r="G852" s="64" t="str">
        <f t="shared" si="61"/>
        <v/>
      </c>
      <c r="H852" s="64" t="str">
        <f t="shared" si="62"/>
        <v/>
      </c>
      <c r="I852" s="63">
        <f>IF($G852="",0,IF(COUNTIF($G$2:$G852,$G852)=1,1,0))</f>
        <v>0</v>
      </c>
      <c r="J852" s="63" t="str">
        <f t="shared" si="63"/>
        <v/>
      </c>
      <c r="K852" s="63" t="str">
        <f>IF($H852="","",COUNTIF($H$2:$H852,"?*"))</f>
        <v/>
      </c>
    </row>
    <row r="853" spans="1:11" x14ac:dyDescent="0.25">
      <c r="A853" s="63" t="s">
        <v>1325</v>
      </c>
      <c r="B853" s="63" t="s">
        <v>736</v>
      </c>
      <c r="C853" s="63" t="s">
        <v>556</v>
      </c>
      <c r="D853" s="63" t="str">
        <f>IF('Barn - Front Rack'!N24="","",TRIM('Barn - Front Rack'!N24))</f>
        <v/>
      </c>
      <c r="E853" s="64" t="str">
        <f>IF($D853="","",'Barn - Front Rack'!O24&amp;"")</f>
        <v/>
      </c>
      <c r="F853" s="63">
        <f t="shared" si="64"/>
        <v>0</v>
      </c>
      <c r="G853" s="64" t="str">
        <f t="shared" si="61"/>
        <v/>
      </c>
      <c r="H853" s="64" t="str">
        <f t="shared" si="62"/>
        <v/>
      </c>
      <c r="I853" s="63">
        <f>IF($G853="",0,IF(COUNTIF($G$2:$G853,$G853)=1,1,0))</f>
        <v>0</v>
      </c>
      <c r="J853" s="63" t="str">
        <f t="shared" si="63"/>
        <v/>
      </c>
      <c r="K853" s="63" t="str">
        <f>IF($H853="","",COUNTIF($H$2:$H853,"?*"))</f>
        <v/>
      </c>
    </row>
    <row r="854" spans="1:11" x14ac:dyDescent="0.25">
      <c r="A854" s="63" t="s">
        <v>1325</v>
      </c>
      <c r="B854" s="63" t="s">
        <v>737</v>
      </c>
      <c r="C854" s="63" t="s">
        <v>556</v>
      </c>
      <c r="D854" s="63" t="str">
        <f>IF('Barn - Front Rack'!P13="","",TRIM('Barn - Front Rack'!P13))</f>
        <v/>
      </c>
      <c r="E854" s="64" t="str">
        <f>IF($D854="","",'Barn - Front Rack'!Q13&amp;"")</f>
        <v/>
      </c>
      <c r="F854" s="63">
        <f t="shared" si="64"/>
        <v>0</v>
      </c>
      <c r="G854" s="64" t="str">
        <f t="shared" si="61"/>
        <v/>
      </c>
      <c r="H854" s="64" t="str">
        <f t="shared" si="62"/>
        <v/>
      </c>
      <c r="I854" s="63">
        <f>IF($G854="",0,IF(COUNTIF($G$2:$G854,$G854)=1,1,0))</f>
        <v>0</v>
      </c>
      <c r="J854" s="63" t="str">
        <f t="shared" si="63"/>
        <v/>
      </c>
      <c r="K854" s="63" t="str">
        <f>IF($H854="","",COUNTIF($H$2:$H854,"?*"))</f>
        <v/>
      </c>
    </row>
    <row r="855" spans="1:11" x14ac:dyDescent="0.25">
      <c r="A855" s="63" t="s">
        <v>1325</v>
      </c>
      <c r="B855" s="63" t="s">
        <v>738</v>
      </c>
      <c r="C855" s="63" t="s">
        <v>556</v>
      </c>
      <c r="D855" s="63" t="str">
        <f>IF('Barn - Front Rack'!P14="","",TRIM('Barn - Front Rack'!P14))</f>
        <v/>
      </c>
      <c r="E855" s="64" t="str">
        <f>IF($D855="","",'Barn - Front Rack'!Q14&amp;"")</f>
        <v/>
      </c>
      <c r="F855" s="63">
        <f t="shared" si="64"/>
        <v>0</v>
      </c>
      <c r="G855" s="64" t="str">
        <f t="shared" si="61"/>
        <v/>
      </c>
      <c r="H855" s="64" t="str">
        <f t="shared" si="62"/>
        <v/>
      </c>
      <c r="I855" s="63">
        <f>IF($G855="",0,IF(COUNTIF($G$2:$G855,$G855)=1,1,0))</f>
        <v>0</v>
      </c>
      <c r="J855" s="63" t="str">
        <f t="shared" si="63"/>
        <v/>
      </c>
      <c r="K855" s="63" t="str">
        <f>IF($H855="","",COUNTIF($H$2:$H855,"?*"))</f>
        <v/>
      </c>
    </row>
    <row r="856" spans="1:11" x14ac:dyDescent="0.25">
      <c r="A856" s="63" t="s">
        <v>1325</v>
      </c>
      <c r="B856" s="63" t="s">
        <v>739</v>
      </c>
      <c r="C856" s="63" t="s">
        <v>556</v>
      </c>
      <c r="D856" s="63" t="str">
        <f>IF('Barn - Front Rack'!P15="","",TRIM('Barn - Front Rack'!P15))</f>
        <v/>
      </c>
      <c r="E856" s="64" t="str">
        <f>IF($D856="","",'Barn - Front Rack'!Q15&amp;"")</f>
        <v/>
      </c>
      <c r="F856" s="63">
        <f t="shared" si="64"/>
        <v>0</v>
      </c>
      <c r="G856" s="64" t="str">
        <f t="shared" si="61"/>
        <v/>
      </c>
      <c r="H856" s="64" t="str">
        <f t="shared" si="62"/>
        <v/>
      </c>
      <c r="I856" s="63">
        <f>IF($G856="",0,IF(COUNTIF($G$2:$G856,$G856)=1,1,0))</f>
        <v>0</v>
      </c>
      <c r="J856" s="63" t="str">
        <f t="shared" si="63"/>
        <v/>
      </c>
      <c r="K856" s="63" t="str">
        <f>IF($H856="","",COUNTIF($H$2:$H856,"?*"))</f>
        <v/>
      </c>
    </row>
    <row r="857" spans="1:11" x14ac:dyDescent="0.25">
      <c r="A857" s="63" t="s">
        <v>1325</v>
      </c>
      <c r="B857" s="63" t="s">
        <v>740</v>
      </c>
      <c r="C857" s="63" t="s">
        <v>556</v>
      </c>
      <c r="D857" s="63" t="str">
        <f>IF('Barn - Front Rack'!P16="","",TRIM('Barn - Front Rack'!P16))</f>
        <v/>
      </c>
      <c r="E857" s="64" t="str">
        <f>IF($D857="","",'Barn - Front Rack'!Q16&amp;"")</f>
        <v/>
      </c>
      <c r="F857" s="63">
        <f t="shared" si="64"/>
        <v>0</v>
      </c>
      <c r="G857" s="64" t="str">
        <f t="shared" si="61"/>
        <v/>
      </c>
      <c r="H857" s="64" t="str">
        <f t="shared" si="62"/>
        <v/>
      </c>
      <c r="I857" s="63">
        <f>IF($G857="",0,IF(COUNTIF($G$2:$G857,$G857)=1,1,0))</f>
        <v>0</v>
      </c>
      <c r="J857" s="63" t="str">
        <f t="shared" si="63"/>
        <v/>
      </c>
      <c r="K857" s="63" t="str">
        <f>IF($H857="","",COUNTIF($H$2:$H857,"?*"))</f>
        <v/>
      </c>
    </row>
    <row r="858" spans="1:11" x14ac:dyDescent="0.25">
      <c r="A858" s="63" t="s">
        <v>1325</v>
      </c>
      <c r="B858" s="63" t="s">
        <v>741</v>
      </c>
      <c r="C858" s="63" t="s">
        <v>556</v>
      </c>
      <c r="D858" s="63" t="str">
        <f>IF('Barn - Front Rack'!P17="","",TRIM('Barn - Front Rack'!P17))</f>
        <v/>
      </c>
      <c r="E858" s="64" t="str">
        <f>IF($D858="","",'Barn - Front Rack'!Q17&amp;"")</f>
        <v/>
      </c>
      <c r="F858" s="63">
        <f t="shared" si="64"/>
        <v>0</v>
      </c>
      <c r="G858" s="64" t="str">
        <f t="shared" si="61"/>
        <v/>
      </c>
      <c r="H858" s="64" t="str">
        <f t="shared" si="62"/>
        <v/>
      </c>
      <c r="I858" s="63">
        <f>IF($G858="",0,IF(COUNTIF($G$2:$G858,$G858)=1,1,0))</f>
        <v>0</v>
      </c>
      <c r="J858" s="63" t="str">
        <f t="shared" si="63"/>
        <v/>
      </c>
      <c r="K858" s="63" t="str">
        <f>IF($H858="","",COUNTIF($H$2:$H858,"?*"))</f>
        <v/>
      </c>
    </row>
    <row r="859" spans="1:11" x14ac:dyDescent="0.25">
      <c r="A859" s="63" t="s">
        <v>1325</v>
      </c>
      <c r="B859" s="63" t="s">
        <v>742</v>
      </c>
      <c r="C859" s="63" t="s">
        <v>556</v>
      </c>
      <c r="D859" s="63" t="str">
        <f>IF('Barn - Front Rack'!P18="","",TRIM('Barn - Front Rack'!P18))</f>
        <v/>
      </c>
      <c r="E859" s="64" t="str">
        <f>IF($D859="","",'Barn - Front Rack'!Q18&amp;"")</f>
        <v/>
      </c>
      <c r="F859" s="63">
        <f t="shared" si="64"/>
        <v>0</v>
      </c>
      <c r="G859" s="64" t="str">
        <f t="shared" si="61"/>
        <v/>
      </c>
      <c r="H859" s="64" t="str">
        <f t="shared" si="62"/>
        <v/>
      </c>
      <c r="I859" s="63">
        <f>IF($G859="",0,IF(COUNTIF($G$2:$G859,$G859)=1,1,0))</f>
        <v>0</v>
      </c>
      <c r="J859" s="63" t="str">
        <f t="shared" si="63"/>
        <v/>
      </c>
      <c r="K859" s="63" t="str">
        <f>IF($H859="","",COUNTIF($H$2:$H859,"?*"))</f>
        <v/>
      </c>
    </row>
    <row r="860" spans="1:11" x14ac:dyDescent="0.25">
      <c r="A860" s="63" t="s">
        <v>1325</v>
      </c>
      <c r="B860" s="63" t="s">
        <v>743</v>
      </c>
      <c r="C860" s="63" t="s">
        <v>556</v>
      </c>
      <c r="D860" s="63" t="str">
        <f>IF('Barn - Front Rack'!P19="","",TRIM('Barn - Front Rack'!P19))</f>
        <v/>
      </c>
      <c r="E860" s="64" t="str">
        <f>IF($D860="","",'Barn - Front Rack'!Q19&amp;"")</f>
        <v/>
      </c>
      <c r="F860" s="63">
        <f t="shared" si="64"/>
        <v>0</v>
      </c>
      <c r="G860" s="64" t="str">
        <f t="shared" si="61"/>
        <v/>
      </c>
      <c r="H860" s="64" t="str">
        <f t="shared" si="62"/>
        <v/>
      </c>
      <c r="I860" s="63">
        <f>IF($G860="",0,IF(COUNTIF($G$2:$G860,$G860)=1,1,0))</f>
        <v>0</v>
      </c>
      <c r="J860" s="63" t="str">
        <f t="shared" si="63"/>
        <v/>
      </c>
      <c r="K860" s="63" t="str">
        <f>IF($H860="","",COUNTIF($H$2:$H860,"?*"))</f>
        <v/>
      </c>
    </row>
    <row r="861" spans="1:11" x14ac:dyDescent="0.25">
      <c r="A861" s="63" t="s">
        <v>1325</v>
      </c>
      <c r="B861" s="63" t="s">
        <v>744</v>
      </c>
      <c r="C861" s="63" t="s">
        <v>556</v>
      </c>
      <c r="D861" s="63" t="str">
        <f>IF('Barn - Front Rack'!P20="","",TRIM('Barn - Front Rack'!P20))</f>
        <v/>
      </c>
      <c r="E861" s="64" t="str">
        <f>IF($D861="","",'Barn - Front Rack'!Q20&amp;"")</f>
        <v/>
      </c>
      <c r="F861" s="63">
        <f t="shared" si="64"/>
        <v>0</v>
      </c>
      <c r="G861" s="64" t="str">
        <f t="shared" si="61"/>
        <v/>
      </c>
      <c r="H861" s="64" t="str">
        <f t="shared" si="62"/>
        <v/>
      </c>
      <c r="I861" s="63">
        <f>IF($G861="",0,IF(COUNTIF($G$2:$G861,$G861)=1,1,0))</f>
        <v>0</v>
      </c>
      <c r="J861" s="63" t="str">
        <f t="shared" si="63"/>
        <v/>
      </c>
      <c r="K861" s="63" t="str">
        <f>IF($H861="","",COUNTIF($H$2:$H861,"?*"))</f>
        <v/>
      </c>
    </row>
    <row r="862" spans="1:11" x14ac:dyDescent="0.25">
      <c r="A862" s="63" t="s">
        <v>1325</v>
      </c>
      <c r="B862" s="63" t="s">
        <v>745</v>
      </c>
      <c r="C862" s="63" t="s">
        <v>556</v>
      </c>
      <c r="D862" s="63" t="str">
        <f>IF('Barn - Front Rack'!P21="","",TRIM('Barn - Front Rack'!P21))</f>
        <v/>
      </c>
      <c r="E862" s="64" t="str">
        <f>IF($D862="","",'Barn - Front Rack'!Q21&amp;"")</f>
        <v/>
      </c>
      <c r="F862" s="63">
        <f t="shared" si="64"/>
        <v>0</v>
      </c>
      <c r="G862" s="64" t="str">
        <f t="shared" si="61"/>
        <v/>
      </c>
      <c r="H862" s="64" t="str">
        <f t="shared" si="62"/>
        <v/>
      </c>
      <c r="I862" s="63">
        <f>IF($G862="",0,IF(COUNTIF($G$2:$G862,$G862)=1,1,0))</f>
        <v>0</v>
      </c>
      <c r="J862" s="63" t="str">
        <f t="shared" si="63"/>
        <v/>
      </c>
      <c r="K862" s="63" t="str">
        <f>IF($H862="","",COUNTIF($H$2:$H862,"?*"))</f>
        <v/>
      </c>
    </row>
    <row r="863" spans="1:11" x14ac:dyDescent="0.25">
      <c r="A863" s="63" t="s">
        <v>1325</v>
      </c>
      <c r="B863" s="63" t="s">
        <v>746</v>
      </c>
      <c r="C863" s="63" t="s">
        <v>556</v>
      </c>
      <c r="D863" s="63" t="str">
        <f>IF('Barn - Front Rack'!P22="","",TRIM('Barn - Front Rack'!P22))</f>
        <v/>
      </c>
      <c r="E863" s="64" t="str">
        <f>IF($D863="","",'Barn - Front Rack'!Q22&amp;"")</f>
        <v/>
      </c>
      <c r="F863" s="63">
        <f t="shared" si="64"/>
        <v>0</v>
      </c>
      <c r="G863" s="64" t="str">
        <f t="shared" si="61"/>
        <v/>
      </c>
      <c r="H863" s="64" t="str">
        <f t="shared" si="62"/>
        <v/>
      </c>
      <c r="I863" s="63">
        <f>IF($G863="",0,IF(COUNTIF($G$2:$G863,$G863)=1,1,0))</f>
        <v>0</v>
      </c>
      <c r="J863" s="63" t="str">
        <f t="shared" si="63"/>
        <v/>
      </c>
      <c r="K863" s="63" t="str">
        <f>IF($H863="","",COUNTIF($H$2:$H863,"?*"))</f>
        <v/>
      </c>
    </row>
    <row r="864" spans="1:11" x14ac:dyDescent="0.25">
      <c r="A864" s="63" t="s">
        <v>1325</v>
      </c>
      <c r="B864" s="63" t="s">
        <v>747</v>
      </c>
      <c r="C864" s="63" t="s">
        <v>556</v>
      </c>
      <c r="D864" s="63" t="str">
        <f>IF('Barn - Front Rack'!P23="","",TRIM('Barn - Front Rack'!P23))</f>
        <v/>
      </c>
      <c r="E864" s="64" t="str">
        <f>IF($D864="","",'Barn - Front Rack'!Q23&amp;"")</f>
        <v/>
      </c>
      <c r="F864" s="63">
        <f t="shared" si="64"/>
        <v>0</v>
      </c>
      <c r="G864" s="64" t="str">
        <f t="shared" si="61"/>
        <v/>
      </c>
      <c r="H864" s="64" t="str">
        <f t="shared" si="62"/>
        <v/>
      </c>
      <c r="I864" s="63">
        <f>IF($G864="",0,IF(COUNTIF($G$2:$G864,$G864)=1,1,0))</f>
        <v>0</v>
      </c>
      <c r="J864" s="63" t="str">
        <f t="shared" si="63"/>
        <v/>
      </c>
      <c r="K864" s="63" t="str">
        <f>IF($H864="","",COUNTIF($H$2:$H864,"?*"))</f>
        <v/>
      </c>
    </row>
    <row r="865" spans="1:11" x14ac:dyDescent="0.25">
      <c r="A865" s="63" t="s">
        <v>1325</v>
      </c>
      <c r="B865" s="63" t="s">
        <v>748</v>
      </c>
      <c r="C865" s="63" t="s">
        <v>556</v>
      </c>
      <c r="D865" s="63" t="str">
        <f>IF('Barn - Front Rack'!P24="","",TRIM('Barn - Front Rack'!P24))</f>
        <v/>
      </c>
      <c r="E865" s="64" t="str">
        <f>IF($D865="","",'Barn - Front Rack'!Q24&amp;"")</f>
        <v/>
      </c>
      <c r="F865" s="63">
        <f t="shared" si="64"/>
        <v>0</v>
      </c>
      <c r="G865" s="64" t="str">
        <f t="shared" si="61"/>
        <v/>
      </c>
      <c r="H865" s="64" t="str">
        <f t="shared" si="62"/>
        <v/>
      </c>
      <c r="I865" s="63">
        <f>IF($G865="",0,IF(COUNTIF($G$2:$G865,$G865)=1,1,0))</f>
        <v>0</v>
      </c>
      <c r="J865" s="63" t="str">
        <f t="shared" si="63"/>
        <v/>
      </c>
      <c r="K865" s="63" t="str">
        <f>IF($H865="","",COUNTIF($H$2:$H865,"?*"))</f>
        <v/>
      </c>
    </row>
    <row r="866" spans="1:11" x14ac:dyDescent="0.25">
      <c r="A866" s="63" t="s">
        <v>1325</v>
      </c>
      <c r="B866" s="63" t="s">
        <v>845</v>
      </c>
      <c r="C866" s="63" t="s">
        <v>556</v>
      </c>
      <c r="D866" s="63" t="str">
        <f>IF('Barn - Front Rack'!B30="","",TRIM('Barn - Front Rack'!B30))</f>
        <v>Bunn G9-2</v>
      </c>
      <c r="E866" s="64" t="str">
        <f>IF($D866="","",'Barn - Front Rack'!C30&amp;"")</f>
        <v>G900075324</v>
      </c>
      <c r="F866" s="63">
        <f t="shared" si="64"/>
        <v>1</v>
      </c>
      <c r="G866" s="64" t="str">
        <f t="shared" si="61"/>
        <v>Bunn G9-2</v>
      </c>
      <c r="H866" s="64" t="str">
        <f t="shared" si="62"/>
        <v/>
      </c>
      <c r="I866" s="63">
        <f>IF($G866="",0,IF(COUNTIF($G$2:$G866,$G866)=1,1,0))</f>
        <v>0</v>
      </c>
      <c r="J866" s="63" t="str">
        <f t="shared" si="63"/>
        <v/>
      </c>
      <c r="K866" s="63" t="str">
        <f>IF($H866="","",COUNTIF($H$2:$H866,"?*"))</f>
        <v/>
      </c>
    </row>
    <row r="867" spans="1:11" x14ac:dyDescent="0.25">
      <c r="A867" s="63" t="s">
        <v>1325</v>
      </c>
      <c r="B867" s="63" t="s">
        <v>846</v>
      </c>
      <c r="C867" s="63" t="s">
        <v>556</v>
      </c>
      <c r="D867" s="63" t="str">
        <f>IF('Barn - Front Rack'!B31="","",TRIM('Barn - Front Rack'!B31))</f>
        <v>Bunn G9-2</v>
      </c>
      <c r="E867" s="64" t="str">
        <f>IF($D867="","",'Barn - Front Rack'!C31&amp;"")</f>
        <v>N/A</v>
      </c>
      <c r="F867" s="63">
        <f t="shared" si="64"/>
        <v>1</v>
      </c>
      <c r="G867" s="64" t="str">
        <f t="shared" si="61"/>
        <v>Bunn G9-2</v>
      </c>
      <c r="H867" s="64" t="str">
        <f t="shared" si="62"/>
        <v/>
      </c>
      <c r="I867" s="63">
        <f>IF($G867="",0,IF(COUNTIF($G$2:$G867,$G867)=1,1,0))</f>
        <v>0</v>
      </c>
      <c r="J867" s="63" t="str">
        <f t="shared" si="63"/>
        <v/>
      </c>
      <c r="K867" s="63" t="str">
        <f>IF($H867="","",COUNTIF($H$2:$H867,"?*"))</f>
        <v/>
      </c>
    </row>
    <row r="868" spans="1:11" x14ac:dyDescent="0.25">
      <c r="A868" s="63" t="s">
        <v>1325</v>
      </c>
      <c r="B868" s="63" t="s">
        <v>847</v>
      </c>
      <c r="C868" s="63" t="s">
        <v>556</v>
      </c>
      <c r="D868" s="63" t="str">
        <f>IF('Barn - Front Rack'!B32="","",TRIM('Barn - Front Rack'!B32))</f>
        <v>Bunn G9-2</v>
      </c>
      <c r="E868" s="64" t="str">
        <f>IF($D868="","",'Barn - Front Rack'!C32&amp;"")</f>
        <v>G90000474</v>
      </c>
      <c r="F868" s="63">
        <f t="shared" si="64"/>
        <v>1</v>
      </c>
      <c r="G868" s="64" t="str">
        <f t="shared" si="61"/>
        <v>Bunn G9-2</v>
      </c>
      <c r="H868" s="64" t="str">
        <f t="shared" si="62"/>
        <v/>
      </c>
      <c r="I868" s="63">
        <f>IF($G868="",0,IF(COUNTIF($G$2:$G868,$G868)=1,1,0))</f>
        <v>0</v>
      </c>
      <c r="J868" s="63" t="str">
        <f t="shared" si="63"/>
        <v/>
      </c>
      <c r="K868" s="63" t="str">
        <f>IF($H868="","",COUNTIF($H$2:$H868,"?*"))</f>
        <v/>
      </c>
    </row>
    <row r="869" spans="1:11" x14ac:dyDescent="0.25">
      <c r="A869" s="63" t="s">
        <v>1325</v>
      </c>
      <c r="B869" s="63" t="s">
        <v>848</v>
      </c>
      <c r="C869" s="63" t="s">
        <v>556</v>
      </c>
      <c r="D869" s="63" t="str">
        <f>IF('Barn - Front Rack'!B33="","",TRIM('Barn - Front Rack'!B33))</f>
        <v>Bunn G9-2</v>
      </c>
      <c r="E869" s="64" t="str">
        <f>IF($D869="","",'Barn - Front Rack'!C33&amp;"")</f>
        <v>N/A</v>
      </c>
      <c r="F869" s="63">
        <f t="shared" si="64"/>
        <v>1</v>
      </c>
      <c r="G869" s="64" t="str">
        <f t="shared" si="61"/>
        <v>Bunn G9-2</v>
      </c>
      <c r="H869" s="64" t="str">
        <f t="shared" si="62"/>
        <v/>
      </c>
      <c r="I869" s="63">
        <f>IF($G869="",0,IF(COUNTIF($G$2:$G869,$G869)=1,1,0))</f>
        <v>0</v>
      </c>
      <c r="J869" s="63" t="str">
        <f t="shared" si="63"/>
        <v/>
      </c>
      <c r="K869" s="63" t="str">
        <f>IF($H869="","",COUNTIF($H$2:$H869,"?*"))</f>
        <v/>
      </c>
    </row>
    <row r="870" spans="1:11" x14ac:dyDescent="0.25">
      <c r="A870" s="63" t="s">
        <v>1325</v>
      </c>
      <c r="B870" s="63" t="s">
        <v>849</v>
      </c>
      <c r="C870" s="63" t="s">
        <v>556</v>
      </c>
      <c r="D870" s="63" t="str">
        <f>IF('Barn - Front Rack'!B34="","",TRIM('Barn - Front Rack'!B34))</f>
        <v>Bunn G9-2</v>
      </c>
      <c r="E870" s="64" t="str">
        <f>IF($D870="","",'Barn - Front Rack'!C34&amp;"")</f>
        <v>N/A</v>
      </c>
      <c r="F870" s="63">
        <f t="shared" si="64"/>
        <v>1</v>
      </c>
      <c r="G870" s="64" t="str">
        <f t="shared" si="61"/>
        <v>Bunn G9-2</v>
      </c>
      <c r="H870" s="64" t="str">
        <f t="shared" si="62"/>
        <v/>
      </c>
      <c r="I870" s="63">
        <f>IF($G870="",0,IF(COUNTIF($G$2:$G870,$G870)=1,1,0))</f>
        <v>0</v>
      </c>
      <c r="J870" s="63" t="str">
        <f t="shared" si="63"/>
        <v/>
      </c>
      <c r="K870" s="63" t="str">
        <f>IF($H870="","",COUNTIF($H$2:$H870,"?*"))</f>
        <v/>
      </c>
    </row>
    <row r="871" spans="1:11" x14ac:dyDescent="0.25">
      <c r="A871" s="63" t="s">
        <v>1325</v>
      </c>
      <c r="B871" s="63" t="s">
        <v>850</v>
      </c>
      <c r="C871" s="63" t="s">
        <v>556</v>
      </c>
      <c r="D871" s="63" t="str">
        <f>IF('Barn - Front Rack'!B35="","",TRIM('Barn - Front Rack'!B35))</f>
        <v>Bunn G9-2</v>
      </c>
      <c r="E871" s="64" t="str">
        <f>IF($D871="","",'Barn - Front Rack'!C35&amp;"")</f>
        <v>N/A</v>
      </c>
      <c r="F871" s="63">
        <f t="shared" si="64"/>
        <v>1</v>
      </c>
      <c r="G871" s="64" t="str">
        <f t="shared" si="61"/>
        <v>Bunn G9-2</v>
      </c>
      <c r="H871" s="64" t="str">
        <f t="shared" si="62"/>
        <v/>
      </c>
      <c r="I871" s="63">
        <f>IF($G871="",0,IF(COUNTIF($G$2:$G871,$G871)=1,1,0))</f>
        <v>0</v>
      </c>
      <c r="J871" s="63" t="str">
        <f t="shared" si="63"/>
        <v/>
      </c>
      <c r="K871" s="63" t="str">
        <f>IF($H871="","",COUNTIF($H$2:$H871,"?*"))</f>
        <v/>
      </c>
    </row>
    <row r="872" spans="1:11" x14ac:dyDescent="0.25">
      <c r="A872" s="63" t="s">
        <v>1325</v>
      </c>
      <c r="B872" s="63" t="s">
        <v>851</v>
      </c>
      <c r="C872" s="63" t="s">
        <v>556</v>
      </c>
      <c r="D872" s="63" t="str">
        <f>IF('Barn - Front Rack'!B36="","",TRIM('Barn - Front Rack'!B36))</f>
        <v>Bunn G9-2</v>
      </c>
      <c r="E872" s="64" t="str">
        <f>IF($D872="","",'Barn - Front Rack'!C36&amp;"")</f>
        <v>G900001858</v>
      </c>
      <c r="F872" s="63">
        <f t="shared" si="64"/>
        <v>1</v>
      </c>
      <c r="G872" s="64" t="str">
        <f t="shared" si="61"/>
        <v>Bunn G9-2</v>
      </c>
      <c r="H872" s="64" t="str">
        <f t="shared" si="62"/>
        <v/>
      </c>
      <c r="I872" s="63">
        <f>IF($G872="",0,IF(COUNTIF($G$2:$G872,$G872)=1,1,0))</f>
        <v>0</v>
      </c>
      <c r="J872" s="63" t="str">
        <f t="shared" si="63"/>
        <v/>
      </c>
      <c r="K872" s="63" t="str">
        <f>IF($H872="","",COUNTIF($H$2:$H872,"?*"))</f>
        <v/>
      </c>
    </row>
    <row r="873" spans="1:11" x14ac:dyDescent="0.25">
      <c r="A873" s="63" t="s">
        <v>1325</v>
      </c>
      <c r="B873" s="63" t="s">
        <v>852</v>
      </c>
      <c r="C873" s="63" t="s">
        <v>556</v>
      </c>
      <c r="D873" s="63" t="str">
        <f>IF('Barn - Front Rack'!B37="","",TRIM('Barn - Front Rack'!B37))</f>
        <v>Bunn G9-2</v>
      </c>
      <c r="E873" s="64" t="str">
        <f>IF($D873="","",'Barn - Front Rack'!C37&amp;"")</f>
        <v>G900003290</v>
      </c>
      <c r="F873" s="63">
        <f t="shared" si="64"/>
        <v>1</v>
      </c>
      <c r="G873" s="64" t="str">
        <f t="shared" si="61"/>
        <v>Bunn G9-2</v>
      </c>
      <c r="H873" s="64" t="str">
        <f t="shared" si="62"/>
        <v/>
      </c>
      <c r="I873" s="63">
        <f>IF($G873="",0,IF(COUNTIF($G$2:$G873,$G873)=1,1,0))</f>
        <v>0</v>
      </c>
      <c r="J873" s="63" t="str">
        <f t="shared" si="63"/>
        <v/>
      </c>
      <c r="K873" s="63" t="str">
        <f>IF($H873="","",COUNTIF($H$2:$H873,"?*"))</f>
        <v/>
      </c>
    </row>
    <row r="874" spans="1:11" x14ac:dyDescent="0.25">
      <c r="A874" s="63" t="s">
        <v>1325</v>
      </c>
      <c r="B874" s="63" t="s">
        <v>853</v>
      </c>
      <c r="C874" s="63" t="s">
        <v>556</v>
      </c>
      <c r="D874" s="63" t="str">
        <f>IF('Barn - Front Rack'!B38="","",TRIM('Barn - Front Rack'!B38))</f>
        <v>Bunn G9-1</v>
      </c>
      <c r="E874" s="64" t="str">
        <f>IF($D874="","",'Barn - Front Rack'!C38&amp;"")</f>
        <v>G900011600</v>
      </c>
      <c r="F874" s="63">
        <f t="shared" si="64"/>
        <v>1</v>
      </c>
      <c r="G874" s="64" t="str">
        <f t="shared" si="61"/>
        <v>Bunn G9-1</v>
      </c>
      <c r="H874" s="64" t="str">
        <f t="shared" si="62"/>
        <v/>
      </c>
      <c r="I874" s="63">
        <f>IF($G874="",0,IF(COUNTIF($G$2:$G874,$G874)=1,1,0))</f>
        <v>1</v>
      </c>
      <c r="J874" s="63">
        <f t="shared" si="63"/>
        <v>14</v>
      </c>
      <c r="K874" s="63" t="str">
        <f>IF($H874="","",COUNTIF($H$2:$H874,"?*"))</f>
        <v/>
      </c>
    </row>
    <row r="875" spans="1:11" x14ac:dyDescent="0.25">
      <c r="A875" s="63" t="s">
        <v>1325</v>
      </c>
      <c r="B875" s="63" t="s">
        <v>854</v>
      </c>
      <c r="C875" s="63" t="s">
        <v>556</v>
      </c>
      <c r="D875" s="63" t="str">
        <f>IF('Barn - Front Rack'!B39="","",TRIM('Barn - Front Rack'!B39))</f>
        <v/>
      </c>
      <c r="E875" s="64" t="str">
        <f>IF($D875="","",'Barn - Front Rack'!C39&amp;"")</f>
        <v/>
      </c>
      <c r="F875" s="63">
        <f t="shared" si="64"/>
        <v>0</v>
      </c>
      <c r="G875" s="64" t="str">
        <f t="shared" si="61"/>
        <v/>
      </c>
      <c r="H875" s="64" t="str">
        <f t="shared" si="62"/>
        <v/>
      </c>
      <c r="I875" s="63">
        <f>IF($G875="",0,IF(COUNTIF($G$2:$G875,$G875)=1,1,0))</f>
        <v>0</v>
      </c>
      <c r="J875" s="63" t="str">
        <f t="shared" si="63"/>
        <v/>
      </c>
      <c r="K875" s="63" t="str">
        <f>IF($H875="","",COUNTIF($H$2:$H875,"?*"))</f>
        <v/>
      </c>
    </row>
    <row r="876" spans="1:11" x14ac:dyDescent="0.25">
      <c r="A876" s="63" t="s">
        <v>1325</v>
      </c>
      <c r="B876" s="63" t="s">
        <v>855</v>
      </c>
      <c r="C876" s="63" t="s">
        <v>556</v>
      </c>
      <c r="D876" s="63" t="str">
        <f>IF('Barn - Front Rack'!B40="","",TRIM('Barn - Front Rack'!B40))</f>
        <v/>
      </c>
      <c r="E876" s="64" t="str">
        <f>IF($D876="","",'Barn - Front Rack'!C40&amp;"")</f>
        <v/>
      </c>
      <c r="F876" s="63">
        <f t="shared" si="64"/>
        <v>0</v>
      </c>
      <c r="G876" s="64" t="str">
        <f t="shared" si="61"/>
        <v/>
      </c>
      <c r="H876" s="64" t="str">
        <f t="shared" si="62"/>
        <v/>
      </c>
      <c r="I876" s="63">
        <f>IF($G876="",0,IF(COUNTIF($G$2:$G876,$G876)=1,1,0))</f>
        <v>0</v>
      </c>
      <c r="J876" s="63" t="str">
        <f t="shared" si="63"/>
        <v/>
      </c>
      <c r="K876" s="63" t="str">
        <f>IF($H876="","",COUNTIF($H$2:$H876,"?*"))</f>
        <v/>
      </c>
    </row>
    <row r="877" spans="1:11" x14ac:dyDescent="0.25">
      <c r="A877" s="63" t="s">
        <v>1325</v>
      </c>
      <c r="B877" s="63" t="s">
        <v>856</v>
      </c>
      <c r="C877" s="63" t="s">
        <v>556</v>
      </c>
      <c r="D877" s="63" t="str">
        <f>IF('Barn - Front Rack'!B41="","",TRIM('Barn - Front Rack'!B41))</f>
        <v/>
      </c>
      <c r="E877" s="64" t="str">
        <f>IF($D877="","",'Barn - Front Rack'!C41&amp;"")</f>
        <v/>
      </c>
      <c r="F877" s="63">
        <f t="shared" si="64"/>
        <v>0</v>
      </c>
      <c r="G877" s="64" t="str">
        <f t="shared" si="61"/>
        <v/>
      </c>
      <c r="H877" s="64" t="str">
        <f t="shared" si="62"/>
        <v/>
      </c>
      <c r="I877" s="63">
        <f>IF($G877="",0,IF(COUNTIF($G$2:$G877,$G877)=1,1,0))</f>
        <v>0</v>
      </c>
      <c r="J877" s="63" t="str">
        <f t="shared" si="63"/>
        <v/>
      </c>
      <c r="K877" s="63" t="str">
        <f>IF($H877="","",COUNTIF($H$2:$H877,"?*"))</f>
        <v/>
      </c>
    </row>
    <row r="878" spans="1:11" x14ac:dyDescent="0.25">
      <c r="A878" s="63" t="s">
        <v>1325</v>
      </c>
      <c r="B878" s="63" t="s">
        <v>857</v>
      </c>
      <c r="C878" s="63" t="s">
        <v>556</v>
      </c>
      <c r="D878" s="63" t="str">
        <f>IF('Barn - Front Rack'!D30="","",TRIM('Barn - Front Rack'!D30))</f>
        <v/>
      </c>
      <c r="E878" s="64" t="str">
        <f>IF($D878="","",'Barn - Front Rack'!E30&amp;"")</f>
        <v/>
      </c>
      <c r="F878" s="63">
        <f t="shared" si="64"/>
        <v>0</v>
      </c>
      <c r="G878" s="64" t="str">
        <f t="shared" si="61"/>
        <v/>
      </c>
      <c r="H878" s="64" t="str">
        <f t="shared" si="62"/>
        <v/>
      </c>
      <c r="I878" s="63">
        <f>IF($G878="",0,IF(COUNTIF($G$2:$G878,$G878)=1,1,0))</f>
        <v>0</v>
      </c>
      <c r="J878" s="63" t="str">
        <f t="shared" si="63"/>
        <v/>
      </c>
      <c r="K878" s="63" t="str">
        <f>IF($H878="","",COUNTIF($H$2:$H878,"?*"))</f>
        <v/>
      </c>
    </row>
    <row r="879" spans="1:11" x14ac:dyDescent="0.25">
      <c r="A879" s="63" t="s">
        <v>1325</v>
      </c>
      <c r="B879" s="63" t="s">
        <v>858</v>
      </c>
      <c r="C879" s="63" t="s">
        <v>556</v>
      </c>
      <c r="D879" s="63" t="str">
        <f>IF('Barn - Front Rack'!D31="","",TRIM('Barn - Front Rack'!D31))</f>
        <v/>
      </c>
      <c r="E879" s="64" t="str">
        <f>IF($D879="","",'Barn - Front Rack'!E31&amp;"")</f>
        <v/>
      </c>
      <c r="F879" s="63">
        <f t="shared" si="64"/>
        <v>0</v>
      </c>
      <c r="G879" s="64" t="str">
        <f t="shared" si="61"/>
        <v/>
      </c>
      <c r="H879" s="64" t="str">
        <f t="shared" si="62"/>
        <v/>
      </c>
      <c r="I879" s="63">
        <f>IF($G879="",0,IF(COUNTIF($G$2:$G879,$G879)=1,1,0))</f>
        <v>0</v>
      </c>
      <c r="J879" s="63" t="str">
        <f t="shared" si="63"/>
        <v/>
      </c>
      <c r="K879" s="63" t="str">
        <f>IF($H879="","",COUNTIF($H$2:$H879,"?*"))</f>
        <v/>
      </c>
    </row>
    <row r="880" spans="1:11" x14ac:dyDescent="0.25">
      <c r="A880" s="63" t="s">
        <v>1325</v>
      </c>
      <c r="B880" s="63" t="s">
        <v>859</v>
      </c>
      <c r="C880" s="63" t="s">
        <v>556</v>
      </c>
      <c r="D880" s="63" t="str">
        <f>IF('Barn - Front Rack'!D32="","",TRIM('Barn - Front Rack'!D32))</f>
        <v/>
      </c>
      <c r="E880" s="64" t="str">
        <f>IF($D880="","",'Barn - Front Rack'!E32&amp;"")</f>
        <v/>
      </c>
      <c r="F880" s="63">
        <f t="shared" si="64"/>
        <v>0</v>
      </c>
      <c r="G880" s="64" t="str">
        <f t="shared" si="61"/>
        <v/>
      </c>
      <c r="H880" s="64" t="str">
        <f t="shared" si="62"/>
        <v/>
      </c>
      <c r="I880" s="63">
        <f>IF($G880="",0,IF(COUNTIF($G$2:$G880,$G880)=1,1,0))</f>
        <v>0</v>
      </c>
      <c r="J880" s="63" t="str">
        <f t="shared" si="63"/>
        <v/>
      </c>
      <c r="K880" s="63" t="str">
        <f>IF($H880="","",COUNTIF($H$2:$H880,"?*"))</f>
        <v/>
      </c>
    </row>
    <row r="881" spans="1:11" x14ac:dyDescent="0.25">
      <c r="A881" s="63" t="s">
        <v>1325</v>
      </c>
      <c r="B881" s="63" t="s">
        <v>860</v>
      </c>
      <c r="C881" s="63" t="s">
        <v>556</v>
      </c>
      <c r="D881" s="63" t="str">
        <f>IF('Barn - Front Rack'!D33="","",TRIM('Barn - Front Rack'!D33))</f>
        <v/>
      </c>
      <c r="E881" s="64" t="str">
        <f>IF($D881="","",'Barn - Front Rack'!E33&amp;"")</f>
        <v/>
      </c>
      <c r="F881" s="63">
        <f t="shared" si="64"/>
        <v>0</v>
      </c>
      <c r="G881" s="64" t="str">
        <f t="shared" si="61"/>
        <v/>
      </c>
      <c r="H881" s="64" t="str">
        <f t="shared" si="62"/>
        <v/>
      </c>
      <c r="I881" s="63">
        <f>IF($G881="",0,IF(COUNTIF($G$2:$G881,$G881)=1,1,0))</f>
        <v>0</v>
      </c>
      <c r="J881" s="63" t="str">
        <f t="shared" si="63"/>
        <v/>
      </c>
      <c r="K881" s="63" t="str">
        <f>IF($H881="","",COUNTIF($H$2:$H881,"?*"))</f>
        <v/>
      </c>
    </row>
    <row r="882" spans="1:11" x14ac:dyDescent="0.25">
      <c r="A882" s="63" t="s">
        <v>1325</v>
      </c>
      <c r="B882" s="63" t="s">
        <v>861</v>
      </c>
      <c r="C882" s="63" t="s">
        <v>556</v>
      </c>
      <c r="D882" s="63" t="str">
        <f>IF('Barn - Front Rack'!D34="","",TRIM('Barn - Front Rack'!D34))</f>
        <v/>
      </c>
      <c r="E882" s="64" t="str">
        <f>IF($D882="","",'Barn - Front Rack'!E34&amp;"")</f>
        <v/>
      </c>
      <c r="F882" s="63">
        <f t="shared" si="64"/>
        <v>0</v>
      </c>
      <c r="G882" s="64" t="str">
        <f t="shared" si="61"/>
        <v/>
      </c>
      <c r="H882" s="64" t="str">
        <f t="shared" si="62"/>
        <v/>
      </c>
      <c r="I882" s="63">
        <f>IF($G882="",0,IF(COUNTIF($G$2:$G882,$G882)=1,1,0))</f>
        <v>0</v>
      </c>
      <c r="J882" s="63" t="str">
        <f t="shared" si="63"/>
        <v/>
      </c>
      <c r="K882" s="63" t="str">
        <f>IF($H882="","",COUNTIF($H$2:$H882,"?*"))</f>
        <v/>
      </c>
    </row>
    <row r="883" spans="1:11" x14ac:dyDescent="0.25">
      <c r="A883" s="63" t="s">
        <v>1325</v>
      </c>
      <c r="B883" s="63" t="s">
        <v>862</v>
      </c>
      <c r="C883" s="63" t="s">
        <v>556</v>
      </c>
      <c r="D883" s="63" t="str">
        <f>IF('Barn - Front Rack'!D35="","",TRIM('Barn - Front Rack'!D35))</f>
        <v/>
      </c>
      <c r="E883" s="64" t="str">
        <f>IF($D883="","",'Barn - Front Rack'!E35&amp;"")</f>
        <v/>
      </c>
      <c r="F883" s="63">
        <f t="shared" si="64"/>
        <v>0</v>
      </c>
      <c r="G883" s="64" t="str">
        <f t="shared" si="61"/>
        <v/>
      </c>
      <c r="H883" s="64" t="str">
        <f t="shared" si="62"/>
        <v/>
      </c>
      <c r="I883" s="63">
        <f>IF($G883="",0,IF(COUNTIF($G$2:$G883,$G883)=1,1,0))</f>
        <v>0</v>
      </c>
      <c r="J883" s="63" t="str">
        <f t="shared" si="63"/>
        <v/>
      </c>
      <c r="K883" s="63" t="str">
        <f>IF($H883="","",COUNTIF($H$2:$H883,"?*"))</f>
        <v/>
      </c>
    </row>
    <row r="884" spans="1:11" x14ac:dyDescent="0.25">
      <c r="A884" s="63" t="s">
        <v>1325</v>
      </c>
      <c r="B884" s="63" t="s">
        <v>863</v>
      </c>
      <c r="C884" s="63" t="s">
        <v>556</v>
      </c>
      <c r="D884" s="63" t="str">
        <f>IF('Barn - Front Rack'!D36="","",TRIM('Barn - Front Rack'!D36))</f>
        <v/>
      </c>
      <c r="E884" s="64" t="str">
        <f>IF($D884="","",'Barn - Front Rack'!E36&amp;"")</f>
        <v/>
      </c>
      <c r="F884" s="63">
        <f t="shared" si="64"/>
        <v>0</v>
      </c>
      <c r="G884" s="64" t="str">
        <f t="shared" si="61"/>
        <v/>
      </c>
      <c r="H884" s="64" t="str">
        <f t="shared" si="62"/>
        <v/>
      </c>
      <c r="I884" s="63">
        <f>IF($G884="",0,IF(COUNTIF($G$2:$G884,$G884)=1,1,0))</f>
        <v>0</v>
      </c>
      <c r="J884" s="63" t="str">
        <f t="shared" si="63"/>
        <v/>
      </c>
      <c r="K884" s="63" t="str">
        <f>IF($H884="","",COUNTIF($H$2:$H884,"?*"))</f>
        <v/>
      </c>
    </row>
    <row r="885" spans="1:11" x14ac:dyDescent="0.25">
      <c r="A885" s="63" t="s">
        <v>1325</v>
      </c>
      <c r="B885" s="63" t="s">
        <v>864</v>
      </c>
      <c r="C885" s="63" t="s">
        <v>556</v>
      </c>
      <c r="D885" s="63" t="str">
        <f>IF('Barn - Front Rack'!D37="","",TRIM('Barn - Front Rack'!D37))</f>
        <v/>
      </c>
      <c r="E885" s="64" t="str">
        <f>IF($D885="","",'Barn - Front Rack'!E37&amp;"")</f>
        <v/>
      </c>
      <c r="F885" s="63">
        <f t="shared" si="64"/>
        <v>0</v>
      </c>
      <c r="G885" s="64" t="str">
        <f t="shared" si="61"/>
        <v/>
      </c>
      <c r="H885" s="64" t="str">
        <f t="shared" si="62"/>
        <v/>
      </c>
      <c r="I885" s="63">
        <f>IF($G885="",0,IF(COUNTIF($G$2:$G885,$G885)=1,1,0))</f>
        <v>0</v>
      </c>
      <c r="J885" s="63" t="str">
        <f t="shared" si="63"/>
        <v/>
      </c>
      <c r="K885" s="63" t="str">
        <f>IF($H885="","",COUNTIF($H$2:$H885,"?*"))</f>
        <v/>
      </c>
    </row>
    <row r="886" spans="1:11" x14ac:dyDescent="0.25">
      <c r="A886" s="63" t="s">
        <v>1325</v>
      </c>
      <c r="B886" s="63" t="s">
        <v>865</v>
      </c>
      <c r="C886" s="63" t="s">
        <v>556</v>
      </c>
      <c r="D886" s="63" t="str">
        <f>IF('Barn - Front Rack'!D38="","",TRIM('Barn - Front Rack'!D38))</f>
        <v/>
      </c>
      <c r="E886" s="64" t="str">
        <f>IF($D886="","",'Barn - Front Rack'!E38&amp;"")</f>
        <v/>
      </c>
      <c r="F886" s="63">
        <f t="shared" si="64"/>
        <v>0</v>
      </c>
      <c r="G886" s="64" t="str">
        <f t="shared" si="61"/>
        <v/>
      </c>
      <c r="H886" s="64" t="str">
        <f t="shared" si="62"/>
        <v/>
      </c>
      <c r="I886" s="63">
        <f>IF($G886="",0,IF(COUNTIF($G$2:$G886,$G886)=1,1,0))</f>
        <v>0</v>
      </c>
      <c r="J886" s="63" t="str">
        <f t="shared" si="63"/>
        <v/>
      </c>
      <c r="K886" s="63" t="str">
        <f>IF($H886="","",COUNTIF($H$2:$H886,"?*"))</f>
        <v/>
      </c>
    </row>
    <row r="887" spans="1:11" x14ac:dyDescent="0.25">
      <c r="A887" s="63" t="s">
        <v>1325</v>
      </c>
      <c r="B887" s="63" t="s">
        <v>866</v>
      </c>
      <c r="C887" s="63" t="s">
        <v>556</v>
      </c>
      <c r="D887" s="63" t="str">
        <f>IF('Barn - Front Rack'!D39="","",TRIM('Barn - Front Rack'!D39))</f>
        <v/>
      </c>
      <c r="E887" s="64" t="str">
        <f>IF($D887="","",'Barn - Front Rack'!E39&amp;"")</f>
        <v/>
      </c>
      <c r="F887" s="63">
        <f t="shared" si="64"/>
        <v>0</v>
      </c>
      <c r="G887" s="64" t="str">
        <f t="shared" si="61"/>
        <v/>
      </c>
      <c r="H887" s="64" t="str">
        <f t="shared" si="62"/>
        <v/>
      </c>
      <c r="I887" s="63">
        <f>IF($G887="",0,IF(COUNTIF($G$2:$G887,$G887)=1,1,0))</f>
        <v>0</v>
      </c>
      <c r="J887" s="63" t="str">
        <f t="shared" si="63"/>
        <v/>
      </c>
      <c r="K887" s="63" t="str">
        <f>IF($H887="","",COUNTIF($H$2:$H887,"?*"))</f>
        <v/>
      </c>
    </row>
    <row r="888" spans="1:11" x14ac:dyDescent="0.25">
      <c r="A888" s="63" t="s">
        <v>1325</v>
      </c>
      <c r="B888" s="63" t="s">
        <v>867</v>
      </c>
      <c r="C888" s="63" t="s">
        <v>556</v>
      </c>
      <c r="D888" s="63" t="str">
        <f>IF('Barn - Front Rack'!D40="","",TRIM('Barn - Front Rack'!D40))</f>
        <v/>
      </c>
      <c r="E888" s="64" t="str">
        <f>IF($D888="","",'Barn - Front Rack'!E40&amp;"")</f>
        <v/>
      </c>
      <c r="F888" s="63">
        <f t="shared" si="64"/>
        <v>0</v>
      </c>
      <c r="G888" s="64" t="str">
        <f t="shared" si="61"/>
        <v/>
      </c>
      <c r="H888" s="64" t="str">
        <f t="shared" si="62"/>
        <v/>
      </c>
      <c r="I888" s="63">
        <f>IF($G888="",0,IF(COUNTIF($G$2:$G888,$G888)=1,1,0))</f>
        <v>0</v>
      </c>
      <c r="J888" s="63" t="str">
        <f t="shared" si="63"/>
        <v/>
      </c>
      <c r="K888" s="63" t="str">
        <f>IF($H888="","",COUNTIF($H$2:$H888,"?*"))</f>
        <v/>
      </c>
    </row>
    <row r="889" spans="1:11" x14ac:dyDescent="0.25">
      <c r="A889" s="63" t="s">
        <v>1325</v>
      </c>
      <c r="B889" s="63" t="s">
        <v>868</v>
      </c>
      <c r="C889" s="63" t="s">
        <v>556</v>
      </c>
      <c r="D889" s="63" t="str">
        <f>IF('Barn - Front Rack'!D41="","",TRIM('Barn - Front Rack'!D41))</f>
        <v/>
      </c>
      <c r="E889" s="64" t="str">
        <f>IF($D889="","",'Barn - Front Rack'!E41&amp;"")</f>
        <v/>
      </c>
      <c r="F889" s="63">
        <f t="shared" si="64"/>
        <v>0</v>
      </c>
      <c r="G889" s="64" t="str">
        <f t="shared" si="61"/>
        <v/>
      </c>
      <c r="H889" s="64" t="str">
        <f t="shared" si="62"/>
        <v/>
      </c>
      <c r="I889" s="63">
        <f>IF($G889="",0,IF(COUNTIF($G$2:$G889,$G889)=1,1,0))</f>
        <v>0</v>
      </c>
      <c r="J889" s="63" t="str">
        <f t="shared" si="63"/>
        <v/>
      </c>
      <c r="K889" s="63" t="str">
        <f>IF($H889="","",COUNTIF($H$2:$H889,"?*"))</f>
        <v/>
      </c>
    </row>
    <row r="890" spans="1:11" x14ac:dyDescent="0.25">
      <c r="A890" s="63" t="s">
        <v>1325</v>
      </c>
      <c r="B890" s="63" t="s">
        <v>869</v>
      </c>
      <c r="C890" s="63" t="s">
        <v>556</v>
      </c>
      <c r="D890" s="63" t="str">
        <f>IF('Barn - Front Rack'!F30="","",TRIM('Barn - Front Rack'!F30))</f>
        <v/>
      </c>
      <c r="E890" s="64" t="str">
        <f>IF($D890="","",'Barn - Front Rack'!G30&amp;"")</f>
        <v/>
      </c>
      <c r="F890" s="63">
        <f t="shared" si="64"/>
        <v>0</v>
      </c>
      <c r="G890" s="64" t="str">
        <f t="shared" si="61"/>
        <v/>
      </c>
      <c r="H890" s="64" t="str">
        <f t="shared" si="62"/>
        <v/>
      </c>
      <c r="I890" s="63">
        <f>IF($G890="",0,IF(COUNTIF($G$2:$G890,$G890)=1,1,0))</f>
        <v>0</v>
      </c>
      <c r="J890" s="63" t="str">
        <f t="shared" si="63"/>
        <v/>
      </c>
      <c r="K890" s="63" t="str">
        <f>IF($H890="","",COUNTIF($H$2:$H890,"?*"))</f>
        <v/>
      </c>
    </row>
    <row r="891" spans="1:11" x14ac:dyDescent="0.25">
      <c r="A891" s="63" t="s">
        <v>1325</v>
      </c>
      <c r="B891" s="63" t="s">
        <v>870</v>
      </c>
      <c r="C891" s="63" t="s">
        <v>556</v>
      </c>
      <c r="D891" s="63" t="str">
        <f>IF('Barn - Front Rack'!F31="","",TRIM('Barn - Front Rack'!F31))</f>
        <v/>
      </c>
      <c r="E891" s="64" t="str">
        <f>IF($D891="","",'Barn - Front Rack'!G31&amp;"")</f>
        <v/>
      </c>
      <c r="F891" s="63">
        <f t="shared" si="64"/>
        <v>0</v>
      </c>
      <c r="G891" s="64" t="str">
        <f t="shared" si="61"/>
        <v/>
      </c>
      <c r="H891" s="64" t="str">
        <f t="shared" si="62"/>
        <v/>
      </c>
      <c r="I891" s="63">
        <f>IF($G891="",0,IF(COUNTIF($G$2:$G891,$G891)=1,1,0))</f>
        <v>0</v>
      </c>
      <c r="J891" s="63" t="str">
        <f t="shared" si="63"/>
        <v/>
      </c>
      <c r="K891" s="63" t="str">
        <f>IF($H891="","",COUNTIF($H$2:$H891,"?*"))</f>
        <v/>
      </c>
    </row>
    <row r="892" spans="1:11" x14ac:dyDescent="0.25">
      <c r="A892" s="63" t="s">
        <v>1325</v>
      </c>
      <c r="B892" s="63" t="s">
        <v>871</v>
      </c>
      <c r="C892" s="63" t="s">
        <v>556</v>
      </c>
      <c r="D892" s="63" t="str">
        <f>IF('Barn - Front Rack'!F32="","",TRIM('Barn - Front Rack'!F32))</f>
        <v/>
      </c>
      <c r="E892" s="64" t="str">
        <f>IF($D892="","",'Barn - Front Rack'!G32&amp;"")</f>
        <v/>
      </c>
      <c r="F892" s="63">
        <f t="shared" si="64"/>
        <v>0</v>
      </c>
      <c r="G892" s="64" t="str">
        <f t="shared" si="61"/>
        <v/>
      </c>
      <c r="H892" s="64" t="str">
        <f t="shared" si="62"/>
        <v/>
      </c>
      <c r="I892" s="63">
        <f>IF($G892="",0,IF(COUNTIF($G$2:$G892,$G892)=1,1,0))</f>
        <v>0</v>
      </c>
      <c r="J892" s="63" t="str">
        <f t="shared" si="63"/>
        <v/>
      </c>
      <c r="K892" s="63" t="str">
        <f>IF($H892="","",COUNTIF($H$2:$H892,"?*"))</f>
        <v/>
      </c>
    </row>
    <row r="893" spans="1:11" x14ac:dyDescent="0.25">
      <c r="A893" s="63" t="s">
        <v>1325</v>
      </c>
      <c r="B893" s="63" t="s">
        <v>872</v>
      </c>
      <c r="C893" s="63" t="s">
        <v>556</v>
      </c>
      <c r="D893" s="63" t="str">
        <f>IF('Barn - Front Rack'!F33="","",TRIM('Barn - Front Rack'!F33))</f>
        <v/>
      </c>
      <c r="E893" s="64" t="str">
        <f>IF($D893="","",'Barn - Front Rack'!G33&amp;"")</f>
        <v/>
      </c>
      <c r="F893" s="63">
        <f t="shared" si="64"/>
        <v>0</v>
      </c>
      <c r="G893" s="64" t="str">
        <f t="shared" si="61"/>
        <v/>
      </c>
      <c r="H893" s="64" t="str">
        <f t="shared" si="62"/>
        <v/>
      </c>
      <c r="I893" s="63">
        <f>IF($G893="",0,IF(COUNTIF($G$2:$G893,$G893)=1,1,0))</f>
        <v>0</v>
      </c>
      <c r="J893" s="63" t="str">
        <f t="shared" si="63"/>
        <v/>
      </c>
      <c r="K893" s="63" t="str">
        <f>IF($H893="","",COUNTIF($H$2:$H893,"?*"))</f>
        <v/>
      </c>
    </row>
    <row r="894" spans="1:11" x14ac:dyDescent="0.25">
      <c r="A894" s="63" t="s">
        <v>1325</v>
      </c>
      <c r="B894" s="63" t="s">
        <v>873</v>
      </c>
      <c r="C894" s="63" t="s">
        <v>556</v>
      </c>
      <c r="D894" s="63" t="str">
        <f>IF('Barn - Front Rack'!F34="","",TRIM('Barn - Front Rack'!F34))</f>
        <v/>
      </c>
      <c r="E894" s="64" t="str">
        <f>IF($D894="","",'Barn - Front Rack'!G34&amp;"")</f>
        <v/>
      </c>
      <c r="F894" s="63">
        <f t="shared" si="64"/>
        <v>0</v>
      </c>
      <c r="G894" s="64" t="str">
        <f t="shared" si="61"/>
        <v/>
      </c>
      <c r="H894" s="64" t="str">
        <f t="shared" si="62"/>
        <v/>
      </c>
      <c r="I894" s="63">
        <f>IF($G894="",0,IF(COUNTIF($G$2:$G894,$G894)=1,1,0))</f>
        <v>0</v>
      </c>
      <c r="J894" s="63" t="str">
        <f t="shared" si="63"/>
        <v/>
      </c>
      <c r="K894" s="63" t="str">
        <f>IF($H894="","",COUNTIF($H$2:$H894,"?*"))</f>
        <v/>
      </c>
    </row>
    <row r="895" spans="1:11" x14ac:dyDescent="0.25">
      <c r="A895" s="63" t="s">
        <v>1325</v>
      </c>
      <c r="B895" s="63" t="s">
        <v>874</v>
      </c>
      <c r="C895" s="63" t="s">
        <v>556</v>
      </c>
      <c r="D895" s="63" t="str">
        <f>IF('Barn - Front Rack'!F35="","",TRIM('Barn - Front Rack'!F35))</f>
        <v/>
      </c>
      <c r="E895" s="64" t="str">
        <f>IF($D895="","",'Barn - Front Rack'!G35&amp;"")</f>
        <v/>
      </c>
      <c r="F895" s="63">
        <f t="shared" si="64"/>
        <v>0</v>
      </c>
      <c r="G895" s="64" t="str">
        <f t="shared" si="61"/>
        <v/>
      </c>
      <c r="H895" s="64" t="str">
        <f t="shared" si="62"/>
        <v/>
      </c>
      <c r="I895" s="63">
        <f>IF($G895="",0,IF(COUNTIF($G$2:$G895,$G895)=1,1,0))</f>
        <v>0</v>
      </c>
      <c r="J895" s="63" t="str">
        <f t="shared" si="63"/>
        <v/>
      </c>
      <c r="K895" s="63" t="str">
        <f>IF($H895="","",COUNTIF($H$2:$H895,"?*"))</f>
        <v/>
      </c>
    </row>
    <row r="896" spans="1:11" x14ac:dyDescent="0.25">
      <c r="A896" s="63" t="s">
        <v>1325</v>
      </c>
      <c r="B896" s="63" t="s">
        <v>875</v>
      </c>
      <c r="C896" s="63" t="s">
        <v>556</v>
      </c>
      <c r="D896" s="63" t="str">
        <f>IF('Barn - Front Rack'!F36="","",TRIM('Barn - Front Rack'!F36))</f>
        <v/>
      </c>
      <c r="E896" s="64" t="str">
        <f>IF($D896="","",'Barn - Front Rack'!G36&amp;"")</f>
        <v/>
      </c>
      <c r="F896" s="63">
        <f t="shared" si="64"/>
        <v>0</v>
      </c>
      <c r="G896" s="64" t="str">
        <f t="shared" si="61"/>
        <v/>
      </c>
      <c r="H896" s="64" t="str">
        <f t="shared" si="62"/>
        <v/>
      </c>
      <c r="I896" s="63">
        <f>IF($G896="",0,IF(COUNTIF($G$2:$G896,$G896)=1,1,0))</f>
        <v>0</v>
      </c>
      <c r="J896" s="63" t="str">
        <f t="shared" si="63"/>
        <v/>
      </c>
      <c r="K896" s="63" t="str">
        <f>IF($H896="","",COUNTIF($H$2:$H896,"?*"))</f>
        <v/>
      </c>
    </row>
    <row r="897" spans="1:11" x14ac:dyDescent="0.25">
      <c r="A897" s="63" t="s">
        <v>1325</v>
      </c>
      <c r="B897" s="63" t="s">
        <v>876</v>
      </c>
      <c r="C897" s="63" t="s">
        <v>556</v>
      </c>
      <c r="D897" s="63" t="str">
        <f>IF('Barn - Front Rack'!F37="","",TRIM('Barn - Front Rack'!F37))</f>
        <v/>
      </c>
      <c r="E897" s="64" t="str">
        <f>IF($D897="","",'Barn - Front Rack'!G37&amp;"")</f>
        <v/>
      </c>
      <c r="F897" s="63">
        <f t="shared" si="64"/>
        <v>0</v>
      </c>
      <c r="G897" s="64" t="str">
        <f t="shared" si="61"/>
        <v/>
      </c>
      <c r="H897" s="64" t="str">
        <f t="shared" si="62"/>
        <v/>
      </c>
      <c r="I897" s="63">
        <f>IF($G897="",0,IF(COUNTIF($G$2:$G897,$G897)=1,1,0))</f>
        <v>0</v>
      </c>
      <c r="J897" s="63" t="str">
        <f t="shared" si="63"/>
        <v/>
      </c>
      <c r="K897" s="63" t="str">
        <f>IF($H897="","",COUNTIF($H$2:$H897,"?*"))</f>
        <v/>
      </c>
    </row>
    <row r="898" spans="1:11" x14ac:dyDescent="0.25">
      <c r="A898" s="63" t="s">
        <v>1325</v>
      </c>
      <c r="B898" s="63" t="s">
        <v>877</v>
      </c>
      <c r="C898" s="63" t="s">
        <v>556</v>
      </c>
      <c r="D898" s="63" t="str">
        <f>IF('Barn - Front Rack'!F38="","",TRIM('Barn - Front Rack'!F38))</f>
        <v/>
      </c>
      <c r="E898" s="64" t="str">
        <f>IF($D898="","",'Barn - Front Rack'!G38&amp;"")</f>
        <v/>
      </c>
      <c r="F898" s="63">
        <f t="shared" si="64"/>
        <v>0</v>
      </c>
      <c r="G898" s="64" t="str">
        <f t="shared" ref="G898:G961" si="65">IF($D898="","",IF(ISNUMBER(FIND("(",$D898)),TRIM(LEFT($D898,FIND("(",$D898)-1)),$D898))</f>
        <v/>
      </c>
      <c r="H898" s="64" t="str">
        <f t="shared" ref="H898:H961" si="66">IF($D898="","",IF(ISNUMBER(FIND("(",$D898)),TRIM(SUBSTITUTE(MID($D898,FIND("(",$D898)+1,200),")","")),""))</f>
        <v/>
      </c>
      <c r="I898" s="63">
        <f>IF($G898="",0,IF(COUNTIF($G$2:$G898,$G898)=1,1,0))</f>
        <v>0</v>
      </c>
      <c r="J898" s="63" t="str">
        <f t="shared" ref="J898:J961" si="67">IF($I898=0,"",SUMPRODUCT(($I$2:$I$1513=1)*($G$2:$G$1513&lt;$G898))+1)</f>
        <v/>
      </c>
      <c r="K898" s="63" t="str">
        <f>IF($H898="","",COUNTIF($H$2:$H898,"?*"))</f>
        <v/>
      </c>
    </row>
    <row r="899" spans="1:11" x14ac:dyDescent="0.25">
      <c r="A899" s="63" t="s">
        <v>1325</v>
      </c>
      <c r="B899" s="63" t="s">
        <v>878</v>
      </c>
      <c r="C899" s="63" t="s">
        <v>556</v>
      </c>
      <c r="D899" s="63" t="str">
        <f>IF('Barn - Front Rack'!F39="","",TRIM('Barn - Front Rack'!F39))</f>
        <v/>
      </c>
      <c r="E899" s="64" t="str">
        <f>IF($D899="","",'Barn - Front Rack'!G39&amp;"")</f>
        <v/>
      </c>
      <c r="F899" s="63">
        <f t="shared" si="64"/>
        <v>0</v>
      </c>
      <c r="G899" s="64" t="str">
        <f t="shared" si="65"/>
        <v/>
      </c>
      <c r="H899" s="64" t="str">
        <f t="shared" si="66"/>
        <v/>
      </c>
      <c r="I899" s="63">
        <f>IF($G899="",0,IF(COUNTIF($G$2:$G899,$G899)=1,1,0))</f>
        <v>0</v>
      </c>
      <c r="J899" s="63" t="str">
        <f t="shared" si="67"/>
        <v/>
      </c>
      <c r="K899" s="63" t="str">
        <f>IF($H899="","",COUNTIF($H$2:$H899,"?*"))</f>
        <v/>
      </c>
    </row>
    <row r="900" spans="1:11" x14ac:dyDescent="0.25">
      <c r="A900" s="63" t="s">
        <v>1325</v>
      </c>
      <c r="B900" s="63" t="s">
        <v>879</v>
      </c>
      <c r="C900" s="63" t="s">
        <v>556</v>
      </c>
      <c r="D900" s="63" t="str">
        <f>IF('Barn - Front Rack'!F40="","",TRIM('Barn - Front Rack'!F40))</f>
        <v/>
      </c>
      <c r="E900" s="64" t="str">
        <f>IF($D900="","",'Barn - Front Rack'!G40&amp;"")</f>
        <v/>
      </c>
      <c r="F900" s="63">
        <f t="shared" si="64"/>
        <v>0</v>
      </c>
      <c r="G900" s="64" t="str">
        <f t="shared" si="65"/>
        <v/>
      </c>
      <c r="H900" s="64" t="str">
        <f t="shared" si="66"/>
        <v/>
      </c>
      <c r="I900" s="63">
        <f>IF($G900="",0,IF(COUNTIF($G$2:$G900,$G900)=1,1,0))</f>
        <v>0</v>
      </c>
      <c r="J900" s="63" t="str">
        <f t="shared" si="67"/>
        <v/>
      </c>
      <c r="K900" s="63" t="str">
        <f>IF($H900="","",COUNTIF($H$2:$H900,"?*"))</f>
        <v/>
      </c>
    </row>
    <row r="901" spans="1:11" x14ac:dyDescent="0.25">
      <c r="A901" s="63" t="s">
        <v>1325</v>
      </c>
      <c r="B901" s="63" t="s">
        <v>880</v>
      </c>
      <c r="C901" s="63" t="s">
        <v>556</v>
      </c>
      <c r="D901" s="63" t="str">
        <f>IF('Barn - Front Rack'!F41="","",TRIM('Barn - Front Rack'!F41))</f>
        <v/>
      </c>
      <c r="E901" s="64" t="str">
        <f>IF($D901="","",'Barn - Front Rack'!G41&amp;"")</f>
        <v/>
      </c>
      <c r="F901" s="63">
        <f t="shared" si="64"/>
        <v>0</v>
      </c>
      <c r="G901" s="64" t="str">
        <f t="shared" si="65"/>
        <v/>
      </c>
      <c r="H901" s="64" t="str">
        <f t="shared" si="66"/>
        <v/>
      </c>
      <c r="I901" s="63">
        <f>IF($G901="",0,IF(COUNTIF($G$2:$G901,$G901)=1,1,0))</f>
        <v>0</v>
      </c>
      <c r="J901" s="63" t="str">
        <f t="shared" si="67"/>
        <v/>
      </c>
      <c r="K901" s="63" t="str">
        <f>IF($H901="","",COUNTIF($H$2:$H901,"?*"))</f>
        <v/>
      </c>
    </row>
    <row r="902" spans="1:11" x14ac:dyDescent="0.25">
      <c r="A902" s="63" t="s">
        <v>1325</v>
      </c>
      <c r="B902" s="63" t="s">
        <v>881</v>
      </c>
      <c r="C902" s="63" t="s">
        <v>556</v>
      </c>
      <c r="D902" s="63" t="str">
        <f>IF('Barn - Front Rack'!H30="","",TRIM('Barn - Front Rack'!H30))</f>
        <v/>
      </c>
      <c r="E902" s="64" t="str">
        <f>IF($D902="","",'Barn - Front Rack'!I30&amp;"")</f>
        <v/>
      </c>
      <c r="F902" s="63">
        <f t="shared" si="64"/>
        <v>0</v>
      </c>
      <c r="G902" s="64" t="str">
        <f t="shared" si="65"/>
        <v/>
      </c>
      <c r="H902" s="64" t="str">
        <f t="shared" si="66"/>
        <v/>
      </c>
      <c r="I902" s="63">
        <f>IF($G902="",0,IF(COUNTIF($G$2:$G902,$G902)=1,1,0))</f>
        <v>0</v>
      </c>
      <c r="J902" s="63" t="str">
        <f t="shared" si="67"/>
        <v/>
      </c>
      <c r="K902" s="63" t="str">
        <f>IF($H902="","",COUNTIF($H$2:$H902,"?*"))</f>
        <v/>
      </c>
    </row>
    <row r="903" spans="1:11" x14ac:dyDescent="0.25">
      <c r="A903" s="63" t="s">
        <v>1325</v>
      </c>
      <c r="B903" s="63" t="s">
        <v>882</v>
      </c>
      <c r="C903" s="63" t="s">
        <v>556</v>
      </c>
      <c r="D903" s="63" t="str">
        <f>IF('Barn - Front Rack'!H31="","",TRIM('Barn - Front Rack'!H31))</f>
        <v/>
      </c>
      <c r="E903" s="64" t="str">
        <f>IF($D903="","",'Barn - Front Rack'!I31&amp;"")</f>
        <v/>
      </c>
      <c r="F903" s="63">
        <f t="shared" si="64"/>
        <v>0</v>
      </c>
      <c r="G903" s="64" t="str">
        <f t="shared" si="65"/>
        <v/>
      </c>
      <c r="H903" s="64" t="str">
        <f t="shared" si="66"/>
        <v/>
      </c>
      <c r="I903" s="63">
        <f>IF($G903="",0,IF(COUNTIF($G$2:$G903,$G903)=1,1,0))</f>
        <v>0</v>
      </c>
      <c r="J903" s="63" t="str">
        <f t="shared" si="67"/>
        <v/>
      </c>
      <c r="K903" s="63" t="str">
        <f>IF($H903="","",COUNTIF($H$2:$H903,"?*"))</f>
        <v/>
      </c>
    </row>
    <row r="904" spans="1:11" x14ac:dyDescent="0.25">
      <c r="A904" s="63" t="s">
        <v>1325</v>
      </c>
      <c r="B904" s="63" t="s">
        <v>883</v>
      </c>
      <c r="C904" s="63" t="s">
        <v>556</v>
      </c>
      <c r="D904" s="63" t="str">
        <f>IF('Barn - Front Rack'!H32="","",TRIM('Barn - Front Rack'!H32))</f>
        <v/>
      </c>
      <c r="E904" s="64" t="str">
        <f>IF($D904="","",'Barn - Front Rack'!I32&amp;"")</f>
        <v/>
      </c>
      <c r="F904" s="63">
        <f t="shared" si="64"/>
        <v>0</v>
      </c>
      <c r="G904" s="64" t="str">
        <f t="shared" si="65"/>
        <v/>
      </c>
      <c r="H904" s="64" t="str">
        <f t="shared" si="66"/>
        <v/>
      </c>
      <c r="I904" s="63">
        <f>IF($G904="",0,IF(COUNTIF($G$2:$G904,$G904)=1,1,0))</f>
        <v>0</v>
      </c>
      <c r="J904" s="63" t="str">
        <f t="shared" si="67"/>
        <v/>
      </c>
      <c r="K904" s="63" t="str">
        <f>IF($H904="","",COUNTIF($H$2:$H904,"?*"))</f>
        <v/>
      </c>
    </row>
    <row r="905" spans="1:11" x14ac:dyDescent="0.25">
      <c r="A905" s="63" t="s">
        <v>1325</v>
      </c>
      <c r="B905" s="63" t="s">
        <v>884</v>
      </c>
      <c r="C905" s="63" t="s">
        <v>556</v>
      </c>
      <c r="D905" s="63" t="str">
        <f>IF('Barn - Front Rack'!H33="","",TRIM('Barn - Front Rack'!H33))</f>
        <v/>
      </c>
      <c r="E905" s="64" t="str">
        <f>IF($D905="","",'Barn - Front Rack'!I33&amp;"")</f>
        <v/>
      </c>
      <c r="F905" s="63">
        <f t="shared" si="64"/>
        <v>0</v>
      </c>
      <c r="G905" s="64" t="str">
        <f t="shared" si="65"/>
        <v/>
      </c>
      <c r="H905" s="64" t="str">
        <f t="shared" si="66"/>
        <v/>
      </c>
      <c r="I905" s="63">
        <f>IF($G905="",0,IF(COUNTIF($G$2:$G905,$G905)=1,1,0))</f>
        <v>0</v>
      </c>
      <c r="J905" s="63" t="str">
        <f t="shared" si="67"/>
        <v/>
      </c>
      <c r="K905" s="63" t="str">
        <f>IF($H905="","",COUNTIF($H$2:$H905,"?*"))</f>
        <v/>
      </c>
    </row>
    <row r="906" spans="1:11" x14ac:dyDescent="0.25">
      <c r="A906" s="63" t="s">
        <v>1325</v>
      </c>
      <c r="B906" s="63" t="s">
        <v>885</v>
      </c>
      <c r="C906" s="63" t="s">
        <v>556</v>
      </c>
      <c r="D906" s="63" t="str">
        <f>IF('Barn - Front Rack'!H34="","",TRIM('Barn - Front Rack'!H34))</f>
        <v/>
      </c>
      <c r="E906" s="64" t="str">
        <f>IF($D906="","",'Barn - Front Rack'!I34&amp;"")</f>
        <v/>
      </c>
      <c r="F906" s="63">
        <f t="shared" ref="F906:F969" si="68">IF($D906="",0,1)</f>
        <v>0</v>
      </c>
      <c r="G906" s="64" t="str">
        <f t="shared" si="65"/>
        <v/>
      </c>
      <c r="H906" s="64" t="str">
        <f t="shared" si="66"/>
        <v/>
      </c>
      <c r="I906" s="63">
        <f>IF($G906="",0,IF(COUNTIF($G$2:$G906,$G906)=1,1,0))</f>
        <v>0</v>
      </c>
      <c r="J906" s="63" t="str">
        <f t="shared" si="67"/>
        <v/>
      </c>
      <c r="K906" s="63" t="str">
        <f>IF($H906="","",COUNTIF($H$2:$H906,"?*"))</f>
        <v/>
      </c>
    </row>
    <row r="907" spans="1:11" x14ac:dyDescent="0.25">
      <c r="A907" s="63" t="s">
        <v>1325</v>
      </c>
      <c r="B907" s="63" t="s">
        <v>886</v>
      </c>
      <c r="C907" s="63" t="s">
        <v>556</v>
      </c>
      <c r="D907" s="63" t="str">
        <f>IF('Barn - Front Rack'!H35="","",TRIM('Barn - Front Rack'!H35))</f>
        <v/>
      </c>
      <c r="E907" s="64" t="str">
        <f>IF($D907="","",'Barn - Front Rack'!I35&amp;"")</f>
        <v/>
      </c>
      <c r="F907" s="63">
        <f t="shared" si="68"/>
        <v>0</v>
      </c>
      <c r="G907" s="64" t="str">
        <f t="shared" si="65"/>
        <v/>
      </c>
      <c r="H907" s="64" t="str">
        <f t="shared" si="66"/>
        <v/>
      </c>
      <c r="I907" s="63">
        <f>IF($G907="",0,IF(COUNTIF($G$2:$G907,$G907)=1,1,0))</f>
        <v>0</v>
      </c>
      <c r="J907" s="63" t="str">
        <f t="shared" si="67"/>
        <v/>
      </c>
      <c r="K907" s="63" t="str">
        <f>IF($H907="","",COUNTIF($H$2:$H907,"?*"))</f>
        <v/>
      </c>
    </row>
    <row r="908" spans="1:11" x14ac:dyDescent="0.25">
      <c r="A908" s="63" t="s">
        <v>1325</v>
      </c>
      <c r="B908" s="63" t="s">
        <v>887</v>
      </c>
      <c r="C908" s="63" t="s">
        <v>556</v>
      </c>
      <c r="D908" s="63" t="str">
        <f>IF('Barn - Front Rack'!H36="","",TRIM('Barn - Front Rack'!H36))</f>
        <v/>
      </c>
      <c r="E908" s="64" t="str">
        <f>IF($D908="","",'Barn - Front Rack'!I36&amp;"")</f>
        <v/>
      </c>
      <c r="F908" s="63">
        <f t="shared" si="68"/>
        <v>0</v>
      </c>
      <c r="G908" s="64" t="str">
        <f t="shared" si="65"/>
        <v/>
      </c>
      <c r="H908" s="64" t="str">
        <f t="shared" si="66"/>
        <v/>
      </c>
      <c r="I908" s="63">
        <f>IF($G908="",0,IF(COUNTIF($G$2:$G908,$G908)=1,1,0))</f>
        <v>0</v>
      </c>
      <c r="J908" s="63" t="str">
        <f t="shared" si="67"/>
        <v/>
      </c>
      <c r="K908" s="63" t="str">
        <f>IF($H908="","",COUNTIF($H$2:$H908,"?*"))</f>
        <v/>
      </c>
    </row>
    <row r="909" spans="1:11" x14ac:dyDescent="0.25">
      <c r="A909" s="63" t="s">
        <v>1325</v>
      </c>
      <c r="B909" s="63" t="s">
        <v>888</v>
      </c>
      <c r="C909" s="63" t="s">
        <v>556</v>
      </c>
      <c r="D909" s="63" t="str">
        <f>IF('Barn - Front Rack'!H37="","",TRIM('Barn - Front Rack'!H37))</f>
        <v/>
      </c>
      <c r="E909" s="64" t="str">
        <f>IF($D909="","",'Barn - Front Rack'!I37&amp;"")</f>
        <v/>
      </c>
      <c r="F909" s="63">
        <f t="shared" si="68"/>
        <v>0</v>
      </c>
      <c r="G909" s="64" t="str">
        <f t="shared" si="65"/>
        <v/>
      </c>
      <c r="H909" s="64" t="str">
        <f t="shared" si="66"/>
        <v/>
      </c>
      <c r="I909" s="63">
        <f>IF($G909="",0,IF(COUNTIF($G$2:$G909,$G909)=1,1,0))</f>
        <v>0</v>
      </c>
      <c r="J909" s="63" t="str">
        <f t="shared" si="67"/>
        <v/>
      </c>
      <c r="K909" s="63" t="str">
        <f>IF($H909="","",COUNTIF($H$2:$H909,"?*"))</f>
        <v/>
      </c>
    </row>
    <row r="910" spans="1:11" x14ac:dyDescent="0.25">
      <c r="A910" s="63" t="s">
        <v>1325</v>
      </c>
      <c r="B910" s="63" t="s">
        <v>889</v>
      </c>
      <c r="C910" s="63" t="s">
        <v>556</v>
      </c>
      <c r="D910" s="63" t="str">
        <f>IF('Barn - Front Rack'!H38="","",TRIM('Barn - Front Rack'!H38))</f>
        <v/>
      </c>
      <c r="E910" s="64" t="str">
        <f>IF($D910="","",'Barn - Front Rack'!I38&amp;"")</f>
        <v/>
      </c>
      <c r="F910" s="63">
        <f t="shared" si="68"/>
        <v>0</v>
      </c>
      <c r="G910" s="64" t="str">
        <f t="shared" si="65"/>
        <v/>
      </c>
      <c r="H910" s="64" t="str">
        <f t="shared" si="66"/>
        <v/>
      </c>
      <c r="I910" s="63">
        <f>IF($G910="",0,IF(COUNTIF($G$2:$G910,$G910)=1,1,0))</f>
        <v>0</v>
      </c>
      <c r="J910" s="63" t="str">
        <f t="shared" si="67"/>
        <v/>
      </c>
      <c r="K910" s="63" t="str">
        <f>IF($H910="","",COUNTIF($H$2:$H910,"?*"))</f>
        <v/>
      </c>
    </row>
    <row r="911" spans="1:11" x14ac:dyDescent="0.25">
      <c r="A911" s="63" t="s">
        <v>1325</v>
      </c>
      <c r="B911" s="63" t="s">
        <v>890</v>
      </c>
      <c r="C911" s="63" t="s">
        <v>556</v>
      </c>
      <c r="D911" s="63" t="str">
        <f>IF('Barn - Front Rack'!H39="","",TRIM('Barn - Front Rack'!H39))</f>
        <v/>
      </c>
      <c r="E911" s="64" t="str">
        <f>IF($D911="","",'Barn - Front Rack'!I39&amp;"")</f>
        <v/>
      </c>
      <c r="F911" s="63">
        <f t="shared" si="68"/>
        <v>0</v>
      </c>
      <c r="G911" s="64" t="str">
        <f t="shared" si="65"/>
        <v/>
      </c>
      <c r="H911" s="64" t="str">
        <f t="shared" si="66"/>
        <v/>
      </c>
      <c r="I911" s="63">
        <f>IF($G911="",0,IF(COUNTIF($G$2:$G911,$G911)=1,1,0))</f>
        <v>0</v>
      </c>
      <c r="J911" s="63" t="str">
        <f t="shared" si="67"/>
        <v/>
      </c>
      <c r="K911" s="63" t="str">
        <f>IF($H911="","",COUNTIF($H$2:$H911,"?*"))</f>
        <v/>
      </c>
    </row>
    <row r="912" spans="1:11" x14ac:dyDescent="0.25">
      <c r="A912" s="63" t="s">
        <v>1325</v>
      </c>
      <c r="B912" s="63" t="s">
        <v>891</v>
      </c>
      <c r="C912" s="63" t="s">
        <v>556</v>
      </c>
      <c r="D912" s="63" t="str">
        <f>IF('Barn - Front Rack'!H40="","",TRIM('Barn - Front Rack'!H40))</f>
        <v/>
      </c>
      <c r="E912" s="64" t="str">
        <f>IF($D912="","",'Barn - Front Rack'!I40&amp;"")</f>
        <v/>
      </c>
      <c r="F912" s="63">
        <f t="shared" si="68"/>
        <v>0</v>
      </c>
      <c r="G912" s="64" t="str">
        <f t="shared" si="65"/>
        <v/>
      </c>
      <c r="H912" s="64" t="str">
        <f t="shared" si="66"/>
        <v/>
      </c>
      <c r="I912" s="63">
        <f>IF($G912="",0,IF(COUNTIF($G$2:$G912,$G912)=1,1,0))</f>
        <v>0</v>
      </c>
      <c r="J912" s="63" t="str">
        <f t="shared" si="67"/>
        <v/>
      </c>
      <c r="K912" s="63" t="str">
        <f>IF($H912="","",COUNTIF($H$2:$H912,"?*"))</f>
        <v/>
      </c>
    </row>
    <row r="913" spans="1:11" x14ac:dyDescent="0.25">
      <c r="A913" s="63" t="s">
        <v>1325</v>
      </c>
      <c r="B913" s="63" t="s">
        <v>892</v>
      </c>
      <c r="C913" s="63" t="s">
        <v>556</v>
      </c>
      <c r="D913" s="63" t="str">
        <f>IF('Barn - Front Rack'!H41="","",TRIM('Barn - Front Rack'!H41))</f>
        <v/>
      </c>
      <c r="E913" s="64" t="str">
        <f>IF($D913="","",'Barn - Front Rack'!I41&amp;"")</f>
        <v/>
      </c>
      <c r="F913" s="63">
        <f t="shared" si="68"/>
        <v>0</v>
      </c>
      <c r="G913" s="64" t="str">
        <f t="shared" si="65"/>
        <v/>
      </c>
      <c r="H913" s="64" t="str">
        <f t="shared" si="66"/>
        <v/>
      </c>
      <c r="I913" s="63">
        <f>IF($G913="",0,IF(COUNTIF($G$2:$G913,$G913)=1,1,0))</f>
        <v>0</v>
      </c>
      <c r="J913" s="63" t="str">
        <f t="shared" si="67"/>
        <v/>
      </c>
      <c r="K913" s="63" t="str">
        <f>IF($H913="","",COUNTIF($H$2:$H913,"?*"))</f>
        <v/>
      </c>
    </row>
    <row r="914" spans="1:11" x14ac:dyDescent="0.25">
      <c r="A914" s="63" t="s">
        <v>1325</v>
      </c>
      <c r="B914" s="63" t="s">
        <v>893</v>
      </c>
      <c r="C914" s="63" t="s">
        <v>556</v>
      </c>
      <c r="D914" s="63" t="str">
        <f>IF('Barn - Front Rack'!J30="","",TRIM('Barn - Front Rack'!J30))</f>
        <v>DeJongDuke Virtu</v>
      </c>
      <c r="E914" s="64" t="str">
        <f>IF($D914="","",'Barn - Front Rack'!K30&amp;"")</f>
        <v>2024021984901</v>
      </c>
      <c r="F914" s="63">
        <f t="shared" si="68"/>
        <v>1</v>
      </c>
      <c r="G914" s="64" t="str">
        <f t="shared" si="65"/>
        <v>DeJongDuke Virtu</v>
      </c>
      <c r="H914" s="64" t="str">
        <f t="shared" si="66"/>
        <v/>
      </c>
      <c r="I914" s="63">
        <f>IF($G914="",0,IF(COUNTIF($G$2:$G914,$G914)=1,1,0))</f>
        <v>1</v>
      </c>
      <c r="J914" s="63">
        <f t="shared" si="67"/>
        <v>36</v>
      </c>
      <c r="K914" s="63" t="str">
        <f>IF($H914="","",COUNTIF($H$2:$H914,"?*"))</f>
        <v/>
      </c>
    </row>
    <row r="915" spans="1:11" x14ac:dyDescent="0.25">
      <c r="A915" s="63" t="s">
        <v>1325</v>
      </c>
      <c r="B915" s="63" t="s">
        <v>894</v>
      </c>
      <c r="C915" s="63" t="s">
        <v>556</v>
      </c>
      <c r="D915" s="63" t="str">
        <f>IF('Barn - Front Rack'!J31="","",TRIM('Barn - Front Rack'!J31))</f>
        <v>Bravilor Esprecious 22</v>
      </c>
      <c r="E915" s="64" t="str">
        <f>IF($D915="","",'Barn - Front Rack'!K31&amp;"")</f>
        <v/>
      </c>
      <c r="F915" s="63">
        <f t="shared" si="68"/>
        <v>1</v>
      </c>
      <c r="G915" s="64" t="str">
        <f t="shared" si="65"/>
        <v>Bravilor Esprecious 22</v>
      </c>
      <c r="H915" s="64" t="str">
        <f t="shared" si="66"/>
        <v/>
      </c>
      <c r="I915" s="63">
        <f>IF($G915="",0,IF(COUNTIF($G$2:$G915,$G915)=1,1,0))</f>
        <v>1</v>
      </c>
      <c r="J915" s="63">
        <f t="shared" si="67"/>
        <v>3</v>
      </c>
      <c r="K915" s="63" t="str">
        <f>IF($H915="","",COUNTIF($H$2:$H915,"?*"))</f>
        <v/>
      </c>
    </row>
    <row r="916" spans="1:11" x14ac:dyDescent="0.25">
      <c r="A916" s="63" t="s">
        <v>1325</v>
      </c>
      <c r="B916" s="63" t="s">
        <v>895</v>
      </c>
      <c r="C916" s="63" t="s">
        <v>556</v>
      </c>
      <c r="D916" s="63" t="str">
        <f>IF('Barn - Front Rack'!J32="","",TRIM('Barn - Front Rack'!J32))</f>
        <v>WAT Water CT Sparkling 3202-200</v>
      </c>
      <c r="E916" s="64" t="str">
        <f>IF($D916="","",'Barn - Front Rack'!K32&amp;"")</f>
        <v/>
      </c>
      <c r="F916" s="63">
        <f t="shared" si="68"/>
        <v>1</v>
      </c>
      <c r="G916" s="64" t="str">
        <f t="shared" si="65"/>
        <v>WAT Water CT Sparkling 3202-200</v>
      </c>
      <c r="H916" s="64" t="str">
        <f t="shared" si="66"/>
        <v/>
      </c>
      <c r="I916" s="63">
        <f>IF($G916="",0,IF(COUNTIF($G$2:$G916,$G916)=1,1,0))</f>
        <v>1</v>
      </c>
      <c r="J916" s="63">
        <f t="shared" si="67"/>
        <v>86</v>
      </c>
      <c r="K916" s="63" t="str">
        <f>IF($H916="","",COUNTIF($H$2:$H916,"?*"))</f>
        <v/>
      </c>
    </row>
    <row r="917" spans="1:11" x14ac:dyDescent="0.25">
      <c r="A917" s="63" t="s">
        <v>1325</v>
      </c>
      <c r="B917" s="63" t="s">
        <v>896</v>
      </c>
      <c r="C917" s="63" t="s">
        <v>556</v>
      </c>
      <c r="D917" s="63" t="str">
        <f>IF('Barn - Front Rack'!J33="","",TRIM('Barn - Front Rack'!J33))</f>
        <v/>
      </c>
      <c r="E917" s="64" t="str">
        <f>IF($D917="","",'Barn - Front Rack'!K33&amp;"")</f>
        <v/>
      </c>
      <c r="F917" s="63">
        <f t="shared" si="68"/>
        <v>0</v>
      </c>
      <c r="G917" s="64" t="str">
        <f t="shared" si="65"/>
        <v/>
      </c>
      <c r="H917" s="64" t="str">
        <f t="shared" si="66"/>
        <v/>
      </c>
      <c r="I917" s="63">
        <f>IF($G917="",0,IF(COUNTIF($G$2:$G917,$G917)=1,1,0))</f>
        <v>0</v>
      </c>
      <c r="J917" s="63" t="str">
        <f t="shared" si="67"/>
        <v/>
      </c>
      <c r="K917" s="63" t="str">
        <f>IF($H917="","",COUNTIF($H$2:$H917,"?*"))</f>
        <v/>
      </c>
    </row>
    <row r="918" spans="1:11" x14ac:dyDescent="0.25">
      <c r="A918" s="63" t="s">
        <v>1325</v>
      </c>
      <c r="B918" s="63" t="s">
        <v>897</v>
      </c>
      <c r="C918" s="63" t="s">
        <v>556</v>
      </c>
      <c r="D918" s="63" t="str">
        <f>IF('Barn - Front Rack'!J34="","",TRIM('Barn - Front Rack'!J34))</f>
        <v/>
      </c>
      <c r="E918" s="64" t="str">
        <f>IF($D918="","",'Barn - Front Rack'!K34&amp;"")</f>
        <v/>
      </c>
      <c r="F918" s="63">
        <f t="shared" si="68"/>
        <v>0</v>
      </c>
      <c r="G918" s="64" t="str">
        <f t="shared" si="65"/>
        <v/>
      </c>
      <c r="H918" s="64" t="str">
        <f t="shared" si="66"/>
        <v/>
      </c>
      <c r="I918" s="63">
        <f>IF($G918="",0,IF(COUNTIF($G$2:$G918,$G918)=1,1,0))</f>
        <v>0</v>
      </c>
      <c r="J918" s="63" t="str">
        <f t="shared" si="67"/>
        <v/>
      </c>
      <c r="K918" s="63" t="str">
        <f>IF($H918="","",COUNTIF($H$2:$H918,"?*"))</f>
        <v/>
      </c>
    </row>
    <row r="919" spans="1:11" x14ac:dyDescent="0.25">
      <c r="A919" s="63" t="s">
        <v>1325</v>
      </c>
      <c r="B919" s="63" t="s">
        <v>898</v>
      </c>
      <c r="C919" s="63" t="s">
        <v>556</v>
      </c>
      <c r="D919" s="63" t="str">
        <f>IF('Barn - Front Rack'!J35="","",TRIM('Barn - Front Rack'!J35))</f>
        <v/>
      </c>
      <c r="E919" s="64" t="str">
        <f>IF($D919="","",'Barn - Front Rack'!K35&amp;"")</f>
        <v/>
      </c>
      <c r="F919" s="63">
        <f t="shared" si="68"/>
        <v>0</v>
      </c>
      <c r="G919" s="64" t="str">
        <f t="shared" si="65"/>
        <v/>
      </c>
      <c r="H919" s="64" t="str">
        <f t="shared" si="66"/>
        <v/>
      </c>
      <c r="I919" s="63">
        <f>IF($G919="",0,IF(COUNTIF($G$2:$G919,$G919)=1,1,0))</f>
        <v>0</v>
      </c>
      <c r="J919" s="63" t="str">
        <f t="shared" si="67"/>
        <v/>
      </c>
      <c r="K919" s="63" t="str">
        <f>IF($H919="","",COUNTIF($H$2:$H919,"?*"))</f>
        <v/>
      </c>
    </row>
    <row r="920" spans="1:11" x14ac:dyDescent="0.25">
      <c r="A920" s="63" t="s">
        <v>1325</v>
      </c>
      <c r="B920" s="63" t="s">
        <v>899</v>
      </c>
      <c r="C920" s="63" t="s">
        <v>556</v>
      </c>
      <c r="D920" s="63" t="str">
        <f>IF('Barn - Front Rack'!J36="","",TRIM('Barn - Front Rack'!J36))</f>
        <v/>
      </c>
      <c r="E920" s="64" t="str">
        <f>IF($D920="","",'Barn - Front Rack'!K36&amp;"")</f>
        <v/>
      </c>
      <c r="F920" s="63">
        <f t="shared" si="68"/>
        <v>0</v>
      </c>
      <c r="G920" s="64" t="str">
        <f t="shared" si="65"/>
        <v/>
      </c>
      <c r="H920" s="64" t="str">
        <f t="shared" si="66"/>
        <v/>
      </c>
      <c r="I920" s="63">
        <f>IF($G920="",0,IF(COUNTIF($G$2:$G920,$G920)=1,1,0))</f>
        <v>0</v>
      </c>
      <c r="J920" s="63" t="str">
        <f t="shared" si="67"/>
        <v/>
      </c>
      <c r="K920" s="63" t="str">
        <f>IF($H920="","",COUNTIF($H$2:$H920,"?*"))</f>
        <v/>
      </c>
    </row>
    <row r="921" spans="1:11" x14ac:dyDescent="0.25">
      <c r="A921" s="63" t="s">
        <v>1325</v>
      </c>
      <c r="B921" s="63" t="s">
        <v>900</v>
      </c>
      <c r="C921" s="63" t="s">
        <v>556</v>
      </c>
      <c r="D921" s="63" t="str">
        <f>IF('Barn - Front Rack'!J37="","",TRIM('Barn - Front Rack'!J37))</f>
        <v/>
      </c>
      <c r="E921" s="64" t="str">
        <f>IF($D921="","",'Barn - Front Rack'!K37&amp;"")</f>
        <v/>
      </c>
      <c r="F921" s="63">
        <f t="shared" si="68"/>
        <v>0</v>
      </c>
      <c r="G921" s="64" t="str">
        <f t="shared" si="65"/>
        <v/>
      </c>
      <c r="H921" s="64" t="str">
        <f t="shared" si="66"/>
        <v/>
      </c>
      <c r="I921" s="63">
        <f>IF($G921="",0,IF(COUNTIF($G$2:$G921,$G921)=1,1,0))</f>
        <v>0</v>
      </c>
      <c r="J921" s="63" t="str">
        <f t="shared" si="67"/>
        <v/>
      </c>
      <c r="K921" s="63" t="str">
        <f>IF($H921="","",COUNTIF($H$2:$H921,"?*"))</f>
        <v/>
      </c>
    </row>
    <row r="922" spans="1:11" x14ac:dyDescent="0.25">
      <c r="A922" s="63" t="s">
        <v>1325</v>
      </c>
      <c r="B922" s="63" t="s">
        <v>901</v>
      </c>
      <c r="C922" s="63" t="s">
        <v>556</v>
      </c>
      <c r="D922" s="63" t="str">
        <f>IF('Barn - Front Rack'!J38="","",TRIM('Barn - Front Rack'!J38))</f>
        <v/>
      </c>
      <c r="E922" s="64" t="str">
        <f>IF($D922="","",'Barn - Front Rack'!K38&amp;"")</f>
        <v/>
      </c>
      <c r="F922" s="63">
        <f t="shared" si="68"/>
        <v>0</v>
      </c>
      <c r="G922" s="64" t="str">
        <f t="shared" si="65"/>
        <v/>
      </c>
      <c r="H922" s="64" t="str">
        <f t="shared" si="66"/>
        <v/>
      </c>
      <c r="I922" s="63">
        <f>IF($G922="",0,IF(COUNTIF($G$2:$G922,$G922)=1,1,0))</f>
        <v>0</v>
      </c>
      <c r="J922" s="63" t="str">
        <f t="shared" si="67"/>
        <v/>
      </c>
      <c r="K922" s="63" t="str">
        <f>IF($H922="","",COUNTIF($H$2:$H922,"?*"))</f>
        <v/>
      </c>
    </row>
    <row r="923" spans="1:11" x14ac:dyDescent="0.25">
      <c r="A923" s="63" t="s">
        <v>1325</v>
      </c>
      <c r="B923" s="63" t="s">
        <v>902</v>
      </c>
      <c r="C923" s="63" t="s">
        <v>556</v>
      </c>
      <c r="D923" s="63" t="str">
        <f>IF('Barn - Front Rack'!J39="","",TRIM('Barn - Front Rack'!J39))</f>
        <v/>
      </c>
      <c r="E923" s="64" t="str">
        <f>IF($D923="","",'Barn - Front Rack'!K39&amp;"")</f>
        <v/>
      </c>
      <c r="F923" s="63">
        <f t="shared" si="68"/>
        <v>0</v>
      </c>
      <c r="G923" s="64" t="str">
        <f t="shared" si="65"/>
        <v/>
      </c>
      <c r="H923" s="64" t="str">
        <f t="shared" si="66"/>
        <v/>
      </c>
      <c r="I923" s="63">
        <f>IF($G923="",0,IF(COUNTIF($G$2:$G923,$G923)=1,1,0))</f>
        <v>0</v>
      </c>
      <c r="J923" s="63" t="str">
        <f t="shared" si="67"/>
        <v/>
      </c>
      <c r="K923" s="63" t="str">
        <f>IF($H923="","",COUNTIF($H$2:$H923,"?*"))</f>
        <v/>
      </c>
    </row>
    <row r="924" spans="1:11" x14ac:dyDescent="0.25">
      <c r="A924" s="63" t="s">
        <v>1325</v>
      </c>
      <c r="B924" s="63" t="s">
        <v>903</v>
      </c>
      <c r="C924" s="63" t="s">
        <v>556</v>
      </c>
      <c r="D924" s="63" t="str">
        <f>IF('Barn - Front Rack'!J40="","",TRIM('Barn - Front Rack'!J40))</f>
        <v/>
      </c>
      <c r="E924" s="64" t="str">
        <f>IF($D924="","",'Barn - Front Rack'!K40&amp;"")</f>
        <v/>
      </c>
      <c r="F924" s="63">
        <f t="shared" si="68"/>
        <v>0</v>
      </c>
      <c r="G924" s="64" t="str">
        <f t="shared" si="65"/>
        <v/>
      </c>
      <c r="H924" s="64" t="str">
        <f t="shared" si="66"/>
        <v/>
      </c>
      <c r="I924" s="63">
        <f>IF($G924="",0,IF(COUNTIF($G$2:$G924,$G924)=1,1,0))</f>
        <v>0</v>
      </c>
      <c r="J924" s="63" t="str">
        <f t="shared" si="67"/>
        <v/>
      </c>
      <c r="K924" s="63" t="str">
        <f>IF($H924="","",COUNTIF($H$2:$H924,"?*"))</f>
        <v/>
      </c>
    </row>
    <row r="925" spans="1:11" x14ac:dyDescent="0.25">
      <c r="A925" s="63" t="s">
        <v>1325</v>
      </c>
      <c r="B925" s="63" t="s">
        <v>904</v>
      </c>
      <c r="C925" s="63" t="s">
        <v>556</v>
      </c>
      <c r="D925" s="63" t="str">
        <f>IF('Barn - Front Rack'!J41="","",TRIM('Barn - Front Rack'!J41))</f>
        <v/>
      </c>
      <c r="E925" s="64" t="str">
        <f>IF($D925="","",'Barn - Front Rack'!K41&amp;"")</f>
        <v/>
      </c>
      <c r="F925" s="63">
        <f t="shared" si="68"/>
        <v>0</v>
      </c>
      <c r="G925" s="64" t="str">
        <f t="shared" si="65"/>
        <v/>
      </c>
      <c r="H925" s="64" t="str">
        <f t="shared" si="66"/>
        <v/>
      </c>
      <c r="I925" s="63">
        <f>IF($G925="",0,IF(COUNTIF($G$2:$G925,$G925)=1,1,0))</f>
        <v>0</v>
      </c>
      <c r="J925" s="63" t="str">
        <f t="shared" si="67"/>
        <v/>
      </c>
      <c r="K925" s="63" t="str">
        <f>IF($H925="","",COUNTIF($H$2:$H925,"?*"))</f>
        <v/>
      </c>
    </row>
    <row r="926" spans="1:11" x14ac:dyDescent="0.25">
      <c r="A926" s="63" t="s">
        <v>1325</v>
      </c>
      <c r="B926" s="63" t="s">
        <v>905</v>
      </c>
      <c r="C926" s="63" t="s">
        <v>556</v>
      </c>
      <c r="D926" s="63" t="str">
        <f>IF('Barn - Front Rack'!L30="","",TRIM('Barn - Front Rack'!L30))</f>
        <v/>
      </c>
      <c r="E926" s="64" t="str">
        <f>IF($D926="","",'Barn - Front Rack'!M30&amp;"")</f>
        <v/>
      </c>
      <c r="F926" s="63">
        <f t="shared" si="68"/>
        <v>0</v>
      </c>
      <c r="G926" s="64" t="str">
        <f t="shared" si="65"/>
        <v/>
      </c>
      <c r="H926" s="64" t="str">
        <f t="shared" si="66"/>
        <v/>
      </c>
      <c r="I926" s="63">
        <f>IF($G926="",0,IF(COUNTIF($G$2:$G926,$G926)=1,1,0))</f>
        <v>0</v>
      </c>
      <c r="J926" s="63" t="str">
        <f t="shared" si="67"/>
        <v/>
      </c>
      <c r="K926" s="63" t="str">
        <f>IF($H926="","",COUNTIF($H$2:$H926,"?*"))</f>
        <v/>
      </c>
    </row>
    <row r="927" spans="1:11" x14ac:dyDescent="0.25">
      <c r="A927" s="63" t="s">
        <v>1325</v>
      </c>
      <c r="B927" s="63" t="s">
        <v>906</v>
      </c>
      <c r="C927" s="63" t="s">
        <v>556</v>
      </c>
      <c r="D927" s="63" t="str">
        <f>IF('Barn - Front Rack'!L31="","",TRIM('Barn - Front Rack'!L31))</f>
        <v/>
      </c>
      <c r="E927" s="64" t="str">
        <f>IF($D927="","",'Barn - Front Rack'!M31&amp;"")</f>
        <v/>
      </c>
      <c r="F927" s="63">
        <f t="shared" si="68"/>
        <v>0</v>
      </c>
      <c r="G927" s="64" t="str">
        <f t="shared" si="65"/>
        <v/>
      </c>
      <c r="H927" s="64" t="str">
        <f t="shared" si="66"/>
        <v/>
      </c>
      <c r="I927" s="63">
        <f>IF($G927="",0,IF(COUNTIF($G$2:$G927,$G927)=1,1,0))</f>
        <v>0</v>
      </c>
      <c r="J927" s="63" t="str">
        <f t="shared" si="67"/>
        <v/>
      </c>
      <c r="K927" s="63" t="str">
        <f>IF($H927="","",COUNTIF($H$2:$H927,"?*"))</f>
        <v/>
      </c>
    </row>
    <row r="928" spans="1:11" x14ac:dyDescent="0.25">
      <c r="A928" s="63" t="s">
        <v>1325</v>
      </c>
      <c r="B928" s="63" t="s">
        <v>907</v>
      </c>
      <c r="C928" s="63" t="s">
        <v>556</v>
      </c>
      <c r="D928" s="63" t="str">
        <f>IF('Barn - Front Rack'!L32="","",TRIM('Barn - Front Rack'!L32))</f>
        <v/>
      </c>
      <c r="E928" s="64" t="str">
        <f>IF($D928="","",'Barn - Front Rack'!M32&amp;"")</f>
        <v/>
      </c>
      <c r="F928" s="63">
        <f t="shared" si="68"/>
        <v>0</v>
      </c>
      <c r="G928" s="64" t="str">
        <f t="shared" si="65"/>
        <v/>
      </c>
      <c r="H928" s="64" t="str">
        <f t="shared" si="66"/>
        <v/>
      </c>
      <c r="I928" s="63">
        <f>IF($G928="",0,IF(COUNTIF($G$2:$G928,$G928)=1,1,0))</f>
        <v>0</v>
      </c>
      <c r="J928" s="63" t="str">
        <f t="shared" si="67"/>
        <v/>
      </c>
      <c r="K928" s="63" t="str">
        <f>IF($H928="","",COUNTIF($H$2:$H928,"?*"))</f>
        <v/>
      </c>
    </row>
    <row r="929" spans="1:11" x14ac:dyDescent="0.25">
      <c r="A929" s="63" t="s">
        <v>1325</v>
      </c>
      <c r="B929" s="63" t="s">
        <v>908</v>
      </c>
      <c r="C929" s="63" t="s">
        <v>556</v>
      </c>
      <c r="D929" s="63" t="str">
        <f>IF('Barn - Front Rack'!L33="","",TRIM('Barn - Front Rack'!L33))</f>
        <v/>
      </c>
      <c r="E929" s="64" t="str">
        <f>IF($D929="","",'Barn - Front Rack'!M33&amp;"")</f>
        <v/>
      </c>
      <c r="F929" s="63">
        <f t="shared" si="68"/>
        <v>0</v>
      </c>
      <c r="G929" s="64" t="str">
        <f t="shared" si="65"/>
        <v/>
      </c>
      <c r="H929" s="64" t="str">
        <f t="shared" si="66"/>
        <v/>
      </c>
      <c r="I929" s="63">
        <f>IF($G929="",0,IF(COUNTIF($G$2:$G929,$G929)=1,1,0))</f>
        <v>0</v>
      </c>
      <c r="J929" s="63" t="str">
        <f t="shared" si="67"/>
        <v/>
      </c>
      <c r="K929" s="63" t="str">
        <f>IF($H929="","",COUNTIF($H$2:$H929,"?*"))</f>
        <v/>
      </c>
    </row>
    <row r="930" spans="1:11" x14ac:dyDescent="0.25">
      <c r="A930" s="63" t="s">
        <v>1325</v>
      </c>
      <c r="B930" s="63" t="s">
        <v>909</v>
      </c>
      <c r="C930" s="63" t="s">
        <v>556</v>
      </c>
      <c r="D930" s="63" t="str">
        <f>IF('Barn - Front Rack'!L34="","",TRIM('Barn - Front Rack'!L34))</f>
        <v/>
      </c>
      <c r="E930" s="64" t="str">
        <f>IF($D930="","",'Barn - Front Rack'!M34&amp;"")</f>
        <v/>
      </c>
      <c r="F930" s="63">
        <f t="shared" si="68"/>
        <v>0</v>
      </c>
      <c r="G930" s="64" t="str">
        <f t="shared" si="65"/>
        <v/>
      </c>
      <c r="H930" s="64" t="str">
        <f t="shared" si="66"/>
        <v/>
      </c>
      <c r="I930" s="63">
        <f>IF($G930="",0,IF(COUNTIF($G$2:$G930,$G930)=1,1,0))</f>
        <v>0</v>
      </c>
      <c r="J930" s="63" t="str">
        <f t="shared" si="67"/>
        <v/>
      </c>
      <c r="K930" s="63" t="str">
        <f>IF($H930="","",COUNTIF($H$2:$H930,"?*"))</f>
        <v/>
      </c>
    </row>
    <row r="931" spans="1:11" x14ac:dyDescent="0.25">
      <c r="A931" s="63" t="s">
        <v>1325</v>
      </c>
      <c r="B931" s="63" t="s">
        <v>910</v>
      </c>
      <c r="C931" s="63" t="s">
        <v>556</v>
      </c>
      <c r="D931" s="63" t="str">
        <f>IF('Barn - Front Rack'!L35="","",TRIM('Barn - Front Rack'!L35))</f>
        <v/>
      </c>
      <c r="E931" s="64" t="str">
        <f>IF($D931="","",'Barn - Front Rack'!M35&amp;"")</f>
        <v/>
      </c>
      <c r="F931" s="63">
        <f t="shared" si="68"/>
        <v>0</v>
      </c>
      <c r="G931" s="64" t="str">
        <f t="shared" si="65"/>
        <v/>
      </c>
      <c r="H931" s="64" t="str">
        <f t="shared" si="66"/>
        <v/>
      </c>
      <c r="I931" s="63">
        <f>IF($G931="",0,IF(COUNTIF($G$2:$G931,$G931)=1,1,0))</f>
        <v>0</v>
      </c>
      <c r="J931" s="63" t="str">
        <f t="shared" si="67"/>
        <v/>
      </c>
      <c r="K931" s="63" t="str">
        <f>IF($H931="","",COUNTIF($H$2:$H931,"?*"))</f>
        <v/>
      </c>
    </row>
    <row r="932" spans="1:11" x14ac:dyDescent="0.25">
      <c r="A932" s="63" t="s">
        <v>1325</v>
      </c>
      <c r="B932" s="63" t="s">
        <v>911</v>
      </c>
      <c r="C932" s="63" t="s">
        <v>556</v>
      </c>
      <c r="D932" s="63" t="str">
        <f>IF('Barn - Front Rack'!L36="","",TRIM('Barn - Front Rack'!L36))</f>
        <v/>
      </c>
      <c r="E932" s="64" t="str">
        <f>IF($D932="","",'Barn - Front Rack'!M36&amp;"")</f>
        <v/>
      </c>
      <c r="F932" s="63">
        <f t="shared" si="68"/>
        <v>0</v>
      </c>
      <c r="G932" s="64" t="str">
        <f t="shared" si="65"/>
        <v/>
      </c>
      <c r="H932" s="64" t="str">
        <f t="shared" si="66"/>
        <v/>
      </c>
      <c r="I932" s="63">
        <f>IF($G932="",0,IF(COUNTIF($G$2:$G932,$G932)=1,1,0))</f>
        <v>0</v>
      </c>
      <c r="J932" s="63" t="str">
        <f t="shared" si="67"/>
        <v/>
      </c>
      <c r="K932" s="63" t="str">
        <f>IF($H932="","",COUNTIF($H$2:$H932,"?*"))</f>
        <v/>
      </c>
    </row>
    <row r="933" spans="1:11" x14ac:dyDescent="0.25">
      <c r="A933" s="63" t="s">
        <v>1325</v>
      </c>
      <c r="B933" s="63" t="s">
        <v>912</v>
      </c>
      <c r="C933" s="63" t="s">
        <v>556</v>
      </c>
      <c r="D933" s="63" t="str">
        <f>IF('Barn - Front Rack'!L37="","",TRIM('Barn - Front Rack'!L37))</f>
        <v/>
      </c>
      <c r="E933" s="64" t="str">
        <f>IF($D933="","",'Barn - Front Rack'!M37&amp;"")</f>
        <v/>
      </c>
      <c r="F933" s="63">
        <f t="shared" si="68"/>
        <v>0</v>
      </c>
      <c r="G933" s="64" t="str">
        <f t="shared" si="65"/>
        <v/>
      </c>
      <c r="H933" s="64" t="str">
        <f t="shared" si="66"/>
        <v/>
      </c>
      <c r="I933" s="63">
        <f>IF($G933="",0,IF(COUNTIF($G$2:$G933,$G933)=1,1,0))</f>
        <v>0</v>
      </c>
      <c r="J933" s="63" t="str">
        <f t="shared" si="67"/>
        <v/>
      </c>
      <c r="K933" s="63" t="str">
        <f>IF($H933="","",COUNTIF($H$2:$H933,"?*"))</f>
        <v/>
      </c>
    </row>
    <row r="934" spans="1:11" x14ac:dyDescent="0.25">
      <c r="A934" s="63" t="s">
        <v>1325</v>
      </c>
      <c r="B934" s="63" t="s">
        <v>913</v>
      </c>
      <c r="C934" s="63" t="s">
        <v>556</v>
      </c>
      <c r="D934" s="63" t="str">
        <f>IF('Barn - Front Rack'!L38="","",TRIM('Barn - Front Rack'!L38))</f>
        <v/>
      </c>
      <c r="E934" s="64" t="str">
        <f>IF($D934="","",'Barn - Front Rack'!M38&amp;"")</f>
        <v/>
      </c>
      <c r="F934" s="63">
        <f t="shared" si="68"/>
        <v>0</v>
      </c>
      <c r="G934" s="64" t="str">
        <f t="shared" si="65"/>
        <v/>
      </c>
      <c r="H934" s="64" t="str">
        <f t="shared" si="66"/>
        <v/>
      </c>
      <c r="I934" s="63">
        <f>IF($G934="",0,IF(COUNTIF($G$2:$G934,$G934)=1,1,0))</f>
        <v>0</v>
      </c>
      <c r="J934" s="63" t="str">
        <f t="shared" si="67"/>
        <v/>
      </c>
      <c r="K934" s="63" t="str">
        <f>IF($H934="","",COUNTIF($H$2:$H934,"?*"))</f>
        <v/>
      </c>
    </row>
    <row r="935" spans="1:11" x14ac:dyDescent="0.25">
      <c r="A935" s="63" t="s">
        <v>1325</v>
      </c>
      <c r="B935" s="63" t="s">
        <v>914</v>
      </c>
      <c r="C935" s="63" t="s">
        <v>556</v>
      </c>
      <c r="D935" s="63" t="str">
        <f>IF('Barn - Front Rack'!L39="","",TRIM('Barn - Front Rack'!L39))</f>
        <v/>
      </c>
      <c r="E935" s="64" t="str">
        <f>IF($D935="","",'Barn - Front Rack'!M39&amp;"")</f>
        <v/>
      </c>
      <c r="F935" s="63">
        <f t="shared" si="68"/>
        <v>0</v>
      </c>
      <c r="G935" s="64" t="str">
        <f t="shared" si="65"/>
        <v/>
      </c>
      <c r="H935" s="64" t="str">
        <f t="shared" si="66"/>
        <v/>
      </c>
      <c r="I935" s="63">
        <f>IF($G935="",0,IF(COUNTIF($G$2:$G935,$G935)=1,1,0))</f>
        <v>0</v>
      </c>
      <c r="J935" s="63" t="str">
        <f t="shared" si="67"/>
        <v/>
      </c>
      <c r="K935" s="63" t="str">
        <f>IF($H935="","",COUNTIF($H$2:$H935,"?*"))</f>
        <v/>
      </c>
    </row>
    <row r="936" spans="1:11" x14ac:dyDescent="0.25">
      <c r="A936" s="63" t="s">
        <v>1325</v>
      </c>
      <c r="B936" s="63" t="s">
        <v>915</v>
      </c>
      <c r="C936" s="63" t="s">
        <v>556</v>
      </c>
      <c r="D936" s="63" t="str">
        <f>IF('Barn - Front Rack'!L40="","",TRIM('Barn - Front Rack'!L40))</f>
        <v/>
      </c>
      <c r="E936" s="64" t="str">
        <f>IF($D936="","",'Barn - Front Rack'!M40&amp;"")</f>
        <v/>
      </c>
      <c r="F936" s="63">
        <f t="shared" si="68"/>
        <v>0</v>
      </c>
      <c r="G936" s="64" t="str">
        <f t="shared" si="65"/>
        <v/>
      </c>
      <c r="H936" s="64" t="str">
        <f t="shared" si="66"/>
        <v/>
      </c>
      <c r="I936" s="63">
        <f>IF($G936="",0,IF(COUNTIF($G$2:$G936,$G936)=1,1,0))</f>
        <v>0</v>
      </c>
      <c r="J936" s="63" t="str">
        <f t="shared" si="67"/>
        <v/>
      </c>
      <c r="K936" s="63" t="str">
        <f>IF($H936="","",COUNTIF($H$2:$H936,"?*"))</f>
        <v/>
      </c>
    </row>
    <row r="937" spans="1:11" x14ac:dyDescent="0.25">
      <c r="A937" s="63" t="s">
        <v>1325</v>
      </c>
      <c r="B937" s="63" t="s">
        <v>916</v>
      </c>
      <c r="C937" s="63" t="s">
        <v>556</v>
      </c>
      <c r="D937" s="63" t="str">
        <f>IF('Barn - Front Rack'!L41="","",TRIM('Barn - Front Rack'!L41))</f>
        <v/>
      </c>
      <c r="E937" s="64" t="str">
        <f>IF($D937="","",'Barn - Front Rack'!M41&amp;"")</f>
        <v/>
      </c>
      <c r="F937" s="63">
        <f t="shared" si="68"/>
        <v>0</v>
      </c>
      <c r="G937" s="64" t="str">
        <f t="shared" si="65"/>
        <v/>
      </c>
      <c r="H937" s="64" t="str">
        <f t="shared" si="66"/>
        <v/>
      </c>
      <c r="I937" s="63">
        <f>IF($G937="",0,IF(COUNTIF($G$2:$G937,$G937)=1,1,0))</f>
        <v>0</v>
      </c>
      <c r="J937" s="63" t="str">
        <f t="shared" si="67"/>
        <v/>
      </c>
      <c r="K937" s="63" t="str">
        <f>IF($H937="","",COUNTIF($H$2:$H937,"?*"))</f>
        <v/>
      </c>
    </row>
    <row r="938" spans="1:11" x14ac:dyDescent="0.25">
      <c r="A938" s="63" t="s">
        <v>1325</v>
      </c>
      <c r="B938" s="63" t="s">
        <v>917</v>
      </c>
      <c r="C938" s="63" t="s">
        <v>556</v>
      </c>
      <c r="D938" s="63" t="str">
        <f>IF('Barn - Front Rack'!N30="","",TRIM('Barn - Front Rack'!N30))</f>
        <v>Fetco 51H</v>
      </c>
      <c r="E938" s="64" t="str">
        <f>IF($D938="","",'Barn - Front Rack'!O30&amp;"")</f>
        <v>N/A</v>
      </c>
      <c r="F938" s="63">
        <f t="shared" si="68"/>
        <v>1</v>
      </c>
      <c r="G938" s="64" t="str">
        <f t="shared" si="65"/>
        <v>Fetco 51H</v>
      </c>
      <c r="H938" s="64" t="str">
        <f t="shared" si="66"/>
        <v/>
      </c>
      <c r="I938" s="63">
        <f>IF($G938="",0,IF(COUNTIF($G$2:$G938,$G938)=1,1,0))</f>
        <v>0</v>
      </c>
      <c r="J938" s="63" t="str">
        <f t="shared" si="67"/>
        <v/>
      </c>
      <c r="K938" s="63" t="str">
        <f>IF($H938="","",COUNTIF($H$2:$H938,"?*"))</f>
        <v/>
      </c>
    </row>
    <row r="939" spans="1:11" x14ac:dyDescent="0.25">
      <c r="A939" s="63" t="s">
        <v>1325</v>
      </c>
      <c r="B939" s="63" t="s">
        <v>918</v>
      </c>
      <c r="C939" s="63" t="s">
        <v>556</v>
      </c>
      <c r="D939" s="63" t="str">
        <f>IF('Barn - Front Rack'!N31="","",TRIM('Barn - Front Rack'!N31))</f>
        <v>Fetco MBS-1221</v>
      </c>
      <c r="E939" s="64" t="str">
        <f>IF($D939="","",'Barn - Front Rack'!O31&amp;"")</f>
        <v>12211X11721231918</v>
      </c>
      <c r="F939" s="63">
        <f t="shared" si="68"/>
        <v>1</v>
      </c>
      <c r="G939" s="64" t="str">
        <f t="shared" si="65"/>
        <v>Fetco MBS-1221</v>
      </c>
      <c r="H939" s="64" t="str">
        <f t="shared" si="66"/>
        <v/>
      </c>
      <c r="I939" s="63">
        <f>IF($G939="",0,IF(COUNTIF($G$2:$G939,$G939)=1,1,0))</f>
        <v>0</v>
      </c>
      <c r="J939" s="63" t="str">
        <f t="shared" si="67"/>
        <v/>
      </c>
      <c r="K939" s="63" t="str">
        <f>IF($H939="","",COUNTIF($H$2:$H939,"?*"))</f>
        <v/>
      </c>
    </row>
    <row r="940" spans="1:11" x14ac:dyDescent="0.25">
      <c r="A940" s="63" t="s">
        <v>1325</v>
      </c>
      <c r="B940" s="63" t="s">
        <v>919</v>
      </c>
      <c r="C940" s="63" t="s">
        <v>556</v>
      </c>
      <c r="D940" s="63" t="str">
        <f>IF('Barn - Front Rack'!N32="","",TRIM('Barn - Front Rack'!N32))</f>
        <v/>
      </c>
      <c r="E940" s="64" t="str">
        <f>IF($D940="","",'Barn - Front Rack'!O32&amp;"")</f>
        <v/>
      </c>
      <c r="F940" s="63">
        <f t="shared" si="68"/>
        <v>0</v>
      </c>
      <c r="G940" s="64" t="str">
        <f t="shared" si="65"/>
        <v/>
      </c>
      <c r="H940" s="64" t="str">
        <f t="shared" si="66"/>
        <v/>
      </c>
      <c r="I940" s="63">
        <f>IF($G940="",0,IF(COUNTIF($G$2:$G940,$G940)=1,1,0))</f>
        <v>0</v>
      </c>
      <c r="J940" s="63" t="str">
        <f t="shared" si="67"/>
        <v/>
      </c>
      <c r="K940" s="63" t="str">
        <f>IF($H940="","",COUNTIF($H$2:$H940,"?*"))</f>
        <v/>
      </c>
    </row>
    <row r="941" spans="1:11" x14ac:dyDescent="0.25">
      <c r="A941" s="63" t="s">
        <v>1325</v>
      </c>
      <c r="B941" s="63" t="s">
        <v>920</v>
      </c>
      <c r="C941" s="63" t="s">
        <v>556</v>
      </c>
      <c r="D941" s="63" t="str">
        <f>IF('Barn - Front Rack'!N33="","",TRIM('Barn - Front Rack'!N33))</f>
        <v/>
      </c>
      <c r="E941" s="64" t="str">
        <f>IF($D941="","",'Barn - Front Rack'!O33&amp;"")</f>
        <v/>
      </c>
      <c r="F941" s="63">
        <f t="shared" si="68"/>
        <v>0</v>
      </c>
      <c r="G941" s="64" t="str">
        <f t="shared" si="65"/>
        <v/>
      </c>
      <c r="H941" s="64" t="str">
        <f t="shared" si="66"/>
        <v/>
      </c>
      <c r="I941" s="63">
        <f>IF($G941="",0,IF(COUNTIF($G$2:$G941,$G941)=1,1,0))</f>
        <v>0</v>
      </c>
      <c r="J941" s="63" t="str">
        <f t="shared" si="67"/>
        <v/>
      </c>
      <c r="K941" s="63" t="str">
        <f>IF($H941="","",COUNTIF($H$2:$H941,"?*"))</f>
        <v/>
      </c>
    </row>
    <row r="942" spans="1:11" x14ac:dyDescent="0.25">
      <c r="A942" s="63" t="s">
        <v>1325</v>
      </c>
      <c r="B942" s="63" t="s">
        <v>921</v>
      </c>
      <c r="C942" s="63" t="s">
        <v>556</v>
      </c>
      <c r="D942" s="63" t="str">
        <f>IF('Barn - Front Rack'!N34="","",TRIM('Barn - Front Rack'!N34))</f>
        <v/>
      </c>
      <c r="E942" s="64" t="str">
        <f>IF($D942="","",'Barn - Front Rack'!O34&amp;"")</f>
        <v/>
      </c>
      <c r="F942" s="63">
        <f t="shared" si="68"/>
        <v>0</v>
      </c>
      <c r="G942" s="64" t="str">
        <f t="shared" si="65"/>
        <v/>
      </c>
      <c r="H942" s="64" t="str">
        <f t="shared" si="66"/>
        <v/>
      </c>
      <c r="I942" s="63">
        <f>IF($G942="",0,IF(COUNTIF($G$2:$G942,$G942)=1,1,0))</f>
        <v>0</v>
      </c>
      <c r="J942" s="63" t="str">
        <f t="shared" si="67"/>
        <v/>
      </c>
      <c r="K942" s="63" t="str">
        <f>IF($H942="","",COUNTIF($H$2:$H942,"?*"))</f>
        <v/>
      </c>
    </row>
    <row r="943" spans="1:11" x14ac:dyDescent="0.25">
      <c r="A943" s="63" t="s">
        <v>1325</v>
      </c>
      <c r="B943" s="63" t="s">
        <v>922</v>
      </c>
      <c r="C943" s="63" t="s">
        <v>556</v>
      </c>
      <c r="D943" s="63" t="str">
        <f>IF('Barn - Front Rack'!N35="","",TRIM('Barn - Front Rack'!N35))</f>
        <v/>
      </c>
      <c r="E943" s="64" t="str">
        <f>IF($D943="","",'Barn - Front Rack'!O35&amp;"")</f>
        <v/>
      </c>
      <c r="F943" s="63">
        <f t="shared" si="68"/>
        <v>0</v>
      </c>
      <c r="G943" s="64" t="str">
        <f t="shared" si="65"/>
        <v/>
      </c>
      <c r="H943" s="64" t="str">
        <f t="shared" si="66"/>
        <v/>
      </c>
      <c r="I943" s="63">
        <f>IF($G943="",0,IF(COUNTIF($G$2:$G943,$G943)=1,1,0))</f>
        <v>0</v>
      </c>
      <c r="J943" s="63" t="str">
        <f t="shared" si="67"/>
        <v/>
      </c>
      <c r="K943" s="63" t="str">
        <f>IF($H943="","",COUNTIF($H$2:$H943,"?*"))</f>
        <v/>
      </c>
    </row>
    <row r="944" spans="1:11" x14ac:dyDescent="0.25">
      <c r="A944" s="63" t="s">
        <v>1325</v>
      </c>
      <c r="B944" s="63" t="s">
        <v>923</v>
      </c>
      <c r="C944" s="63" t="s">
        <v>556</v>
      </c>
      <c r="D944" s="63" t="str">
        <f>IF('Barn - Front Rack'!N36="","",TRIM('Barn - Front Rack'!N36))</f>
        <v/>
      </c>
      <c r="E944" s="64" t="str">
        <f>IF($D944="","",'Barn - Front Rack'!O36&amp;"")</f>
        <v/>
      </c>
      <c r="F944" s="63">
        <f t="shared" si="68"/>
        <v>0</v>
      </c>
      <c r="G944" s="64" t="str">
        <f t="shared" si="65"/>
        <v/>
      </c>
      <c r="H944" s="64" t="str">
        <f t="shared" si="66"/>
        <v/>
      </c>
      <c r="I944" s="63">
        <f>IF($G944="",0,IF(COUNTIF($G$2:$G944,$G944)=1,1,0))</f>
        <v>0</v>
      </c>
      <c r="J944" s="63" t="str">
        <f t="shared" si="67"/>
        <v/>
      </c>
      <c r="K944" s="63" t="str">
        <f>IF($H944="","",COUNTIF($H$2:$H944,"?*"))</f>
        <v/>
      </c>
    </row>
    <row r="945" spans="1:11" x14ac:dyDescent="0.25">
      <c r="A945" s="63" t="s">
        <v>1325</v>
      </c>
      <c r="B945" s="63" t="s">
        <v>924</v>
      </c>
      <c r="C945" s="63" t="s">
        <v>556</v>
      </c>
      <c r="D945" s="63" t="str">
        <f>IF('Barn - Front Rack'!N37="","",TRIM('Barn - Front Rack'!N37))</f>
        <v/>
      </c>
      <c r="E945" s="64" t="str">
        <f>IF($D945="","",'Barn - Front Rack'!O37&amp;"")</f>
        <v/>
      </c>
      <c r="F945" s="63">
        <f t="shared" si="68"/>
        <v>0</v>
      </c>
      <c r="G945" s="64" t="str">
        <f t="shared" si="65"/>
        <v/>
      </c>
      <c r="H945" s="64" t="str">
        <f t="shared" si="66"/>
        <v/>
      </c>
      <c r="I945" s="63">
        <f>IF($G945="",0,IF(COUNTIF($G$2:$G945,$G945)=1,1,0))</f>
        <v>0</v>
      </c>
      <c r="J945" s="63" t="str">
        <f t="shared" si="67"/>
        <v/>
      </c>
      <c r="K945" s="63" t="str">
        <f>IF($H945="","",COUNTIF($H$2:$H945,"?*"))</f>
        <v/>
      </c>
    </row>
    <row r="946" spans="1:11" x14ac:dyDescent="0.25">
      <c r="A946" s="63" t="s">
        <v>1325</v>
      </c>
      <c r="B946" s="63" t="s">
        <v>925</v>
      </c>
      <c r="C946" s="63" t="s">
        <v>556</v>
      </c>
      <c r="D946" s="63" t="str">
        <f>IF('Barn - Front Rack'!N38="","",TRIM('Barn - Front Rack'!N38))</f>
        <v/>
      </c>
      <c r="E946" s="64" t="str">
        <f>IF($D946="","",'Barn - Front Rack'!O38&amp;"")</f>
        <v/>
      </c>
      <c r="F946" s="63">
        <f t="shared" si="68"/>
        <v>0</v>
      </c>
      <c r="G946" s="64" t="str">
        <f t="shared" si="65"/>
        <v/>
      </c>
      <c r="H946" s="64" t="str">
        <f t="shared" si="66"/>
        <v/>
      </c>
      <c r="I946" s="63">
        <f>IF($G946="",0,IF(COUNTIF($G$2:$G946,$G946)=1,1,0))</f>
        <v>0</v>
      </c>
      <c r="J946" s="63" t="str">
        <f t="shared" si="67"/>
        <v/>
      </c>
      <c r="K946" s="63" t="str">
        <f>IF($H946="","",COUNTIF($H$2:$H946,"?*"))</f>
        <v/>
      </c>
    </row>
    <row r="947" spans="1:11" x14ac:dyDescent="0.25">
      <c r="A947" s="63" t="s">
        <v>1325</v>
      </c>
      <c r="B947" s="63" t="s">
        <v>926</v>
      </c>
      <c r="C947" s="63" t="s">
        <v>556</v>
      </c>
      <c r="D947" s="63" t="str">
        <f>IF('Barn - Front Rack'!N39="","",TRIM('Barn - Front Rack'!N39))</f>
        <v/>
      </c>
      <c r="E947" s="64" t="str">
        <f>IF($D947="","",'Barn - Front Rack'!O39&amp;"")</f>
        <v/>
      </c>
      <c r="F947" s="63">
        <f t="shared" si="68"/>
        <v>0</v>
      </c>
      <c r="G947" s="64" t="str">
        <f t="shared" si="65"/>
        <v/>
      </c>
      <c r="H947" s="64" t="str">
        <f t="shared" si="66"/>
        <v/>
      </c>
      <c r="I947" s="63">
        <f>IF($G947="",0,IF(COUNTIF($G$2:$G947,$G947)=1,1,0))</f>
        <v>0</v>
      </c>
      <c r="J947" s="63" t="str">
        <f t="shared" si="67"/>
        <v/>
      </c>
      <c r="K947" s="63" t="str">
        <f>IF($H947="","",COUNTIF($H$2:$H947,"?*"))</f>
        <v/>
      </c>
    </row>
    <row r="948" spans="1:11" x14ac:dyDescent="0.25">
      <c r="A948" s="63" t="s">
        <v>1325</v>
      </c>
      <c r="B948" s="63" t="s">
        <v>927</v>
      </c>
      <c r="C948" s="63" t="s">
        <v>556</v>
      </c>
      <c r="D948" s="63" t="str">
        <f>IF('Barn - Front Rack'!N40="","",TRIM('Barn - Front Rack'!N40))</f>
        <v/>
      </c>
      <c r="E948" s="64" t="str">
        <f>IF($D948="","",'Barn - Front Rack'!O40&amp;"")</f>
        <v/>
      </c>
      <c r="F948" s="63">
        <f t="shared" si="68"/>
        <v>0</v>
      </c>
      <c r="G948" s="64" t="str">
        <f t="shared" si="65"/>
        <v/>
      </c>
      <c r="H948" s="64" t="str">
        <f t="shared" si="66"/>
        <v/>
      </c>
      <c r="I948" s="63">
        <f>IF($G948="",0,IF(COUNTIF($G$2:$G948,$G948)=1,1,0))</f>
        <v>0</v>
      </c>
      <c r="J948" s="63" t="str">
        <f t="shared" si="67"/>
        <v/>
      </c>
      <c r="K948" s="63" t="str">
        <f>IF($H948="","",COUNTIF($H$2:$H948,"?*"))</f>
        <v/>
      </c>
    </row>
    <row r="949" spans="1:11" x14ac:dyDescent="0.25">
      <c r="A949" s="63" t="s">
        <v>1325</v>
      </c>
      <c r="B949" s="63" t="s">
        <v>928</v>
      </c>
      <c r="C949" s="63" t="s">
        <v>556</v>
      </c>
      <c r="D949" s="63" t="str">
        <f>IF('Barn - Front Rack'!N41="","",TRIM('Barn - Front Rack'!N41))</f>
        <v/>
      </c>
      <c r="E949" s="64" t="str">
        <f>IF($D949="","",'Barn - Front Rack'!O41&amp;"")</f>
        <v/>
      </c>
      <c r="F949" s="63">
        <f t="shared" si="68"/>
        <v>0</v>
      </c>
      <c r="G949" s="64" t="str">
        <f t="shared" si="65"/>
        <v/>
      </c>
      <c r="H949" s="64" t="str">
        <f t="shared" si="66"/>
        <v/>
      </c>
      <c r="I949" s="63">
        <f>IF($G949="",0,IF(COUNTIF($G$2:$G949,$G949)=1,1,0))</f>
        <v>0</v>
      </c>
      <c r="J949" s="63" t="str">
        <f t="shared" si="67"/>
        <v/>
      </c>
      <c r="K949" s="63" t="str">
        <f>IF($H949="","",COUNTIF($H$2:$H949,"?*"))</f>
        <v/>
      </c>
    </row>
    <row r="950" spans="1:11" x14ac:dyDescent="0.25">
      <c r="A950" s="63" t="s">
        <v>1325</v>
      </c>
      <c r="B950" s="63" t="s">
        <v>929</v>
      </c>
      <c r="C950" s="63" t="s">
        <v>556</v>
      </c>
      <c r="D950" s="63" t="str">
        <f>IF('Barn - Front Rack'!P30="","",TRIM('Barn - Front Rack'!P30))</f>
        <v/>
      </c>
      <c r="E950" s="64" t="str">
        <f>IF($D950="","",'Barn - Front Rack'!Q30&amp;"")</f>
        <v/>
      </c>
      <c r="F950" s="63">
        <f t="shared" si="68"/>
        <v>0</v>
      </c>
      <c r="G950" s="64" t="str">
        <f t="shared" si="65"/>
        <v/>
      </c>
      <c r="H950" s="64" t="str">
        <f t="shared" si="66"/>
        <v/>
      </c>
      <c r="I950" s="63">
        <f>IF($G950="",0,IF(COUNTIF($G$2:$G950,$G950)=1,1,0))</f>
        <v>0</v>
      </c>
      <c r="J950" s="63" t="str">
        <f t="shared" si="67"/>
        <v/>
      </c>
      <c r="K950" s="63" t="str">
        <f>IF($H950="","",COUNTIF($H$2:$H950,"?*"))</f>
        <v/>
      </c>
    </row>
    <row r="951" spans="1:11" x14ac:dyDescent="0.25">
      <c r="A951" s="63" t="s">
        <v>1325</v>
      </c>
      <c r="B951" s="63" t="s">
        <v>930</v>
      </c>
      <c r="C951" s="63" t="s">
        <v>556</v>
      </c>
      <c r="D951" s="63" t="str">
        <f>IF('Barn - Front Rack'!P31="","",TRIM('Barn - Front Rack'!P31))</f>
        <v/>
      </c>
      <c r="E951" s="64" t="str">
        <f>IF($D951="","",'Barn - Front Rack'!Q31&amp;"")</f>
        <v/>
      </c>
      <c r="F951" s="63">
        <f t="shared" si="68"/>
        <v>0</v>
      </c>
      <c r="G951" s="64" t="str">
        <f t="shared" si="65"/>
        <v/>
      </c>
      <c r="H951" s="64" t="str">
        <f t="shared" si="66"/>
        <v/>
      </c>
      <c r="I951" s="63">
        <f>IF($G951="",0,IF(COUNTIF($G$2:$G951,$G951)=1,1,0))</f>
        <v>0</v>
      </c>
      <c r="J951" s="63" t="str">
        <f t="shared" si="67"/>
        <v/>
      </c>
      <c r="K951" s="63" t="str">
        <f>IF($H951="","",COUNTIF($H$2:$H951,"?*"))</f>
        <v/>
      </c>
    </row>
    <row r="952" spans="1:11" x14ac:dyDescent="0.25">
      <c r="A952" s="63" t="s">
        <v>1325</v>
      </c>
      <c r="B952" s="63" t="s">
        <v>931</v>
      </c>
      <c r="C952" s="63" t="s">
        <v>556</v>
      </c>
      <c r="D952" s="63" t="str">
        <f>IF('Barn - Front Rack'!P32="","",TRIM('Barn - Front Rack'!P32))</f>
        <v/>
      </c>
      <c r="E952" s="64" t="str">
        <f>IF($D952="","",'Barn - Front Rack'!Q32&amp;"")</f>
        <v/>
      </c>
      <c r="F952" s="63">
        <f t="shared" si="68"/>
        <v>0</v>
      </c>
      <c r="G952" s="64" t="str">
        <f t="shared" si="65"/>
        <v/>
      </c>
      <c r="H952" s="64" t="str">
        <f t="shared" si="66"/>
        <v/>
      </c>
      <c r="I952" s="63">
        <f>IF($G952="",0,IF(COUNTIF($G$2:$G952,$G952)=1,1,0))</f>
        <v>0</v>
      </c>
      <c r="J952" s="63" t="str">
        <f t="shared" si="67"/>
        <v/>
      </c>
      <c r="K952" s="63" t="str">
        <f>IF($H952="","",COUNTIF($H$2:$H952,"?*"))</f>
        <v/>
      </c>
    </row>
    <row r="953" spans="1:11" x14ac:dyDescent="0.25">
      <c r="A953" s="63" t="s">
        <v>1325</v>
      </c>
      <c r="B953" s="63" t="s">
        <v>932</v>
      </c>
      <c r="C953" s="63" t="s">
        <v>556</v>
      </c>
      <c r="D953" s="63" t="str">
        <f>IF('Barn - Front Rack'!P33="","",TRIM('Barn - Front Rack'!P33))</f>
        <v/>
      </c>
      <c r="E953" s="64" t="str">
        <f>IF($D953="","",'Barn - Front Rack'!Q33&amp;"")</f>
        <v/>
      </c>
      <c r="F953" s="63">
        <f t="shared" si="68"/>
        <v>0</v>
      </c>
      <c r="G953" s="64" t="str">
        <f t="shared" si="65"/>
        <v/>
      </c>
      <c r="H953" s="64" t="str">
        <f t="shared" si="66"/>
        <v/>
      </c>
      <c r="I953" s="63">
        <f>IF($G953="",0,IF(COUNTIF($G$2:$G953,$G953)=1,1,0))</f>
        <v>0</v>
      </c>
      <c r="J953" s="63" t="str">
        <f t="shared" si="67"/>
        <v/>
      </c>
      <c r="K953" s="63" t="str">
        <f>IF($H953="","",COUNTIF($H$2:$H953,"?*"))</f>
        <v/>
      </c>
    </row>
    <row r="954" spans="1:11" x14ac:dyDescent="0.25">
      <c r="A954" s="63" t="s">
        <v>1325</v>
      </c>
      <c r="B954" s="63" t="s">
        <v>933</v>
      </c>
      <c r="C954" s="63" t="s">
        <v>556</v>
      </c>
      <c r="D954" s="63" t="str">
        <f>IF('Barn - Front Rack'!P34="","",TRIM('Barn - Front Rack'!P34))</f>
        <v/>
      </c>
      <c r="E954" s="64" t="str">
        <f>IF($D954="","",'Barn - Front Rack'!Q34&amp;"")</f>
        <v/>
      </c>
      <c r="F954" s="63">
        <f t="shared" si="68"/>
        <v>0</v>
      </c>
      <c r="G954" s="64" t="str">
        <f t="shared" si="65"/>
        <v/>
      </c>
      <c r="H954" s="64" t="str">
        <f t="shared" si="66"/>
        <v/>
      </c>
      <c r="I954" s="63">
        <f>IF($G954="",0,IF(COUNTIF($G$2:$G954,$G954)=1,1,0))</f>
        <v>0</v>
      </c>
      <c r="J954" s="63" t="str">
        <f t="shared" si="67"/>
        <v/>
      </c>
      <c r="K954" s="63" t="str">
        <f>IF($H954="","",COUNTIF($H$2:$H954,"?*"))</f>
        <v/>
      </c>
    </row>
    <row r="955" spans="1:11" x14ac:dyDescent="0.25">
      <c r="A955" s="63" t="s">
        <v>1325</v>
      </c>
      <c r="B955" s="63" t="s">
        <v>934</v>
      </c>
      <c r="C955" s="63" t="s">
        <v>556</v>
      </c>
      <c r="D955" s="63" t="str">
        <f>IF('Barn - Front Rack'!P35="","",TRIM('Barn - Front Rack'!P35))</f>
        <v/>
      </c>
      <c r="E955" s="64" t="str">
        <f>IF($D955="","",'Barn - Front Rack'!Q35&amp;"")</f>
        <v/>
      </c>
      <c r="F955" s="63">
        <f t="shared" si="68"/>
        <v>0</v>
      </c>
      <c r="G955" s="64" t="str">
        <f t="shared" si="65"/>
        <v/>
      </c>
      <c r="H955" s="64" t="str">
        <f t="shared" si="66"/>
        <v/>
      </c>
      <c r="I955" s="63">
        <f>IF($G955="",0,IF(COUNTIF($G$2:$G955,$G955)=1,1,0))</f>
        <v>0</v>
      </c>
      <c r="J955" s="63" t="str">
        <f t="shared" si="67"/>
        <v/>
      </c>
      <c r="K955" s="63" t="str">
        <f>IF($H955="","",COUNTIF($H$2:$H955,"?*"))</f>
        <v/>
      </c>
    </row>
    <row r="956" spans="1:11" x14ac:dyDescent="0.25">
      <c r="A956" s="63" t="s">
        <v>1325</v>
      </c>
      <c r="B956" s="63" t="s">
        <v>935</v>
      </c>
      <c r="C956" s="63" t="s">
        <v>556</v>
      </c>
      <c r="D956" s="63" t="str">
        <f>IF('Barn - Front Rack'!P36="","",TRIM('Barn - Front Rack'!P36))</f>
        <v/>
      </c>
      <c r="E956" s="64" t="str">
        <f>IF($D956="","",'Barn - Front Rack'!Q36&amp;"")</f>
        <v/>
      </c>
      <c r="F956" s="63">
        <f t="shared" si="68"/>
        <v>0</v>
      </c>
      <c r="G956" s="64" t="str">
        <f t="shared" si="65"/>
        <v/>
      </c>
      <c r="H956" s="64" t="str">
        <f t="shared" si="66"/>
        <v/>
      </c>
      <c r="I956" s="63">
        <f>IF($G956="",0,IF(COUNTIF($G$2:$G956,$G956)=1,1,0))</f>
        <v>0</v>
      </c>
      <c r="J956" s="63" t="str">
        <f t="shared" si="67"/>
        <v/>
      </c>
      <c r="K956" s="63" t="str">
        <f>IF($H956="","",COUNTIF($H$2:$H956,"?*"))</f>
        <v/>
      </c>
    </row>
    <row r="957" spans="1:11" x14ac:dyDescent="0.25">
      <c r="A957" s="63" t="s">
        <v>1325</v>
      </c>
      <c r="B957" s="63" t="s">
        <v>936</v>
      </c>
      <c r="C957" s="63" t="s">
        <v>556</v>
      </c>
      <c r="D957" s="63" t="str">
        <f>IF('Barn - Front Rack'!P37="","",TRIM('Barn - Front Rack'!P37))</f>
        <v/>
      </c>
      <c r="E957" s="64" t="str">
        <f>IF($D957="","",'Barn - Front Rack'!Q37&amp;"")</f>
        <v/>
      </c>
      <c r="F957" s="63">
        <f t="shared" si="68"/>
        <v>0</v>
      </c>
      <c r="G957" s="64" t="str">
        <f t="shared" si="65"/>
        <v/>
      </c>
      <c r="H957" s="64" t="str">
        <f t="shared" si="66"/>
        <v/>
      </c>
      <c r="I957" s="63">
        <f>IF($G957="",0,IF(COUNTIF($G$2:$G957,$G957)=1,1,0))</f>
        <v>0</v>
      </c>
      <c r="J957" s="63" t="str">
        <f t="shared" si="67"/>
        <v/>
      </c>
      <c r="K957" s="63" t="str">
        <f>IF($H957="","",COUNTIF($H$2:$H957,"?*"))</f>
        <v/>
      </c>
    </row>
    <row r="958" spans="1:11" x14ac:dyDescent="0.25">
      <c r="A958" s="63" t="s">
        <v>1325</v>
      </c>
      <c r="B958" s="63" t="s">
        <v>937</v>
      </c>
      <c r="C958" s="63" t="s">
        <v>556</v>
      </c>
      <c r="D958" s="63" t="str">
        <f>IF('Barn - Front Rack'!P38="","",TRIM('Barn - Front Rack'!P38))</f>
        <v/>
      </c>
      <c r="E958" s="64" t="str">
        <f>IF($D958="","",'Barn - Front Rack'!Q38&amp;"")</f>
        <v/>
      </c>
      <c r="F958" s="63">
        <f t="shared" si="68"/>
        <v>0</v>
      </c>
      <c r="G958" s="64" t="str">
        <f t="shared" si="65"/>
        <v/>
      </c>
      <c r="H958" s="64" t="str">
        <f t="shared" si="66"/>
        <v/>
      </c>
      <c r="I958" s="63">
        <f>IF($G958="",0,IF(COUNTIF($G$2:$G958,$G958)=1,1,0))</f>
        <v>0</v>
      </c>
      <c r="J958" s="63" t="str">
        <f t="shared" si="67"/>
        <v/>
      </c>
      <c r="K958" s="63" t="str">
        <f>IF($H958="","",COUNTIF($H$2:$H958,"?*"))</f>
        <v/>
      </c>
    </row>
    <row r="959" spans="1:11" x14ac:dyDescent="0.25">
      <c r="A959" s="63" t="s">
        <v>1325</v>
      </c>
      <c r="B959" s="63" t="s">
        <v>938</v>
      </c>
      <c r="C959" s="63" t="s">
        <v>556</v>
      </c>
      <c r="D959" s="63" t="str">
        <f>IF('Barn - Front Rack'!P39="","",TRIM('Barn - Front Rack'!P39))</f>
        <v/>
      </c>
      <c r="E959" s="64" t="str">
        <f>IF($D959="","",'Barn - Front Rack'!Q39&amp;"")</f>
        <v/>
      </c>
      <c r="F959" s="63">
        <f t="shared" si="68"/>
        <v>0</v>
      </c>
      <c r="G959" s="64" t="str">
        <f t="shared" si="65"/>
        <v/>
      </c>
      <c r="H959" s="64" t="str">
        <f t="shared" si="66"/>
        <v/>
      </c>
      <c r="I959" s="63">
        <f>IF($G959="",0,IF(COUNTIF($G$2:$G959,$G959)=1,1,0))</f>
        <v>0</v>
      </c>
      <c r="J959" s="63" t="str">
        <f t="shared" si="67"/>
        <v/>
      </c>
      <c r="K959" s="63" t="str">
        <f>IF($H959="","",COUNTIF($H$2:$H959,"?*"))</f>
        <v/>
      </c>
    </row>
    <row r="960" spans="1:11" x14ac:dyDescent="0.25">
      <c r="A960" s="63" t="s">
        <v>1325</v>
      </c>
      <c r="B960" s="63" t="s">
        <v>939</v>
      </c>
      <c r="C960" s="63" t="s">
        <v>556</v>
      </c>
      <c r="D960" s="63" t="str">
        <f>IF('Barn - Front Rack'!P40="","",TRIM('Barn - Front Rack'!P40))</f>
        <v/>
      </c>
      <c r="E960" s="64" t="str">
        <f>IF($D960="","",'Barn - Front Rack'!Q40&amp;"")</f>
        <v/>
      </c>
      <c r="F960" s="63">
        <f t="shared" si="68"/>
        <v>0</v>
      </c>
      <c r="G960" s="64" t="str">
        <f t="shared" si="65"/>
        <v/>
      </c>
      <c r="H960" s="64" t="str">
        <f t="shared" si="66"/>
        <v/>
      </c>
      <c r="I960" s="63">
        <f>IF($G960="",0,IF(COUNTIF($G$2:$G960,$G960)=1,1,0))</f>
        <v>0</v>
      </c>
      <c r="J960" s="63" t="str">
        <f t="shared" si="67"/>
        <v/>
      </c>
      <c r="K960" s="63" t="str">
        <f>IF($H960="","",COUNTIF($H$2:$H960,"?*"))</f>
        <v/>
      </c>
    </row>
    <row r="961" spans="1:11" x14ac:dyDescent="0.25">
      <c r="A961" s="63" t="s">
        <v>1325</v>
      </c>
      <c r="B961" s="63" t="s">
        <v>940</v>
      </c>
      <c r="C961" s="63" t="s">
        <v>556</v>
      </c>
      <c r="D961" s="63" t="str">
        <f>IF('Barn - Front Rack'!P41="","",TRIM('Barn - Front Rack'!P41))</f>
        <v/>
      </c>
      <c r="E961" s="64" t="str">
        <f>IF($D961="","",'Barn - Front Rack'!Q41&amp;"")</f>
        <v/>
      </c>
      <c r="F961" s="63">
        <f t="shared" si="68"/>
        <v>0</v>
      </c>
      <c r="G961" s="64" t="str">
        <f t="shared" si="65"/>
        <v/>
      </c>
      <c r="H961" s="64" t="str">
        <f t="shared" si="66"/>
        <v/>
      </c>
      <c r="I961" s="63">
        <f>IF($G961="",0,IF(COUNTIF($G$2:$G961,$G961)=1,1,0))</f>
        <v>0</v>
      </c>
      <c r="J961" s="63" t="str">
        <f t="shared" si="67"/>
        <v/>
      </c>
      <c r="K961" s="63" t="str">
        <f>IF($H961="","",COUNTIF($H$2:$H961,"?*"))</f>
        <v/>
      </c>
    </row>
    <row r="962" spans="1:11" x14ac:dyDescent="0.25">
      <c r="A962" s="63" t="s">
        <v>1325</v>
      </c>
      <c r="B962" s="63" t="s">
        <v>1037</v>
      </c>
      <c r="C962" s="63" t="s">
        <v>556</v>
      </c>
      <c r="D962" s="63" t="str">
        <f>IF('Barn - Front Rack'!B47="","",TRIM('Barn - Front Rack'!B47))</f>
        <v>Bunn G9-2T</v>
      </c>
      <c r="E962" s="64" t="str">
        <f>IF($D962="","",'Barn - Front Rack'!C47&amp;"")</f>
        <v>G900046036</v>
      </c>
      <c r="F962" s="63">
        <f t="shared" si="68"/>
        <v>1</v>
      </c>
      <c r="G962" s="64" t="str">
        <f t="shared" ref="G962:G1025" si="69">IF($D962="","",IF(ISNUMBER(FIND("(",$D962)),TRIM(LEFT($D962,FIND("(",$D962)-1)),$D962))</f>
        <v>Bunn G9-2T</v>
      </c>
      <c r="H962" s="64" t="str">
        <f t="shared" ref="H962:H1025" si="70">IF($D962="","",IF(ISNUMBER(FIND("(",$D962)),TRIM(SUBSTITUTE(MID($D962,FIND("(",$D962)+1,200),")","")),""))</f>
        <v/>
      </c>
      <c r="I962" s="63">
        <f>IF($G962="",0,IF(COUNTIF($G$2:$G962,$G962)=1,1,0))</f>
        <v>0</v>
      </c>
      <c r="J962" s="63" t="str">
        <f t="shared" ref="J962:J1025" si="71">IF($I962=0,"",SUMPRODUCT(($I$2:$I$1513=1)*($G$2:$G$1513&lt;$G962))+1)</f>
        <v/>
      </c>
      <c r="K962" s="63" t="str">
        <f>IF($H962="","",COUNTIF($H$2:$H962,"?*"))</f>
        <v/>
      </c>
    </row>
    <row r="963" spans="1:11" x14ac:dyDescent="0.25">
      <c r="A963" s="63" t="s">
        <v>1325</v>
      </c>
      <c r="B963" s="63" t="s">
        <v>1038</v>
      </c>
      <c r="C963" s="63" t="s">
        <v>556</v>
      </c>
      <c r="D963" s="63" t="str">
        <f>IF('Barn - Front Rack'!B48="","",TRIM('Barn - Front Rack'!B48))</f>
        <v>Bunn G9-2T</v>
      </c>
      <c r="E963" s="64" t="str">
        <f>IF($D963="","",'Barn - Front Rack'!C48&amp;"")</f>
        <v>G900032427</v>
      </c>
      <c r="F963" s="63">
        <f t="shared" si="68"/>
        <v>1</v>
      </c>
      <c r="G963" s="64" t="str">
        <f t="shared" si="69"/>
        <v>Bunn G9-2T</v>
      </c>
      <c r="H963" s="64" t="str">
        <f t="shared" si="70"/>
        <v/>
      </c>
      <c r="I963" s="63">
        <f>IF($G963="",0,IF(COUNTIF($G$2:$G963,$G963)=1,1,0))</f>
        <v>0</v>
      </c>
      <c r="J963" s="63" t="str">
        <f t="shared" si="71"/>
        <v/>
      </c>
      <c r="K963" s="63" t="str">
        <f>IF($H963="","",COUNTIF($H$2:$H963,"?*"))</f>
        <v/>
      </c>
    </row>
    <row r="964" spans="1:11" x14ac:dyDescent="0.25">
      <c r="A964" s="63" t="s">
        <v>1325</v>
      </c>
      <c r="B964" s="63" t="s">
        <v>1039</v>
      </c>
      <c r="C964" s="63" t="s">
        <v>556</v>
      </c>
      <c r="D964" s="63" t="str">
        <f>IF('Barn - Front Rack'!B49="","",TRIM('Barn - Front Rack'!B49))</f>
        <v>Bunn G9-2T</v>
      </c>
      <c r="E964" s="64" t="str">
        <f>IF($D964="","",'Barn - Front Rack'!C49&amp;"")</f>
        <v>G900104243</v>
      </c>
      <c r="F964" s="63">
        <f t="shared" si="68"/>
        <v>1</v>
      </c>
      <c r="G964" s="64" t="str">
        <f t="shared" si="69"/>
        <v>Bunn G9-2T</v>
      </c>
      <c r="H964" s="64" t="str">
        <f t="shared" si="70"/>
        <v/>
      </c>
      <c r="I964" s="63">
        <f>IF($G964="",0,IF(COUNTIF($G$2:$G964,$G964)=1,1,0))</f>
        <v>0</v>
      </c>
      <c r="J964" s="63" t="str">
        <f t="shared" si="71"/>
        <v/>
      </c>
      <c r="K964" s="63" t="str">
        <f>IF($H964="","",COUNTIF($H$2:$H964,"?*"))</f>
        <v/>
      </c>
    </row>
    <row r="965" spans="1:11" x14ac:dyDescent="0.25">
      <c r="A965" s="63" t="s">
        <v>1325</v>
      </c>
      <c r="B965" s="63" t="s">
        <v>1040</v>
      </c>
      <c r="C965" s="63" t="s">
        <v>556</v>
      </c>
      <c r="D965" s="63" t="str">
        <f>IF('Barn - Front Rack'!B50="","",TRIM('Barn - Front Rack'!B50))</f>
        <v>Bunn G9-2T</v>
      </c>
      <c r="E965" s="64" t="str">
        <f>IF($D965="","",'Barn - Front Rack'!C50&amp;"")</f>
        <v>G900045471</v>
      </c>
      <c r="F965" s="63">
        <f t="shared" si="68"/>
        <v>1</v>
      </c>
      <c r="G965" s="64" t="str">
        <f t="shared" si="69"/>
        <v>Bunn G9-2T</v>
      </c>
      <c r="H965" s="64" t="str">
        <f t="shared" si="70"/>
        <v/>
      </c>
      <c r="I965" s="63">
        <f>IF($G965="",0,IF(COUNTIF($G$2:$G965,$G965)=1,1,0))</f>
        <v>0</v>
      </c>
      <c r="J965" s="63" t="str">
        <f t="shared" si="71"/>
        <v/>
      </c>
      <c r="K965" s="63" t="str">
        <f>IF($H965="","",COUNTIF($H$2:$H965,"?*"))</f>
        <v/>
      </c>
    </row>
    <row r="966" spans="1:11" x14ac:dyDescent="0.25">
      <c r="A966" s="63" t="s">
        <v>1325</v>
      </c>
      <c r="B966" s="63" t="s">
        <v>1041</v>
      </c>
      <c r="C966" s="63" t="s">
        <v>556</v>
      </c>
      <c r="D966" s="63" t="str">
        <f>IF('Barn - Front Rack'!B51="","",TRIM('Barn - Front Rack'!B51))</f>
        <v>Bunn G9-2T</v>
      </c>
      <c r="E966" s="64" t="str">
        <f>IF($D966="","",'Barn - Front Rack'!C51&amp;"")</f>
        <v>G900044774</v>
      </c>
      <c r="F966" s="63">
        <f t="shared" si="68"/>
        <v>1</v>
      </c>
      <c r="G966" s="64" t="str">
        <f t="shared" si="69"/>
        <v>Bunn G9-2T</v>
      </c>
      <c r="H966" s="64" t="str">
        <f t="shared" si="70"/>
        <v/>
      </c>
      <c r="I966" s="63">
        <f>IF($G966="",0,IF(COUNTIF($G$2:$G966,$G966)=1,1,0))</f>
        <v>0</v>
      </c>
      <c r="J966" s="63" t="str">
        <f t="shared" si="71"/>
        <v/>
      </c>
      <c r="K966" s="63" t="str">
        <f>IF($H966="","",COUNTIF($H$2:$H966,"?*"))</f>
        <v/>
      </c>
    </row>
    <row r="967" spans="1:11" x14ac:dyDescent="0.25">
      <c r="A967" s="63" t="s">
        <v>1325</v>
      </c>
      <c r="B967" s="63" t="s">
        <v>1042</v>
      </c>
      <c r="C967" s="63" t="s">
        <v>556</v>
      </c>
      <c r="D967" s="63" t="str">
        <f>IF('Barn - Front Rack'!B52="","",TRIM('Barn - Front Rack'!B52))</f>
        <v>Bunn G3</v>
      </c>
      <c r="E967" s="64" t="str">
        <f>IF($D967="","",'Barn - Front Rack'!C52&amp;"")</f>
        <v>G3152108</v>
      </c>
      <c r="F967" s="63">
        <f t="shared" si="68"/>
        <v>1</v>
      </c>
      <c r="G967" s="64" t="str">
        <f t="shared" si="69"/>
        <v>Bunn G3</v>
      </c>
      <c r="H967" s="64" t="str">
        <f t="shared" si="70"/>
        <v/>
      </c>
      <c r="I967" s="63">
        <f>IF($G967="",0,IF(COUNTIF($G$2:$G967,$G967)=1,1,0))</f>
        <v>1</v>
      </c>
      <c r="J967" s="63">
        <f t="shared" si="71"/>
        <v>13</v>
      </c>
      <c r="K967" s="63" t="str">
        <f>IF($H967="","",COUNTIF($H$2:$H967,"?*"))</f>
        <v/>
      </c>
    </row>
    <row r="968" spans="1:11" x14ac:dyDescent="0.25">
      <c r="A968" s="63" t="s">
        <v>1325</v>
      </c>
      <c r="B968" s="63" t="s">
        <v>1043</v>
      </c>
      <c r="C968" s="63" t="s">
        <v>556</v>
      </c>
      <c r="D968" s="63" t="str">
        <f>IF('Barn - Front Rack'!B53="","",TRIM('Barn - Front Rack'!B53))</f>
        <v>Bunn G3</v>
      </c>
      <c r="E968" s="64" t="str">
        <f>IF($D968="","",'Barn - Front Rack'!C53&amp;"")</f>
        <v>G300035983</v>
      </c>
      <c r="F968" s="63">
        <f t="shared" si="68"/>
        <v>1</v>
      </c>
      <c r="G968" s="64" t="str">
        <f t="shared" si="69"/>
        <v>Bunn G3</v>
      </c>
      <c r="H968" s="64" t="str">
        <f t="shared" si="70"/>
        <v/>
      </c>
      <c r="I968" s="63">
        <f>IF($G968="",0,IF(COUNTIF($G$2:$G968,$G968)=1,1,0))</f>
        <v>0</v>
      </c>
      <c r="J968" s="63" t="str">
        <f t="shared" si="71"/>
        <v/>
      </c>
      <c r="K968" s="63" t="str">
        <f>IF($H968="","",COUNTIF($H$2:$H968,"?*"))</f>
        <v/>
      </c>
    </row>
    <row r="969" spans="1:11" x14ac:dyDescent="0.25">
      <c r="A969" s="63" t="s">
        <v>1325</v>
      </c>
      <c r="B969" s="63" t="s">
        <v>1044</v>
      </c>
      <c r="C969" s="63" t="s">
        <v>556</v>
      </c>
      <c r="D969" s="63" t="str">
        <f>IF('Barn - Front Rack'!B54="","",TRIM('Barn - Front Rack'!B54))</f>
        <v>Bunn G3</v>
      </c>
      <c r="E969" s="64" t="str">
        <f>IF($D969="","",'Barn - Front Rack'!C54&amp;"")</f>
        <v>G300078569</v>
      </c>
      <c r="F969" s="63">
        <f t="shared" si="68"/>
        <v>1</v>
      </c>
      <c r="G969" s="64" t="str">
        <f t="shared" si="69"/>
        <v>Bunn G3</v>
      </c>
      <c r="H969" s="64" t="str">
        <f t="shared" si="70"/>
        <v/>
      </c>
      <c r="I969" s="63">
        <f>IF($G969="",0,IF(COUNTIF($G$2:$G969,$G969)=1,1,0))</f>
        <v>0</v>
      </c>
      <c r="J969" s="63" t="str">
        <f t="shared" si="71"/>
        <v/>
      </c>
      <c r="K969" s="63" t="str">
        <f>IF($H969="","",COUNTIF($H$2:$H969,"?*"))</f>
        <v/>
      </c>
    </row>
    <row r="970" spans="1:11" x14ac:dyDescent="0.25">
      <c r="A970" s="63" t="s">
        <v>1325</v>
      </c>
      <c r="B970" s="63" t="s">
        <v>1045</v>
      </c>
      <c r="C970" s="63" t="s">
        <v>556</v>
      </c>
      <c r="D970" s="63" t="str">
        <f>IF('Barn - Front Rack'!B55="","",TRIM('Barn - Front Rack'!B55))</f>
        <v>Bunn G3</v>
      </c>
      <c r="E970" s="64" t="str">
        <f>IF($D970="","",'Barn - Front Rack'!C55&amp;"")</f>
        <v>G300080000</v>
      </c>
      <c r="F970" s="63">
        <f t="shared" ref="F970:F1033" si="72">IF($D970="",0,1)</f>
        <v>1</v>
      </c>
      <c r="G970" s="64" t="str">
        <f t="shared" si="69"/>
        <v>Bunn G3</v>
      </c>
      <c r="H970" s="64" t="str">
        <f t="shared" si="70"/>
        <v/>
      </c>
      <c r="I970" s="63">
        <f>IF($G970="",0,IF(COUNTIF($G$2:$G970,$G970)=1,1,0))</f>
        <v>0</v>
      </c>
      <c r="J970" s="63" t="str">
        <f t="shared" si="71"/>
        <v/>
      </c>
      <c r="K970" s="63" t="str">
        <f>IF($H970="","",COUNTIF($H$2:$H970,"?*"))</f>
        <v/>
      </c>
    </row>
    <row r="971" spans="1:11" x14ac:dyDescent="0.25">
      <c r="A971" s="63" t="s">
        <v>1325</v>
      </c>
      <c r="B971" s="63" t="s">
        <v>1046</v>
      </c>
      <c r="C971" s="63" t="s">
        <v>556</v>
      </c>
      <c r="D971" s="63" t="str">
        <f>IF('Barn - Front Rack'!B56="","",TRIM('Barn - Front Rack'!B56))</f>
        <v/>
      </c>
      <c r="E971" s="64" t="str">
        <f>IF($D971="","",'Barn - Front Rack'!C56&amp;"")</f>
        <v/>
      </c>
      <c r="F971" s="63">
        <f t="shared" si="72"/>
        <v>0</v>
      </c>
      <c r="G971" s="64" t="str">
        <f t="shared" si="69"/>
        <v/>
      </c>
      <c r="H971" s="64" t="str">
        <f t="shared" si="70"/>
        <v/>
      </c>
      <c r="I971" s="63">
        <f>IF($G971="",0,IF(COUNTIF($G$2:$G971,$G971)=1,1,0))</f>
        <v>0</v>
      </c>
      <c r="J971" s="63" t="str">
        <f t="shared" si="71"/>
        <v/>
      </c>
      <c r="K971" s="63" t="str">
        <f>IF($H971="","",COUNTIF($H$2:$H971,"?*"))</f>
        <v/>
      </c>
    </row>
    <row r="972" spans="1:11" x14ac:dyDescent="0.25">
      <c r="A972" s="63" t="s">
        <v>1325</v>
      </c>
      <c r="B972" s="63" t="s">
        <v>1047</v>
      </c>
      <c r="C972" s="63" t="s">
        <v>556</v>
      </c>
      <c r="D972" s="63" t="str">
        <f>IF('Barn - Front Rack'!B57="","",TRIM('Barn - Front Rack'!B57))</f>
        <v/>
      </c>
      <c r="E972" s="64" t="str">
        <f>IF($D972="","",'Barn - Front Rack'!C57&amp;"")</f>
        <v/>
      </c>
      <c r="F972" s="63">
        <f t="shared" si="72"/>
        <v>0</v>
      </c>
      <c r="G972" s="64" t="str">
        <f t="shared" si="69"/>
        <v/>
      </c>
      <c r="H972" s="64" t="str">
        <f t="shared" si="70"/>
        <v/>
      </c>
      <c r="I972" s="63">
        <f>IF($G972="",0,IF(COUNTIF($G$2:$G972,$G972)=1,1,0))</f>
        <v>0</v>
      </c>
      <c r="J972" s="63" t="str">
        <f t="shared" si="71"/>
        <v/>
      </c>
      <c r="K972" s="63" t="str">
        <f>IF($H972="","",COUNTIF($H$2:$H972,"?*"))</f>
        <v/>
      </c>
    </row>
    <row r="973" spans="1:11" x14ac:dyDescent="0.25">
      <c r="A973" s="63" t="s">
        <v>1325</v>
      </c>
      <c r="B973" s="63" t="s">
        <v>1048</v>
      </c>
      <c r="C973" s="63" t="s">
        <v>556</v>
      </c>
      <c r="D973" s="63" t="str">
        <f>IF('Barn - Front Rack'!B58="","",TRIM('Barn - Front Rack'!B58))</f>
        <v/>
      </c>
      <c r="E973" s="64" t="str">
        <f>IF($D973="","",'Barn - Front Rack'!C58&amp;"")</f>
        <v/>
      </c>
      <c r="F973" s="63">
        <f t="shared" si="72"/>
        <v>0</v>
      </c>
      <c r="G973" s="64" t="str">
        <f t="shared" si="69"/>
        <v/>
      </c>
      <c r="H973" s="64" t="str">
        <f t="shared" si="70"/>
        <v/>
      </c>
      <c r="I973" s="63">
        <f>IF($G973="",0,IF(COUNTIF($G$2:$G973,$G973)=1,1,0))</f>
        <v>0</v>
      </c>
      <c r="J973" s="63" t="str">
        <f t="shared" si="71"/>
        <v/>
      </c>
      <c r="K973" s="63" t="str">
        <f>IF($H973="","",COUNTIF($H$2:$H973,"?*"))</f>
        <v/>
      </c>
    </row>
    <row r="974" spans="1:11" x14ac:dyDescent="0.25">
      <c r="A974" s="63" t="s">
        <v>1325</v>
      </c>
      <c r="B974" s="63" t="s">
        <v>1049</v>
      </c>
      <c r="C974" s="63" t="s">
        <v>556</v>
      </c>
      <c r="D974" s="63" t="str">
        <f>IF('Barn - Front Rack'!D47="","",TRIM('Barn - Front Rack'!D47))</f>
        <v>Bunn Axiom-APS</v>
      </c>
      <c r="E974" s="64" t="str">
        <f>IF($D974="","",'Barn - Front Rack'!E47&amp;"")</f>
        <v>AXAP049371</v>
      </c>
      <c r="F974" s="63">
        <f t="shared" si="72"/>
        <v>1</v>
      </c>
      <c r="G974" s="64" t="str">
        <f t="shared" si="69"/>
        <v>Bunn Axiom-APS</v>
      </c>
      <c r="H974" s="64" t="str">
        <f t="shared" si="70"/>
        <v/>
      </c>
      <c r="I974" s="63">
        <f>IF($G974="",0,IF(COUNTIF($G$2:$G974,$G974)=1,1,0))</f>
        <v>0</v>
      </c>
      <c r="J974" s="63" t="str">
        <f t="shared" si="71"/>
        <v/>
      </c>
      <c r="K974" s="63" t="str">
        <f>IF($H974="","",COUNTIF($H$2:$H974,"?*"))</f>
        <v/>
      </c>
    </row>
    <row r="975" spans="1:11" x14ac:dyDescent="0.25">
      <c r="A975" s="63" t="s">
        <v>1325</v>
      </c>
      <c r="B975" s="63" t="s">
        <v>1050</v>
      </c>
      <c r="C975" s="63" t="s">
        <v>556</v>
      </c>
      <c r="D975" s="63" t="str">
        <f>IF('Barn - Front Rack'!D48="","",TRIM('Barn - Front Rack'!D48))</f>
        <v>Bunn Axiom-APS</v>
      </c>
      <c r="E975" s="64" t="str">
        <f>IF($D975="","",'Barn - Front Rack'!E48&amp;"")</f>
        <v>AXAP049074</v>
      </c>
      <c r="F975" s="63">
        <f t="shared" si="72"/>
        <v>1</v>
      </c>
      <c r="G975" s="64" t="str">
        <f t="shared" si="69"/>
        <v>Bunn Axiom-APS</v>
      </c>
      <c r="H975" s="64" t="str">
        <f t="shared" si="70"/>
        <v/>
      </c>
      <c r="I975" s="63">
        <f>IF($G975="",0,IF(COUNTIF($G$2:$G975,$G975)=1,1,0))</f>
        <v>0</v>
      </c>
      <c r="J975" s="63" t="str">
        <f t="shared" si="71"/>
        <v/>
      </c>
      <c r="K975" s="63" t="str">
        <f>IF($H975="","",COUNTIF($H$2:$H975,"?*"))</f>
        <v/>
      </c>
    </row>
    <row r="976" spans="1:11" x14ac:dyDescent="0.25">
      <c r="A976" s="63" t="s">
        <v>1325</v>
      </c>
      <c r="B976" s="63" t="s">
        <v>1051</v>
      </c>
      <c r="C976" s="63" t="s">
        <v>556</v>
      </c>
      <c r="D976" s="63" t="str">
        <f>IF('Barn - Front Rack'!D49="","",TRIM('Barn - Front Rack'!D49))</f>
        <v>Bunn Axiom-APS</v>
      </c>
      <c r="E976" s="64" t="str">
        <f>IF($D976="","",'Barn - Front Rack'!E49&amp;"")</f>
        <v>AXAP048045</v>
      </c>
      <c r="F976" s="63">
        <f t="shared" si="72"/>
        <v>1</v>
      </c>
      <c r="G976" s="64" t="str">
        <f t="shared" si="69"/>
        <v>Bunn Axiom-APS</v>
      </c>
      <c r="H976" s="64" t="str">
        <f t="shared" si="70"/>
        <v/>
      </c>
      <c r="I976" s="63">
        <f>IF($G976="",0,IF(COUNTIF($G$2:$G976,$G976)=1,1,0))</f>
        <v>0</v>
      </c>
      <c r="J976" s="63" t="str">
        <f t="shared" si="71"/>
        <v/>
      </c>
      <c r="K976" s="63" t="str">
        <f>IF($H976="","",COUNTIF($H$2:$H976,"?*"))</f>
        <v/>
      </c>
    </row>
    <row r="977" spans="1:11" x14ac:dyDescent="0.25">
      <c r="A977" s="63" t="s">
        <v>1325</v>
      </c>
      <c r="B977" s="63" t="s">
        <v>1052</v>
      </c>
      <c r="C977" s="63" t="s">
        <v>556</v>
      </c>
      <c r="D977" s="63" t="str">
        <f>IF('Barn - Front Rack'!D50="","",TRIM('Barn - Front Rack'!D50))</f>
        <v>Bunn Axiom-APS</v>
      </c>
      <c r="E977" s="64" t="str">
        <f>IF($D977="","",'Barn - Front Rack'!E50&amp;"")</f>
        <v>AXAP028483</v>
      </c>
      <c r="F977" s="63">
        <f t="shared" si="72"/>
        <v>1</v>
      </c>
      <c r="G977" s="64" t="str">
        <f t="shared" si="69"/>
        <v>Bunn Axiom-APS</v>
      </c>
      <c r="H977" s="64" t="str">
        <f t="shared" si="70"/>
        <v/>
      </c>
      <c r="I977" s="63">
        <f>IF($G977="",0,IF(COUNTIF($G$2:$G977,$G977)=1,1,0))</f>
        <v>0</v>
      </c>
      <c r="J977" s="63" t="str">
        <f t="shared" si="71"/>
        <v/>
      </c>
      <c r="K977" s="63" t="str">
        <f>IF($H977="","",COUNTIF($H$2:$H977,"?*"))</f>
        <v/>
      </c>
    </row>
    <row r="978" spans="1:11" x14ac:dyDescent="0.25">
      <c r="A978" s="63" t="s">
        <v>1325</v>
      </c>
      <c r="B978" s="63" t="s">
        <v>1053</v>
      </c>
      <c r="C978" s="63" t="s">
        <v>556</v>
      </c>
      <c r="D978" s="63" t="str">
        <f>IF('Barn - Front Rack'!D51="","",TRIM('Barn - Front Rack'!D51))</f>
        <v>Bunn Axiom-APS</v>
      </c>
      <c r="E978" s="64" t="str">
        <f>IF($D978="","",'Barn - Front Rack'!E51&amp;"")</f>
        <v>AXAP031358</v>
      </c>
      <c r="F978" s="63">
        <f t="shared" si="72"/>
        <v>1</v>
      </c>
      <c r="G978" s="64" t="str">
        <f t="shared" si="69"/>
        <v>Bunn Axiom-APS</v>
      </c>
      <c r="H978" s="64" t="str">
        <f t="shared" si="70"/>
        <v/>
      </c>
      <c r="I978" s="63">
        <f>IF($G978="",0,IF(COUNTIF($G$2:$G978,$G978)=1,1,0))</f>
        <v>0</v>
      </c>
      <c r="J978" s="63" t="str">
        <f t="shared" si="71"/>
        <v/>
      </c>
      <c r="K978" s="63" t="str">
        <f>IF($H978="","",COUNTIF($H$2:$H978,"?*"))</f>
        <v/>
      </c>
    </row>
    <row r="979" spans="1:11" x14ac:dyDescent="0.25">
      <c r="A979" s="63" t="s">
        <v>1325</v>
      </c>
      <c r="B979" s="63" t="s">
        <v>1054</v>
      </c>
      <c r="C979" s="63" t="s">
        <v>556</v>
      </c>
      <c r="D979" s="63" t="str">
        <f>IF('Barn - Front Rack'!D52="","",TRIM('Barn - Front Rack'!D52))</f>
        <v>Bunn Axiom-APS</v>
      </c>
      <c r="E979" s="64" t="str">
        <f>IF($D979="","",'Barn - Front Rack'!E52&amp;"")</f>
        <v>AXAP049087</v>
      </c>
      <c r="F979" s="63">
        <f t="shared" si="72"/>
        <v>1</v>
      </c>
      <c r="G979" s="64" t="str">
        <f t="shared" si="69"/>
        <v>Bunn Axiom-APS</v>
      </c>
      <c r="H979" s="64" t="str">
        <f t="shared" si="70"/>
        <v/>
      </c>
      <c r="I979" s="63">
        <f>IF($G979="",0,IF(COUNTIF($G$2:$G979,$G979)=1,1,0))</f>
        <v>0</v>
      </c>
      <c r="J979" s="63" t="str">
        <f t="shared" si="71"/>
        <v/>
      </c>
      <c r="K979" s="63" t="str">
        <f>IF($H979="","",COUNTIF($H$2:$H979,"?*"))</f>
        <v/>
      </c>
    </row>
    <row r="980" spans="1:11" x14ac:dyDescent="0.25">
      <c r="A980" s="63" t="s">
        <v>1325</v>
      </c>
      <c r="B980" s="63" t="s">
        <v>1055</v>
      </c>
      <c r="C980" s="63" t="s">
        <v>556</v>
      </c>
      <c r="D980" s="63" t="str">
        <f>IF('Barn - Front Rack'!D53="","",TRIM('Barn - Front Rack'!D53))</f>
        <v/>
      </c>
      <c r="E980" s="64" t="str">
        <f>IF($D980="","",'Barn - Front Rack'!E53&amp;"")</f>
        <v/>
      </c>
      <c r="F980" s="63">
        <f t="shared" si="72"/>
        <v>0</v>
      </c>
      <c r="G980" s="64" t="str">
        <f t="shared" si="69"/>
        <v/>
      </c>
      <c r="H980" s="64" t="str">
        <f t="shared" si="70"/>
        <v/>
      </c>
      <c r="I980" s="63">
        <f>IF($G980="",0,IF(COUNTIF($G$2:$G980,$G980)=1,1,0))</f>
        <v>0</v>
      </c>
      <c r="J980" s="63" t="str">
        <f t="shared" si="71"/>
        <v/>
      </c>
      <c r="K980" s="63" t="str">
        <f>IF($H980="","",COUNTIF($H$2:$H980,"?*"))</f>
        <v/>
      </c>
    </row>
    <row r="981" spans="1:11" x14ac:dyDescent="0.25">
      <c r="A981" s="63" t="s">
        <v>1325</v>
      </c>
      <c r="B981" s="63" t="s">
        <v>1056</v>
      </c>
      <c r="C981" s="63" t="s">
        <v>556</v>
      </c>
      <c r="D981" s="63" t="str">
        <f>IF('Barn - Front Rack'!D54="","",TRIM('Barn - Front Rack'!D54))</f>
        <v/>
      </c>
      <c r="E981" s="64" t="str">
        <f>IF($D981="","",'Barn - Front Rack'!E54&amp;"")</f>
        <v/>
      </c>
      <c r="F981" s="63">
        <f t="shared" si="72"/>
        <v>0</v>
      </c>
      <c r="G981" s="64" t="str">
        <f t="shared" si="69"/>
        <v/>
      </c>
      <c r="H981" s="64" t="str">
        <f t="shared" si="70"/>
        <v/>
      </c>
      <c r="I981" s="63">
        <f>IF($G981="",0,IF(COUNTIF($G$2:$G981,$G981)=1,1,0))</f>
        <v>0</v>
      </c>
      <c r="J981" s="63" t="str">
        <f t="shared" si="71"/>
        <v/>
      </c>
      <c r="K981" s="63" t="str">
        <f>IF($H981="","",COUNTIF($H$2:$H981,"?*"))</f>
        <v/>
      </c>
    </row>
    <row r="982" spans="1:11" x14ac:dyDescent="0.25">
      <c r="A982" s="63" t="s">
        <v>1325</v>
      </c>
      <c r="B982" s="63" t="s">
        <v>1057</v>
      </c>
      <c r="C982" s="63" t="s">
        <v>556</v>
      </c>
      <c r="D982" s="63" t="str">
        <f>IF('Barn - Front Rack'!D55="","",TRIM('Barn - Front Rack'!D55))</f>
        <v/>
      </c>
      <c r="E982" s="64" t="str">
        <f>IF($D982="","",'Barn - Front Rack'!E55&amp;"")</f>
        <v/>
      </c>
      <c r="F982" s="63">
        <f t="shared" si="72"/>
        <v>0</v>
      </c>
      <c r="G982" s="64" t="str">
        <f t="shared" si="69"/>
        <v/>
      </c>
      <c r="H982" s="64" t="str">
        <f t="shared" si="70"/>
        <v/>
      </c>
      <c r="I982" s="63">
        <f>IF($G982="",0,IF(COUNTIF($G$2:$G982,$G982)=1,1,0))</f>
        <v>0</v>
      </c>
      <c r="J982" s="63" t="str">
        <f t="shared" si="71"/>
        <v/>
      </c>
      <c r="K982" s="63" t="str">
        <f>IF($H982="","",COUNTIF($H$2:$H982,"?*"))</f>
        <v/>
      </c>
    </row>
    <row r="983" spans="1:11" x14ac:dyDescent="0.25">
      <c r="A983" s="63" t="s">
        <v>1325</v>
      </c>
      <c r="B983" s="63" t="s">
        <v>1058</v>
      </c>
      <c r="C983" s="63" t="s">
        <v>556</v>
      </c>
      <c r="D983" s="63" t="str">
        <f>IF('Barn - Front Rack'!D56="","",TRIM('Barn - Front Rack'!D56))</f>
        <v/>
      </c>
      <c r="E983" s="64" t="str">
        <f>IF($D983="","",'Barn - Front Rack'!E56&amp;"")</f>
        <v/>
      </c>
      <c r="F983" s="63">
        <f t="shared" si="72"/>
        <v>0</v>
      </c>
      <c r="G983" s="64" t="str">
        <f t="shared" si="69"/>
        <v/>
      </c>
      <c r="H983" s="64" t="str">
        <f t="shared" si="70"/>
        <v/>
      </c>
      <c r="I983" s="63">
        <f>IF($G983="",0,IF(COUNTIF($G$2:$G983,$G983)=1,1,0))</f>
        <v>0</v>
      </c>
      <c r="J983" s="63" t="str">
        <f t="shared" si="71"/>
        <v/>
      </c>
      <c r="K983" s="63" t="str">
        <f>IF($H983="","",COUNTIF($H$2:$H983,"?*"))</f>
        <v/>
      </c>
    </row>
    <row r="984" spans="1:11" x14ac:dyDescent="0.25">
      <c r="A984" s="63" t="s">
        <v>1325</v>
      </c>
      <c r="B984" s="63" t="s">
        <v>1059</v>
      </c>
      <c r="C984" s="63" t="s">
        <v>556</v>
      </c>
      <c r="D984" s="63" t="str">
        <f>IF('Barn - Front Rack'!D57="","",TRIM('Barn - Front Rack'!D57))</f>
        <v/>
      </c>
      <c r="E984" s="64" t="str">
        <f>IF($D984="","",'Barn - Front Rack'!E57&amp;"")</f>
        <v/>
      </c>
      <c r="F984" s="63">
        <f t="shared" si="72"/>
        <v>0</v>
      </c>
      <c r="G984" s="64" t="str">
        <f t="shared" si="69"/>
        <v/>
      </c>
      <c r="H984" s="64" t="str">
        <f t="shared" si="70"/>
        <v/>
      </c>
      <c r="I984" s="63">
        <f>IF($G984="",0,IF(COUNTIF($G$2:$G984,$G984)=1,1,0))</f>
        <v>0</v>
      </c>
      <c r="J984" s="63" t="str">
        <f t="shared" si="71"/>
        <v/>
      </c>
      <c r="K984" s="63" t="str">
        <f>IF($H984="","",COUNTIF($H$2:$H984,"?*"))</f>
        <v/>
      </c>
    </row>
    <row r="985" spans="1:11" x14ac:dyDescent="0.25">
      <c r="A985" s="63" t="s">
        <v>1325</v>
      </c>
      <c r="B985" s="63" t="s">
        <v>1060</v>
      </c>
      <c r="C985" s="63" t="s">
        <v>556</v>
      </c>
      <c r="D985" s="63" t="str">
        <f>IF('Barn - Front Rack'!D58="","",TRIM('Barn - Front Rack'!D58))</f>
        <v/>
      </c>
      <c r="E985" s="64" t="str">
        <f>IF($D985="","",'Barn - Front Rack'!E58&amp;"")</f>
        <v/>
      </c>
      <c r="F985" s="63">
        <f t="shared" si="72"/>
        <v>0</v>
      </c>
      <c r="G985" s="64" t="str">
        <f t="shared" si="69"/>
        <v/>
      </c>
      <c r="H985" s="64" t="str">
        <f t="shared" si="70"/>
        <v/>
      </c>
      <c r="I985" s="63">
        <f>IF($G985="",0,IF(COUNTIF($G$2:$G985,$G985)=1,1,0))</f>
        <v>0</v>
      </c>
      <c r="J985" s="63" t="str">
        <f t="shared" si="71"/>
        <v/>
      </c>
      <c r="K985" s="63" t="str">
        <f>IF($H985="","",COUNTIF($H$2:$H985,"?*"))</f>
        <v/>
      </c>
    </row>
    <row r="986" spans="1:11" x14ac:dyDescent="0.25">
      <c r="A986" s="63" t="s">
        <v>1325</v>
      </c>
      <c r="B986" s="63" t="s">
        <v>1061</v>
      </c>
      <c r="C986" s="63" t="s">
        <v>556</v>
      </c>
      <c r="D986" s="63" t="str">
        <f>IF('Barn - Front Rack'!F47="","",TRIM('Barn - Front Rack'!F47))</f>
        <v>Bunn TB3</v>
      </c>
      <c r="E986" s="64" t="str">
        <f>IF($D986="","",'Barn - Front Rack'!G47&amp;"")</f>
        <v>TU00293697</v>
      </c>
      <c r="F986" s="63">
        <f t="shared" si="72"/>
        <v>1</v>
      </c>
      <c r="G986" s="64" t="str">
        <f t="shared" si="69"/>
        <v>Bunn TB3</v>
      </c>
      <c r="H986" s="64" t="str">
        <f t="shared" si="70"/>
        <v/>
      </c>
      <c r="I986" s="63">
        <f>IF($G986="",0,IF(COUNTIF($G$2:$G986,$G986)=1,1,0))</f>
        <v>0</v>
      </c>
      <c r="J986" s="63" t="str">
        <f t="shared" si="71"/>
        <v/>
      </c>
      <c r="K986" s="63" t="str">
        <f>IF($H986="","",COUNTIF($H$2:$H986,"?*"))</f>
        <v/>
      </c>
    </row>
    <row r="987" spans="1:11" x14ac:dyDescent="0.25">
      <c r="A987" s="63" t="s">
        <v>1325</v>
      </c>
      <c r="B987" s="63" t="s">
        <v>1062</v>
      </c>
      <c r="C987" s="63" t="s">
        <v>556</v>
      </c>
      <c r="D987" s="63" t="str">
        <f>IF('Barn - Front Rack'!F48="","",TRIM('Barn - Front Rack'!F48))</f>
        <v>Bunn TB3</v>
      </c>
      <c r="E987" s="64" t="str">
        <f>IF($D987="","",'Barn - Front Rack'!G48&amp;"")</f>
        <v>TU00225095</v>
      </c>
      <c r="F987" s="63">
        <f t="shared" si="72"/>
        <v>1</v>
      </c>
      <c r="G987" s="64" t="str">
        <f t="shared" si="69"/>
        <v>Bunn TB3</v>
      </c>
      <c r="H987" s="64" t="str">
        <f t="shared" si="70"/>
        <v/>
      </c>
      <c r="I987" s="63">
        <f>IF($G987="",0,IF(COUNTIF($G$2:$G987,$G987)=1,1,0))</f>
        <v>0</v>
      </c>
      <c r="J987" s="63" t="str">
        <f t="shared" si="71"/>
        <v/>
      </c>
      <c r="K987" s="63" t="str">
        <f>IF($H987="","",COUNTIF($H$2:$H987,"?*"))</f>
        <v/>
      </c>
    </row>
    <row r="988" spans="1:11" x14ac:dyDescent="0.25">
      <c r="A988" s="63" t="s">
        <v>1325</v>
      </c>
      <c r="B988" s="63" t="s">
        <v>1063</v>
      </c>
      <c r="C988" s="63" t="s">
        <v>556</v>
      </c>
      <c r="D988" s="63" t="str">
        <f>IF('Barn - Front Rack'!F49="","",TRIM('Barn - Front Rack'!F49))</f>
        <v>Bunn TB3</v>
      </c>
      <c r="E988" s="64" t="str">
        <f>IF($D988="","",'Barn - Front Rack'!G49&amp;"")</f>
        <v>N/A</v>
      </c>
      <c r="F988" s="63">
        <f t="shared" si="72"/>
        <v>1</v>
      </c>
      <c r="G988" s="64" t="str">
        <f t="shared" si="69"/>
        <v>Bunn TB3</v>
      </c>
      <c r="H988" s="64" t="str">
        <f t="shared" si="70"/>
        <v/>
      </c>
      <c r="I988" s="63">
        <f>IF($G988="",0,IF(COUNTIF($G$2:$G988,$G988)=1,1,0))</f>
        <v>0</v>
      </c>
      <c r="J988" s="63" t="str">
        <f t="shared" si="71"/>
        <v/>
      </c>
      <c r="K988" s="63" t="str">
        <f>IF($H988="","",COUNTIF($H$2:$H988,"?*"))</f>
        <v/>
      </c>
    </row>
    <row r="989" spans="1:11" x14ac:dyDescent="0.25">
      <c r="A989" s="63" t="s">
        <v>1325</v>
      </c>
      <c r="B989" s="63" t="s">
        <v>1064</v>
      </c>
      <c r="C989" s="63" t="s">
        <v>556</v>
      </c>
      <c r="D989" s="63" t="str">
        <f>IF('Barn - Front Rack'!F50="","",TRIM('Barn - Front Rack'!F50))</f>
        <v>Bunn TB3</v>
      </c>
      <c r="E989" s="64" t="str">
        <f>IF($D989="","",'Barn - Front Rack'!G50&amp;"")</f>
        <v>TU00303206</v>
      </c>
      <c r="F989" s="63">
        <f t="shared" si="72"/>
        <v>1</v>
      </c>
      <c r="G989" s="64" t="str">
        <f t="shared" si="69"/>
        <v>Bunn TB3</v>
      </c>
      <c r="H989" s="64" t="str">
        <f t="shared" si="70"/>
        <v/>
      </c>
      <c r="I989" s="63">
        <f>IF($G989="",0,IF(COUNTIF($G$2:$G989,$G989)=1,1,0))</f>
        <v>0</v>
      </c>
      <c r="J989" s="63" t="str">
        <f t="shared" si="71"/>
        <v/>
      </c>
      <c r="K989" s="63" t="str">
        <f>IF($H989="","",COUNTIF($H$2:$H989,"?*"))</f>
        <v/>
      </c>
    </row>
    <row r="990" spans="1:11" x14ac:dyDescent="0.25">
      <c r="A990" s="63" t="s">
        <v>1325</v>
      </c>
      <c r="B990" s="63" t="s">
        <v>1065</v>
      </c>
      <c r="C990" s="63" t="s">
        <v>556</v>
      </c>
      <c r="D990" s="63" t="str">
        <f>IF('Barn - Front Rack'!F51="","",TRIM('Barn - Front Rack'!F51))</f>
        <v>Bunn TB3</v>
      </c>
      <c r="E990" s="64" t="str">
        <f>IF($D990="","",'Barn - Front Rack'!G51&amp;"")</f>
        <v>TU00312448</v>
      </c>
      <c r="F990" s="63">
        <f t="shared" si="72"/>
        <v>1</v>
      </c>
      <c r="G990" s="64" t="str">
        <f t="shared" si="69"/>
        <v>Bunn TB3</v>
      </c>
      <c r="H990" s="64" t="str">
        <f t="shared" si="70"/>
        <v/>
      </c>
      <c r="I990" s="63">
        <f>IF($G990="",0,IF(COUNTIF($G$2:$G990,$G990)=1,1,0))</f>
        <v>0</v>
      </c>
      <c r="J990" s="63" t="str">
        <f t="shared" si="71"/>
        <v/>
      </c>
      <c r="K990" s="63" t="str">
        <f>IF($H990="","",COUNTIF($H$2:$H990,"?*"))</f>
        <v/>
      </c>
    </row>
    <row r="991" spans="1:11" x14ac:dyDescent="0.25">
      <c r="A991" s="63" t="s">
        <v>1325</v>
      </c>
      <c r="B991" s="63" t="s">
        <v>1066</v>
      </c>
      <c r="C991" s="63" t="s">
        <v>556</v>
      </c>
      <c r="D991" s="63" t="str">
        <f>IF('Barn - Front Rack'!F52="","",TRIM('Barn - Front Rack'!F52))</f>
        <v>Bunn TB3</v>
      </c>
      <c r="E991" s="64" t="str">
        <f>IF($D991="","",'Barn - Front Rack'!G52&amp;"")</f>
        <v>TU00288241</v>
      </c>
      <c r="F991" s="63">
        <f t="shared" si="72"/>
        <v>1</v>
      </c>
      <c r="G991" s="64" t="str">
        <f t="shared" si="69"/>
        <v>Bunn TB3</v>
      </c>
      <c r="H991" s="64" t="str">
        <f t="shared" si="70"/>
        <v/>
      </c>
      <c r="I991" s="63">
        <f>IF($G991="",0,IF(COUNTIF($G$2:$G991,$G991)=1,1,0))</f>
        <v>0</v>
      </c>
      <c r="J991" s="63" t="str">
        <f t="shared" si="71"/>
        <v/>
      </c>
      <c r="K991" s="63" t="str">
        <f>IF($H991="","",COUNTIF($H$2:$H991,"?*"))</f>
        <v/>
      </c>
    </row>
    <row r="992" spans="1:11" x14ac:dyDescent="0.25">
      <c r="A992" s="63" t="s">
        <v>1325</v>
      </c>
      <c r="B992" s="63" t="s">
        <v>1067</v>
      </c>
      <c r="C992" s="63" t="s">
        <v>556</v>
      </c>
      <c r="D992" s="63" t="str">
        <f>IF('Barn - Front Rack'!F53="","",TRIM('Barn - Front Rack'!F53))</f>
        <v>Bunn TB3</v>
      </c>
      <c r="E992" s="64" t="str">
        <f>IF($D992="","",'Barn - Front Rack'!G53&amp;"")</f>
        <v>TU00223316</v>
      </c>
      <c r="F992" s="63">
        <f t="shared" si="72"/>
        <v>1</v>
      </c>
      <c r="G992" s="64" t="str">
        <f t="shared" si="69"/>
        <v>Bunn TB3</v>
      </c>
      <c r="H992" s="64" t="str">
        <f t="shared" si="70"/>
        <v/>
      </c>
      <c r="I992" s="63">
        <f>IF($G992="",0,IF(COUNTIF($G$2:$G992,$G992)=1,1,0))</f>
        <v>0</v>
      </c>
      <c r="J992" s="63" t="str">
        <f t="shared" si="71"/>
        <v/>
      </c>
      <c r="K992" s="63" t="str">
        <f>IF($H992="","",COUNTIF($H$2:$H992,"?*"))</f>
        <v/>
      </c>
    </row>
    <row r="993" spans="1:11" x14ac:dyDescent="0.25">
      <c r="A993" s="63" t="s">
        <v>1325</v>
      </c>
      <c r="B993" s="63" t="s">
        <v>1068</v>
      </c>
      <c r="C993" s="63" t="s">
        <v>556</v>
      </c>
      <c r="D993" s="63" t="str">
        <f>IF('Barn - Front Rack'!F54="","",TRIM('Barn - Front Rack'!F54))</f>
        <v>Bunn TB3</v>
      </c>
      <c r="E993" s="64" t="str">
        <f>IF($D993="","",'Barn - Front Rack'!G54&amp;"")</f>
        <v>N/A</v>
      </c>
      <c r="F993" s="63">
        <f t="shared" si="72"/>
        <v>1</v>
      </c>
      <c r="G993" s="64" t="str">
        <f t="shared" si="69"/>
        <v>Bunn TB3</v>
      </c>
      <c r="H993" s="64" t="str">
        <f t="shared" si="70"/>
        <v/>
      </c>
      <c r="I993" s="63">
        <f>IF($G993="",0,IF(COUNTIF($G$2:$G993,$G993)=1,1,0))</f>
        <v>0</v>
      </c>
      <c r="J993" s="63" t="str">
        <f t="shared" si="71"/>
        <v/>
      </c>
      <c r="K993" s="63" t="str">
        <f>IF($H993="","",COUNTIF($H$2:$H993,"?*"))</f>
        <v/>
      </c>
    </row>
    <row r="994" spans="1:11" x14ac:dyDescent="0.25">
      <c r="A994" s="63" t="s">
        <v>1325</v>
      </c>
      <c r="B994" s="63" t="s">
        <v>1069</v>
      </c>
      <c r="C994" s="63" t="s">
        <v>556</v>
      </c>
      <c r="D994" s="63" t="str">
        <f>IF('Barn - Front Rack'!F55="","",TRIM('Barn - Front Rack'!F55))</f>
        <v/>
      </c>
      <c r="E994" s="64" t="str">
        <f>IF($D994="","",'Barn - Front Rack'!G55&amp;"")</f>
        <v/>
      </c>
      <c r="F994" s="63">
        <f t="shared" si="72"/>
        <v>0</v>
      </c>
      <c r="G994" s="64" t="str">
        <f t="shared" si="69"/>
        <v/>
      </c>
      <c r="H994" s="64" t="str">
        <f t="shared" si="70"/>
        <v/>
      </c>
      <c r="I994" s="63">
        <f>IF($G994="",0,IF(COUNTIF($G$2:$G994,$G994)=1,1,0))</f>
        <v>0</v>
      </c>
      <c r="J994" s="63" t="str">
        <f t="shared" si="71"/>
        <v/>
      </c>
      <c r="K994" s="63" t="str">
        <f>IF($H994="","",COUNTIF($H$2:$H994,"?*"))</f>
        <v/>
      </c>
    </row>
    <row r="995" spans="1:11" x14ac:dyDescent="0.25">
      <c r="A995" s="63" t="s">
        <v>1325</v>
      </c>
      <c r="B995" s="63" t="s">
        <v>1070</v>
      </c>
      <c r="C995" s="63" t="s">
        <v>556</v>
      </c>
      <c r="D995" s="63" t="str">
        <f>IF('Barn - Front Rack'!F56="","",TRIM('Barn - Front Rack'!F56))</f>
        <v/>
      </c>
      <c r="E995" s="64" t="str">
        <f>IF($D995="","",'Barn - Front Rack'!G56&amp;"")</f>
        <v/>
      </c>
      <c r="F995" s="63">
        <f t="shared" si="72"/>
        <v>0</v>
      </c>
      <c r="G995" s="64" t="str">
        <f t="shared" si="69"/>
        <v/>
      </c>
      <c r="H995" s="64" t="str">
        <f t="shared" si="70"/>
        <v/>
      </c>
      <c r="I995" s="63">
        <f>IF($G995="",0,IF(COUNTIF($G$2:$G995,$G995)=1,1,0))</f>
        <v>0</v>
      </c>
      <c r="J995" s="63" t="str">
        <f t="shared" si="71"/>
        <v/>
      </c>
      <c r="K995" s="63" t="str">
        <f>IF($H995="","",COUNTIF($H$2:$H995,"?*"))</f>
        <v/>
      </c>
    </row>
    <row r="996" spans="1:11" x14ac:dyDescent="0.25">
      <c r="A996" s="63" t="s">
        <v>1325</v>
      </c>
      <c r="B996" s="63" t="s">
        <v>1071</v>
      </c>
      <c r="C996" s="63" t="s">
        <v>556</v>
      </c>
      <c r="D996" s="63" t="str">
        <f>IF('Barn - Front Rack'!F57="","",TRIM('Barn - Front Rack'!F57))</f>
        <v/>
      </c>
      <c r="E996" s="64" t="str">
        <f>IF($D996="","",'Barn - Front Rack'!G57&amp;"")</f>
        <v/>
      </c>
      <c r="F996" s="63">
        <f t="shared" si="72"/>
        <v>0</v>
      </c>
      <c r="G996" s="64" t="str">
        <f t="shared" si="69"/>
        <v/>
      </c>
      <c r="H996" s="64" t="str">
        <f t="shared" si="70"/>
        <v/>
      </c>
      <c r="I996" s="63">
        <f>IF($G996="",0,IF(COUNTIF($G$2:$G996,$G996)=1,1,0))</f>
        <v>0</v>
      </c>
      <c r="J996" s="63" t="str">
        <f t="shared" si="71"/>
        <v/>
      </c>
      <c r="K996" s="63" t="str">
        <f>IF($H996="","",COUNTIF($H$2:$H996,"?*"))</f>
        <v/>
      </c>
    </row>
    <row r="997" spans="1:11" x14ac:dyDescent="0.25">
      <c r="A997" s="63" t="s">
        <v>1325</v>
      </c>
      <c r="B997" s="63" t="s">
        <v>1072</v>
      </c>
      <c r="C997" s="63" t="s">
        <v>556</v>
      </c>
      <c r="D997" s="63" t="str">
        <f>IF('Barn - Front Rack'!F58="","",TRIM('Barn - Front Rack'!F58))</f>
        <v/>
      </c>
      <c r="E997" s="64" t="str">
        <f>IF($D997="","",'Barn - Front Rack'!G58&amp;"")</f>
        <v/>
      </c>
      <c r="F997" s="63">
        <f t="shared" si="72"/>
        <v>0</v>
      </c>
      <c r="G997" s="64" t="str">
        <f t="shared" si="69"/>
        <v/>
      </c>
      <c r="H997" s="64" t="str">
        <f t="shared" si="70"/>
        <v/>
      </c>
      <c r="I997" s="63">
        <f>IF($G997="",0,IF(COUNTIF($G$2:$G997,$G997)=1,1,0))</f>
        <v>0</v>
      </c>
      <c r="J997" s="63" t="str">
        <f t="shared" si="71"/>
        <v/>
      </c>
      <c r="K997" s="63" t="str">
        <f>IF($H997="","",COUNTIF($H$2:$H997,"?*"))</f>
        <v/>
      </c>
    </row>
    <row r="998" spans="1:11" x14ac:dyDescent="0.25">
      <c r="A998" s="63" t="s">
        <v>1325</v>
      </c>
      <c r="B998" s="63" t="s">
        <v>1073</v>
      </c>
      <c r="C998" s="63" t="s">
        <v>556</v>
      </c>
      <c r="D998" s="63" t="str">
        <f>IF('Barn - Front Rack'!H47="","",TRIM('Barn - Front Rack'!H47))</f>
        <v>Bunn ITCB</v>
      </c>
      <c r="E998" s="64" t="str">
        <f>IF($D998="","",'Barn - Front Rack'!I47&amp;"")</f>
        <v>ITCB066212</v>
      </c>
      <c r="F998" s="63">
        <f t="shared" si="72"/>
        <v>1</v>
      </c>
      <c r="G998" s="64" t="str">
        <f t="shared" si="69"/>
        <v>Bunn ITCB</v>
      </c>
      <c r="H998" s="64" t="str">
        <f t="shared" si="70"/>
        <v/>
      </c>
      <c r="I998" s="63">
        <f>IF($G998="",0,IF(COUNTIF($G$2:$G998,$G998)=1,1,0))</f>
        <v>0</v>
      </c>
      <c r="J998" s="63" t="str">
        <f t="shared" si="71"/>
        <v/>
      </c>
      <c r="K998" s="63" t="str">
        <f>IF($H998="","",COUNTIF($H$2:$H998,"?*"))</f>
        <v/>
      </c>
    </row>
    <row r="999" spans="1:11" x14ac:dyDescent="0.25">
      <c r="A999" s="63" t="s">
        <v>1325</v>
      </c>
      <c r="B999" s="63" t="s">
        <v>1074</v>
      </c>
      <c r="C999" s="63" t="s">
        <v>556</v>
      </c>
      <c r="D999" s="63" t="str">
        <f>IF('Barn - Front Rack'!H48="","",TRIM('Barn - Front Rack'!H48))</f>
        <v>Bunn ITCB</v>
      </c>
      <c r="E999" s="64" t="str">
        <f>IF($D999="","",'Barn - Front Rack'!I48&amp;"")</f>
        <v>ITCB087216</v>
      </c>
      <c r="F999" s="63">
        <f t="shared" si="72"/>
        <v>1</v>
      </c>
      <c r="G999" s="64" t="str">
        <f t="shared" si="69"/>
        <v>Bunn ITCB</v>
      </c>
      <c r="H999" s="64" t="str">
        <f t="shared" si="70"/>
        <v/>
      </c>
      <c r="I999" s="63">
        <f>IF($G999="",0,IF(COUNTIF($G$2:$G999,$G999)=1,1,0))</f>
        <v>0</v>
      </c>
      <c r="J999" s="63" t="str">
        <f t="shared" si="71"/>
        <v/>
      </c>
      <c r="K999" s="63" t="str">
        <f>IF($H999="","",COUNTIF($H$2:$H999,"?*"))</f>
        <v/>
      </c>
    </row>
    <row r="1000" spans="1:11" x14ac:dyDescent="0.25">
      <c r="A1000" s="63" t="s">
        <v>1325</v>
      </c>
      <c r="B1000" s="63" t="s">
        <v>1075</v>
      </c>
      <c r="C1000" s="63" t="s">
        <v>556</v>
      </c>
      <c r="D1000" s="63" t="str">
        <f>IF('Barn - Front Rack'!H49="","",TRIM('Barn - Front Rack'!H49))</f>
        <v>Bunn ITCB</v>
      </c>
      <c r="E1000" s="64" t="str">
        <f>IF($D1000="","",'Barn - Front Rack'!I49&amp;"")</f>
        <v>ITCB132883</v>
      </c>
      <c r="F1000" s="63">
        <f t="shared" si="72"/>
        <v>1</v>
      </c>
      <c r="G1000" s="64" t="str">
        <f t="shared" si="69"/>
        <v>Bunn ITCB</v>
      </c>
      <c r="H1000" s="64" t="str">
        <f t="shared" si="70"/>
        <v/>
      </c>
      <c r="I1000" s="63">
        <f>IF($G1000="",0,IF(COUNTIF($G$2:$G1000,$G1000)=1,1,0))</f>
        <v>0</v>
      </c>
      <c r="J1000" s="63" t="str">
        <f t="shared" si="71"/>
        <v/>
      </c>
      <c r="K1000" s="63" t="str">
        <f>IF($H1000="","",COUNTIF($H$2:$H1000,"?*"))</f>
        <v/>
      </c>
    </row>
    <row r="1001" spans="1:11" x14ac:dyDescent="0.25">
      <c r="A1001" s="63" t="s">
        <v>1325</v>
      </c>
      <c r="B1001" s="63" t="s">
        <v>1076</v>
      </c>
      <c r="C1001" s="63" t="s">
        <v>556</v>
      </c>
      <c r="D1001" s="63" t="str">
        <f>IF('Barn - Front Rack'!H50="","",TRIM('Barn - Front Rack'!H50))</f>
        <v>Bunn ITCB</v>
      </c>
      <c r="E1001" s="64" t="str">
        <f>IF($D1001="","",'Barn - Front Rack'!I50&amp;"")</f>
        <v>ITCB078292</v>
      </c>
      <c r="F1001" s="63">
        <f t="shared" si="72"/>
        <v>1</v>
      </c>
      <c r="G1001" s="64" t="str">
        <f t="shared" si="69"/>
        <v>Bunn ITCB</v>
      </c>
      <c r="H1001" s="64" t="str">
        <f t="shared" si="70"/>
        <v/>
      </c>
      <c r="I1001" s="63">
        <f>IF($G1001="",0,IF(COUNTIF($G$2:$G1001,$G1001)=1,1,0))</f>
        <v>0</v>
      </c>
      <c r="J1001" s="63" t="str">
        <f t="shared" si="71"/>
        <v/>
      </c>
      <c r="K1001" s="63" t="str">
        <f>IF($H1001="","",COUNTIF($H$2:$H1001,"?*"))</f>
        <v/>
      </c>
    </row>
    <row r="1002" spans="1:11" x14ac:dyDescent="0.25">
      <c r="A1002" s="63" t="s">
        <v>1325</v>
      </c>
      <c r="B1002" s="63" t="s">
        <v>1077</v>
      </c>
      <c r="C1002" s="63" t="s">
        <v>556</v>
      </c>
      <c r="D1002" s="63" t="str">
        <f>IF('Barn - Front Rack'!H51="","",TRIM('Barn - Front Rack'!H51))</f>
        <v>Bunn ITCB</v>
      </c>
      <c r="E1002" s="64" t="str">
        <f>IF($D1002="","",'Barn - Front Rack'!I51&amp;"")</f>
        <v>ITCB155090</v>
      </c>
      <c r="F1002" s="63">
        <f t="shared" si="72"/>
        <v>1</v>
      </c>
      <c r="G1002" s="64" t="str">
        <f t="shared" si="69"/>
        <v>Bunn ITCB</v>
      </c>
      <c r="H1002" s="64" t="str">
        <f t="shared" si="70"/>
        <v/>
      </c>
      <c r="I1002" s="63">
        <f>IF($G1002="",0,IF(COUNTIF($G$2:$G1002,$G1002)=1,1,0))</f>
        <v>0</v>
      </c>
      <c r="J1002" s="63" t="str">
        <f t="shared" si="71"/>
        <v/>
      </c>
      <c r="K1002" s="63" t="str">
        <f>IF($H1002="","",COUNTIF($H$2:$H1002,"?*"))</f>
        <v/>
      </c>
    </row>
    <row r="1003" spans="1:11" x14ac:dyDescent="0.25">
      <c r="A1003" s="63" t="s">
        <v>1325</v>
      </c>
      <c r="B1003" s="63" t="s">
        <v>1078</v>
      </c>
      <c r="C1003" s="63" t="s">
        <v>556</v>
      </c>
      <c r="D1003" s="63" t="str">
        <f>IF('Barn - Front Rack'!H52="","",TRIM('Barn - Front Rack'!H52))</f>
        <v>Bunn ITCB</v>
      </c>
      <c r="E1003" s="64" t="str">
        <f>IF($D1003="","",'Barn - Front Rack'!I52&amp;"")</f>
        <v>ITCB085820</v>
      </c>
      <c r="F1003" s="63">
        <f t="shared" si="72"/>
        <v>1</v>
      </c>
      <c r="G1003" s="64" t="str">
        <f t="shared" si="69"/>
        <v>Bunn ITCB</v>
      </c>
      <c r="H1003" s="64" t="str">
        <f t="shared" si="70"/>
        <v/>
      </c>
      <c r="I1003" s="63">
        <f>IF($G1003="",0,IF(COUNTIF($G$2:$G1003,$G1003)=1,1,0))</f>
        <v>0</v>
      </c>
      <c r="J1003" s="63" t="str">
        <f t="shared" si="71"/>
        <v/>
      </c>
      <c r="K1003" s="63" t="str">
        <f>IF($H1003="","",COUNTIF($H$2:$H1003,"?*"))</f>
        <v/>
      </c>
    </row>
    <row r="1004" spans="1:11" x14ac:dyDescent="0.25">
      <c r="A1004" s="63" t="s">
        <v>1325</v>
      </c>
      <c r="B1004" s="63" t="s">
        <v>1079</v>
      </c>
      <c r="C1004" s="63" t="s">
        <v>556</v>
      </c>
      <c r="D1004" s="63" t="str">
        <f>IF('Barn - Front Rack'!H53="","",TRIM('Barn - Front Rack'!H53))</f>
        <v>Bunn ITCB</v>
      </c>
      <c r="E1004" s="64" t="str">
        <f>IF($D1004="","",'Barn - Front Rack'!I53&amp;"")</f>
        <v>ITCB103816</v>
      </c>
      <c r="F1004" s="63">
        <f t="shared" si="72"/>
        <v>1</v>
      </c>
      <c r="G1004" s="64" t="str">
        <f t="shared" si="69"/>
        <v>Bunn ITCB</v>
      </c>
      <c r="H1004" s="64" t="str">
        <f t="shared" si="70"/>
        <v/>
      </c>
      <c r="I1004" s="63">
        <f>IF($G1004="",0,IF(COUNTIF($G$2:$G1004,$G1004)=1,1,0))</f>
        <v>0</v>
      </c>
      <c r="J1004" s="63" t="str">
        <f t="shared" si="71"/>
        <v/>
      </c>
      <c r="K1004" s="63" t="str">
        <f>IF($H1004="","",COUNTIF($H$2:$H1004,"?*"))</f>
        <v/>
      </c>
    </row>
    <row r="1005" spans="1:11" x14ac:dyDescent="0.25">
      <c r="A1005" s="63" t="s">
        <v>1325</v>
      </c>
      <c r="B1005" s="63" t="s">
        <v>1080</v>
      </c>
      <c r="C1005" s="63" t="s">
        <v>556</v>
      </c>
      <c r="D1005" s="63" t="str">
        <f>IF('Barn - Front Rack'!H54="","",TRIM('Barn - Front Rack'!H54))</f>
        <v/>
      </c>
      <c r="E1005" s="64" t="str">
        <f>IF($D1005="","",'Barn - Front Rack'!I54&amp;"")</f>
        <v/>
      </c>
      <c r="F1005" s="63">
        <f t="shared" si="72"/>
        <v>0</v>
      </c>
      <c r="G1005" s="64" t="str">
        <f t="shared" si="69"/>
        <v/>
      </c>
      <c r="H1005" s="64" t="str">
        <f t="shared" si="70"/>
        <v/>
      </c>
      <c r="I1005" s="63">
        <f>IF($G1005="",0,IF(COUNTIF($G$2:$G1005,$G1005)=1,1,0))</f>
        <v>0</v>
      </c>
      <c r="J1005" s="63" t="str">
        <f t="shared" si="71"/>
        <v/>
      </c>
      <c r="K1005" s="63" t="str">
        <f>IF($H1005="","",COUNTIF($H$2:$H1005,"?*"))</f>
        <v/>
      </c>
    </row>
    <row r="1006" spans="1:11" x14ac:dyDescent="0.25">
      <c r="A1006" s="63" t="s">
        <v>1325</v>
      </c>
      <c r="B1006" s="63" t="s">
        <v>1081</v>
      </c>
      <c r="C1006" s="63" t="s">
        <v>556</v>
      </c>
      <c r="D1006" s="63" t="str">
        <f>IF('Barn - Front Rack'!H55="","",TRIM('Barn - Front Rack'!H55))</f>
        <v/>
      </c>
      <c r="E1006" s="64" t="str">
        <f>IF($D1006="","",'Barn - Front Rack'!I55&amp;"")</f>
        <v/>
      </c>
      <c r="F1006" s="63">
        <f t="shared" si="72"/>
        <v>0</v>
      </c>
      <c r="G1006" s="64" t="str">
        <f t="shared" si="69"/>
        <v/>
      </c>
      <c r="H1006" s="64" t="str">
        <f t="shared" si="70"/>
        <v/>
      </c>
      <c r="I1006" s="63">
        <f>IF($G1006="",0,IF(COUNTIF($G$2:$G1006,$G1006)=1,1,0))</f>
        <v>0</v>
      </c>
      <c r="J1006" s="63" t="str">
        <f t="shared" si="71"/>
        <v/>
      </c>
      <c r="K1006" s="63" t="str">
        <f>IF($H1006="","",COUNTIF($H$2:$H1006,"?*"))</f>
        <v/>
      </c>
    </row>
    <row r="1007" spans="1:11" x14ac:dyDescent="0.25">
      <c r="A1007" s="63" t="s">
        <v>1325</v>
      </c>
      <c r="B1007" s="63" t="s">
        <v>1082</v>
      </c>
      <c r="C1007" s="63" t="s">
        <v>556</v>
      </c>
      <c r="D1007" s="63" t="str">
        <f>IF('Barn - Front Rack'!H56="","",TRIM('Barn - Front Rack'!H56))</f>
        <v/>
      </c>
      <c r="E1007" s="64" t="str">
        <f>IF($D1007="","",'Barn - Front Rack'!I56&amp;"")</f>
        <v/>
      </c>
      <c r="F1007" s="63">
        <f t="shared" si="72"/>
        <v>0</v>
      </c>
      <c r="G1007" s="64" t="str">
        <f t="shared" si="69"/>
        <v/>
      </c>
      <c r="H1007" s="64" t="str">
        <f t="shared" si="70"/>
        <v/>
      </c>
      <c r="I1007" s="63">
        <f>IF($G1007="",0,IF(COUNTIF($G$2:$G1007,$G1007)=1,1,0))</f>
        <v>0</v>
      </c>
      <c r="J1007" s="63" t="str">
        <f t="shared" si="71"/>
        <v/>
      </c>
      <c r="K1007" s="63" t="str">
        <f>IF($H1007="","",COUNTIF($H$2:$H1007,"?*"))</f>
        <v/>
      </c>
    </row>
    <row r="1008" spans="1:11" x14ac:dyDescent="0.25">
      <c r="A1008" s="63" t="s">
        <v>1325</v>
      </c>
      <c r="B1008" s="63" t="s">
        <v>1083</v>
      </c>
      <c r="C1008" s="63" t="s">
        <v>556</v>
      </c>
      <c r="D1008" s="63" t="str">
        <f>IF('Barn - Front Rack'!H57="","",TRIM('Barn - Front Rack'!H57))</f>
        <v/>
      </c>
      <c r="E1008" s="64" t="str">
        <f>IF($D1008="","",'Barn - Front Rack'!I57&amp;"")</f>
        <v/>
      </c>
      <c r="F1008" s="63">
        <f t="shared" si="72"/>
        <v>0</v>
      </c>
      <c r="G1008" s="64" t="str">
        <f t="shared" si="69"/>
        <v/>
      </c>
      <c r="H1008" s="64" t="str">
        <f t="shared" si="70"/>
        <v/>
      </c>
      <c r="I1008" s="63">
        <f>IF($G1008="",0,IF(COUNTIF($G$2:$G1008,$G1008)=1,1,0))</f>
        <v>0</v>
      </c>
      <c r="J1008" s="63" t="str">
        <f t="shared" si="71"/>
        <v/>
      </c>
      <c r="K1008" s="63" t="str">
        <f>IF($H1008="","",COUNTIF($H$2:$H1008,"?*"))</f>
        <v/>
      </c>
    </row>
    <row r="1009" spans="1:11" x14ac:dyDescent="0.25">
      <c r="A1009" s="63" t="s">
        <v>1325</v>
      </c>
      <c r="B1009" s="63" t="s">
        <v>1084</v>
      </c>
      <c r="C1009" s="63" t="s">
        <v>556</v>
      </c>
      <c r="D1009" s="63" t="str">
        <f>IF('Barn - Front Rack'!H58="","",TRIM('Barn - Front Rack'!H58))</f>
        <v/>
      </c>
      <c r="E1009" s="64" t="str">
        <f>IF($D1009="","",'Barn - Front Rack'!I58&amp;"")</f>
        <v/>
      </c>
      <c r="F1009" s="63">
        <f t="shared" si="72"/>
        <v>0</v>
      </c>
      <c r="G1009" s="64" t="str">
        <f t="shared" si="69"/>
        <v/>
      </c>
      <c r="H1009" s="64" t="str">
        <f t="shared" si="70"/>
        <v/>
      </c>
      <c r="I1009" s="63">
        <f>IF($G1009="",0,IF(COUNTIF($G$2:$G1009,$G1009)=1,1,0))</f>
        <v>0</v>
      </c>
      <c r="J1009" s="63" t="str">
        <f t="shared" si="71"/>
        <v/>
      </c>
      <c r="K1009" s="63" t="str">
        <f>IF($H1009="","",COUNTIF($H$2:$H1009,"?*"))</f>
        <v/>
      </c>
    </row>
    <row r="1010" spans="1:11" x14ac:dyDescent="0.25">
      <c r="A1010" s="63" t="s">
        <v>1325</v>
      </c>
      <c r="B1010" s="63" t="s">
        <v>1085</v>
      </c>
      <c r="C1010" s="63" t="s">
        <v>556</v>
      </c>
      <c r="D1010" s="63" t="str">
        <f>IF('Barn - Front Rack'!J47="","",TRIM('Barn - Front Rack'!J47))</f>
        <v>Bauhuas 2 Group</v>
      </c>
      <c r="E1010" s="64" t="str">
        <f>IF($D1010="","",'Barn - Front Rack'!K47&amp;"")</f>
        <v>160004355</v>
      </c>
      <c r="F1010" s="63">
        <f t="shared" si="72"/>
        <v>1</v>
      </c>
      <c r="G1010" s="64" t="str">
        <f t="shared" si="69"/>
        <v>Bauhuas 2 Group</v>
      </c>
      <c r="H1010" s="64" t="str">
        <f t="shared" si="70"/>
        <v/>
      </c>
      <c r="I1010" s="63">
        <f>IF($G1010="",0,IF(COUNTIF($G$2:$G1010,$G1010)=1,1,0))</f>
        <v>1</v>
      </c>
      <c r="J1010" s="63">
        <f t="shared" si="71"/>
        <v>1</v>
      </c>
      <c r="K1010" s="63" t="str">
        <f>IF($H1010="","",COUNTIF($H$2:$H1010,"?*"))</f>
        <v/>
      </c>
    </row>
    <row r="1011" spans="1:11" x14ac:dyDescent="0.25">
      <c r="A1011" s="63" t="s">
        <v>1325</v>
      </c>
      <c r="B1011" s="63" t="s">
        <v>1086</v>
      </c>
      <c r="C1011" s="63" t="s">
        <v>556</v>
      </c>
      <c r="D1011" s="63" t="str">
        <f>IF('Barn - Front Rack'!J48="","",TRIM('Barn - Front Rack'!J48))</f>
        <v>La Marzocco Linea 2EE</v>
      </c>
      <c r="E1011" s="64" t="str">
        <f>IF($D1011="","",'Barn - Front Rack'!K48&amp;"")</f>
        <v>L042403</v>
      </c>
      <c r="F1011" s="63">
        <f t="shared" si="72"/>
        <v>1</v>
      </c>
      <c r="G1011" s="64" t="str">
        <f t="shared" si="69"/>
        <v>La Marzocco Linea 2EE</v>
      </c>
      <c r="H1011" s="64" t="str">
        <f t="shared" si="70"/>
        <v/>
      </c>
      <c r="I1011" s="63">
        <f>IF($G1011="",0,IF(COUNTIF($G$2:$G1011,$G1011)=1,1,0))</f>
        <v>1</v>
      </c>
      <c r="J1011" s="63">
        <f t="shared" si="71"/>
        <v>68</v>
      </c>
      <c r="K1011" s="63" t="str">
        <f>IF($H1011="","",COUNTIF($H$2:$H1011,"?*"))</f>
        <v/>
      </c>
    </row>
    <row r="1012" spans="1:11" x14ac:dyDescent="0.25">
      <c r="A1012" s="63" t="s">
        <v>1325</v>
      </c>
      <c r="B1012" s="63" t="s">
        <v>1087</v>
      </c>
      <c r="C1012" s="63" t="s">
        <v>556</v>
      </c>
      <c r="D1012" s="63" t="str">
        <f>IF('Barn - Front Rack'!J49="","",TRIM('Barn - Front Rack'!J49))</f>
        <v/>
      </c>
      <c r="E1012" s="64" t="str">
        <f>IF($D1012="","",'Barn - Front Rack'!K49&amp;"")</f>
        <v/>
      </c>
      <c r="F1012" s="63">
        <f t="shared" si="72"/>
        <v>0</v>
      </c>
      <c r="G1012" s="64" t="str">
        <f t="shared" si="69"/>
        <v/>
      </c>
      <c r="H1012" s="64" t="str">
        <f t="shared" si="70"/>
        <v/>
      </c>
      <c r="I1012" s="63">
        <f>IF($G1012="",0,IF(COUNTIF($G$2:$G1012,$G1012)=1,1,0))</f>
        <v>0</v>
      </c>
      <c r="J1012" s="63" t="str">
        <f t="shared" si="71"/>
        <v/>
      </c>
      <c r="K1012" s="63" t="str">
        <f>IF($H1012="","",COUNTIF($H$2:$H1012,"?*"))</f>
        <v/>
      </c>
    </row>
    <row r="1013" spans="1:11" x14ac:dyDescent="0.25">
      <c r="A1013" s="63" t="s">
        <v>1325</v>
      </c>
      <c r="B1013" s="63" t="s">
        <v>1088</v>
      </c>
      <c r="C1013" s="63" t="s">
        <v>556</v>
      </c>
      <c r="D1013" s="63" t="str">
        <f>IF('Barn - Front Rack'!J50="","",TRIM('Barn - Front Rack'!J50))</f>
        <v/>
      </c>
      <c r="E1013" s="64" t="str">
        <f>IF($D1013="","",'Barn - Front Rack'!K50&amp;"")</f>
        <v/>
      </c>
      <c r="F1013" s="63">
        <f t="shared" si="72"/>
        <v>0</v>
      </c>
      <c r="G1013" s="64" t="str">
        <f t="shared" si="69"/>
        <v/>
      </c>
      <c r="H1013" s="64" t="str">
        <f t="shared" si="70"/>
        <v/>
      </c>
      <c r="I1013" s="63">
        <f>IF($G1013="",0,IF(COUNTIF($G$2:$G1013,$G1013)=1,1,0))</f>
        <v>0</v>
      </c>
      <c r="J1013" s="63" t="str">
        <f t="shared" si="71"/>
        <v/>
      </c>
      <c r="K1013" s="63" t="str">
        <f>IF($H1013="","",COUNTIF($H$2:$H1013,"?*"))</f>
        <v/>
      </c>
    </row>
    <row r="1014" spans="1:11" x14ac:dyDescent="0.25">
      <c r="A1014" s="63" t="s">
        <v>1325</v>
      </c>
      <c r="B1014" s="63" t="s">
        <v>1089</v>
      </c>
      <c r="C1014" s="63" t="s">
        <v>556</v>
      </c>
      <c r="D1014" s="63" t="str">
        <f>IF('Barn - Front Rack'!J51="","",TRIM('Barn - Front Rack'!J51))</f>
        <v/>
      </c>
      <c r="E1014" s="64" t="str">
        <f>IF($D1014="","",'Barn - Front Rack'!K51&amp;"")</f>
        <v/>
      </c>
      <c r="F1014" s="63">
        <f t="shared" si="72"/>
        <v>0</v>
      </c>
      <c r="G1014" s="64" t="str">
        <f t="shared" si="69"/>
        <v/>
      </c>
      <c r="H1014" s="64" t="str">
        <f t="shared" si="70"/>
        <v/>
      </c>
      <c r="I1014" s="63">
        <f>IF($G1014="",0,IF(COUNTIF($G$2:$G1014,$G1014)=1,1,0))</f>
        <v>0</v>
      </c>
      <c r="J1014" s="63" t="str">
        <f t="shared" si="71"/>
        <v/>
      </c>
      <c r="K1014" s="63" t="str">
        <f>IF($H1014="","",COUNTIF($H$2:$H1014,"?*"))</f>
        <v/>
      </c>
    </row>
    <row r="1015" spans="1:11" x14ac:dyDescent="0.25">
      <c r="A1015" s="63" t="s">
        <v>1325</v>
      </c>
      <c r="B1015" s="63" t="s">
        <v>1090</v>
      </c>
      <c r="C1015" s="63" t="s">
        <v>556</v>
      </c>
      <c r="D1015" s="63" t="str">
        <f>IF('Barn - Front Rack'!J52="","",TRIM('Barn - Front Rack'!J52))</f>
        <v/>
      </c>
      <c r="E1015" s="64" t="str">
        <f>IF($D1015="","",'Barn - Front Rack'!K52&amp;"")</f>
        <v/>
      </c>
      <c r="F1015" s="63">
        <f t="shared" si="72"/>
        <v>0</v>
      </c>
      <c r="G1015" s="64" t="str">
        <f t="shared" si="69"/>
        <v/>
      </c>
      <c r="H1015" s="64" t="str">
        <f t="shared" si="70"/>
        <v/>
      </c>
      <c r="I1015" s="63">
        <f>IF($G1015="",0,IF(COUNTIF($G$2:$G1015,$G1015)=1,1,0))</f>
        <v>0</v>
      </c>
      <c r="J1015" s="63" t="str">
        <f t="shared" si="71"/>
        <v/>
      </c>
      <c r="K1015" s="63" t="str">
        <f>IF($H1015="","",COUNTIF($H$2:$H1015,"?*"))</f>
        <v/>
      </c>
    </row>
    <row r="1016" spans="1:11" x14ac:dyDescent="0.25">
      <c r="A1016" s="63" t="s">
        <v>1325</v>
      </c>
      <c r="B1016" s="63" t="s">
        <v>1091</v>
      </c>
      <c r="C1016" s="63" t="s">
        <v>556</v>
      </c>
      <c r="D1016" s="63" t="str">
        <f>IF('Barn - Front Rack'!J53="","",TRIM('Barn - Front Rack'!J53))</f>
        <v/>
      </c>
      <c r="E1016" s="64" t="str">
        <f>IF($D1016="","",'Barn - Front Rack'!K53&amp;"")</f>
        <v/>
      </c>
      <c r="F1016" s="63">
        <f t="shared" si="72"/>
        <v>0</v>
      </c>
      <c r="G1016" s="64" t="str">
        <f t="shared" si="69"/>
        <v/>
      </c>
      <c r="H1016" s="64" t="str">
        <f t="shared" si="70"/>
        <v/>
      </c>
      <c r="I1016" s="63">
        <f>IF($G1016="",0,IF(COUNTIF($G$2:$G1016,$G1016)=1,1,0))</f>
        <v>0</v>
      </c>
      <c r="J1016" s="63" t="str">
        <f t="shared" si="71"/>
        <v/>
      </c>
      <c r="K1016" s="63" t="str">
        <f>IF($H1016="","",COUNTIF($H$2:$H1016,"?*"))</f>
        <v/>
      </c>
    </row>
    <row r="1017" spans="1:11" x14ac:dyDescent="0.25">
      <c r="A1017" s="63" t="s">
        <v>1325</v>
      </c>
      <c r="B1017" s="63" t="s">
        <v>1092</v>
      </c>
      <c r="C1017" s="63" t="s">
        <v>556</v>
      </c>
      <c r="D1017" s="63" t="str">
        <f>IF('Barn - Front Rack'!J54="","",TRIM('Barn - Front Rack'!J54))</f>
        <v/>
      </c>
      <c r="E1017" s="64" t="str">
        <f>IF($D1017="","",'Barn - Front Rack'!K54&amp;"")</f>
        <v/>
      </c>
      <c r="F1017" s="63">
        <f t="shared" si="72"/>
        <v>0</v>
      </c>
      <c r="G1017" s="64" t="str">
        <f t="shared" si="69"/>
        <v/>
      </c>
      <c r="H1017" s="64" t="str">
        <f t="shared" si="70"/>
        <v/>
      </c>
      <c r="I1017" s="63">
        <f>IF($G1017="",0,IF(COUNTIF($G$2:$G1017,$G1017)=1,1,0))</f>
        <v>0</v>
      </c>
      <c r="J1017" s="63" t="str">
        <f t="shared" si="71"/>
        <v/>
      </c>
      <c r="K1017" s="63" t="str">
        <f>IF($H1017="","",COUNTIF($H$2:$H1017,"?*"))</f>
        <v/>
      </c>
    </row>
    <row r="1018" spans="1:11" x14ac:dyDescent="0.25">
      <c r="A1018" s="63" t="s">
        <v>1325</v>
      </c>
      <c r="B1018" s="63" t="s">
        <v>1093</v>
      </c>
      <c r="C1018" s="63" t="s">
        <v>556</v>
      </c>
      <c r="D1018" s="63" t="str">
        <f>IF('Barn - Front Rack'!J55="","",TRIM('Barn - Front Rack'!J55))</f>
        <v/>
      </c>
      <c r="E1018" s="64" t="str">
        <f>IF($D1018="","",'Barn - Front Rack'!K55&amp;"")</f>
        <v/>
      </c>
      <c r="F1018" s="63">
        <f t="shared" si="72"/>
        <v>0</v>
      </c>
      <c r="G1018" s="64" t="str">
        <f t="shared" si="69"/>
        <v/>
      </c>
      <c r="H1018" s="64" t="str">
        <f t="shared" si="70"/>
        <v/>
      </c>
      <c r="I1018" s="63">
        <f>IF($G1018="",0,IF(COUNTIF($G$2:$G1018,$G1018)=1,1,0))</f>
        <v>0</v>
      </c>
      <c r="J1018" s="63" t="str">
        <f t="shared" si="71"/>
        <v/>
      </c>
      <c r="K1018" s="63" t="str">
        <f>IF($H1018="","",COUNTIF($H$2:$H1018,"?*"))</f>
        <v/>
      </c>
    </row>
    <row r="1019" spans="1:11" x14ac:dyDescent="0.25">
      <c r="A1019" s="63" t="s">
        <v>1325</v>
      </c>
      <c r="B1019" s="63" t="s">
        <v>1094</v>
      </c>
      <c r="C1019" s="63" t="s">
        <v>556</v>
      </c>
      <c r="D1019" s="63" t="str">
        <f>IF('Barn - Front Rack'!J56="","",TRIM('Barn - Front Rack'!J56))</f>
        <v/>
      </c>
      <c r="E1019" s="64" t="str">
        <f>IF($D1019="","",'Barn - Front Rack'!K56&amp;"")</f>
        <v/>
      </c>
      <c r="F1019" s="63">
        <f t="shared" si="72"/>
        <v>0</v>
      </c>
      <c r="G1019" s="64" t="str">
        <f t="shared" si="69"/>
        <v/>
      </c>
      <c r="H1019" s="64" t="str">
        <f t="shared" si="70"/>
        <v/>
      </c>
      <c r="I1019" s="63">
        <f>IF($G1019="",0,IF(COUNTIF($G$2:$G1019,$G1019)=1,1,0))</f>
        <v>0</v>
      </c>
      <c r="J1019" s="63" t="str">
        <f t="shared" si="71"/>
        <v/>
      </c>
      <c r="K1019" s="63" t="str">
        <f>IF($H1019="","",COUNTIF($H$2:$H1019,"?*"))</f>
        <v/>
      </c>
    </row>
    <row r="1020" spans="1:11" x14ac:dyDescent="0.25">
      <c r="A1020" s="63" t="s">
        <v>1325</v>
      </c>
      <c r="B1020" s="63" t="s">
        <v>1095</v>
      </c>
      <c r="C1020" s="63" t="s">
        <v>556</v>
      </c>
      <c r="D1020" s="63" t="str">
        <f>IF('Barn - Front Rack'!J57="","",TRIM('Barn - Front Rack'!J57))</f>
        <v/>
      </c>
      <c r="E1020" s="64" t="str">
        <f>IF($D1020="","",'Barn - Front Rack'!K57&amp;"")</f>
        <v/>
      </c>
      <c r="F1020" s="63">
        <f t="shared" si="72"/>
        <v>0</v>
      </c>
      <c r="G1020" s="64" t="str">
        <f t="shared" si="69"/>
        <v/>
      </c>
      <c r="H1020" s="64" t="str">
        <f t="shared" si="70"/>
        <v/>
      </c>
      <c r="I1020" s="63">
        <f>IF($G1020="",0,IF(COUNTIF($G$2:$G1020,$G1020)=1,1,0))</f>
        <v>0</v>
      </c>
      <c r="J1020" s="63" t="str">
        <f t="shared" si="71"/>
        <v/>
      </c>
      <c r="K1020" s="63" t="str">
        <f>IF($H1020="","",COUNTIF($H$2:$H1020,"?*"))</f>
        <v/>
      </c>
    </row>
    <row r="1021" spans="1:11" x14ac:dyDescent="0.25">
      <c r="A1021" s="63" t="s">
        <v>1325</v>
      </c>
      <c r="B1021" s="63" t="s">
        <v>1096</v>
      </c>
      <c r="C1021" s="63" t="s">
        <v>556</v>
      </c>
      <c r="D1021" s="63" t="str">
        <f>IF('Barn - Front Rack'!J58="","",TRIM('Barn - Front Rack'!J58))</f>
        <v/>
      </c>
      <c r="E1021" s="64" t="str">
        <f>IF($D1021="","",'Barn - Front Rack'!K58&amp;"")</f>
        <v/>
      </c>
      <c r="F1021" s="63">
        <f t="shared" si="72"/>
        <v>0</v>
      </c>
      <c r="G1021" s="64" t="str">
        <f t="shared" si="69"/>
        <v/>
      </c>
      <c r="H1021" s="64" t="str">
        <f t="shared" si="70"/>
        <v/>
      </c>
      <c r="I1021" s="63">
        <f>IF($G1021="",0,IF(COUNTIF($G$2:$G1021,$G1021)=1,1,0))</f>
        <v>0</v>
      </c>
      <c r="J1021" s="63" t="str">
        <f t="shared" si="71"/>
        <v/>
      </c>
      <c r="K1021" s="63" t="str">
        <f>IF($H1021="","",COUNTIF($H$2:$H1021,"?*"))</f>
        <v/>
      </c>
    </row>
    <row r="1022" spans="1:11" x14ac:dyDescent="0.25">
      <c r="A1022" s="63" t="s">
        <v>1325</v>
      </c>
      <c r="B1022" s="63" t="s">
        <v>1097</v>
      </c>
      <c r="C1022" s="63" t="s">
        <v>556</v>
      </c>
      <c r="D1022" s="63" t="str">
        <f>IF('Barn - Front Rack'!L47="","",TRIM('Barn - Front Rack'!L47))</f>
        <v>La Marzocco Strada 3AV</v>
      </c>
      <c r="E1022" s="64" t="str">
        <f>IF($D1022="","",'Barn - Front Rack'!M47&amp;"")</f>
        <v>ST004358</v>
      </c>
      <c r="F1022" s="63">
        <f t="shared" si="72"/>
        <v>1</v>
      </c>
      <c r="G1022" s="64" t="str">
        <f t="shared" si="69"/>
        <v>La Marzocco Strada 3AV</v>
      </c>
      <c r="H1022" s="64" t="str">
        <f t="shared" si="70"/>
        <v/>
      </c>
      <c r="I1022" s="63">
        <f>IF($G1022="",0,IF(COUNTIF($G$2:$G1022,$G1022)=1,1,0))</f>
        <v>1</v>
      </c>
      <c r="J1022" s="63">
        <f t="shared" si="71"/>
        <v>71</v>
      </c>
      <c r="K1022" s="63" t="str">
        <f>IF($H1022="","",COUNTIF($H$2:$H1022,"?*"))</f>
        <v/>
      </c>
    </row>
    <row r="1023" spans="1:11" x14ac:dyDescent="0.25">
      <c r="A1023" s="63" t="s">
        <v>1325</v>
      </c>
      <c r="B1023" s="63" t="s">
        <v>1098</v>
      </c>
      <c r="C1023" s="63" t="s">
        <v>556</v>
      </c>
      <c r="D1023" s="63" t="str">
        <f>IF('Barn - Front Rack'!L48="","",TRIM('Barn - Front Rack'!L48))</f>
        <v/>
      </c>
      <c r="E1023" s="64" t="str">
        <f>IF($D1023="","",'Barn - Front Rack'!M48&amp;"")</f>
        <v/>
      </c>
      <c r="F1023" s="63">
        <f t="shared" si="72"/>
        <v>0</v>
      </c>
      <c r="G1023" s="64" t="str">
        <f t="shared" si="69"/>
        <v/>
      </c>
      <c r="H1023" s="64" t="str">
        <f t="shared" si="70"/>
        <v/>
      </c>
      <c r="I1023" s="63">
        <f>IF($G1023="",0,IF(COUNTIF($G$2:$G1023,$G1023)=1,1,0))</f>
        <v>0</v>
      </c>
      <c r="J1023" s="63" t="str">
        <f t="shared" si="71"/>
        <v/>
      </c>
      <c r="K1023" s="63" t="str">
        <f>IF($H1023="","",COUNTIF($H$2:$H1023,"?*"))</f>
        <v/>
      </c>
    </row>
    <row r="1024" spans="1:11" x14ac:dyDescent="0.25">
      <c r="A1024" s="63" t="s">
        <v>1325</v>
      </c>
      <c r="B1024" s="63" t="s">
        <v>1099</v>
      </c>
      <c r="C1024" s="63" t="s">
        <v>556</v>
      </c>
      <c r="D1024" s="63" t="str">
        <f>IF('Barn - Front Rack'!L49="","",TRIM('Barn - Front Rack'!L49))</f>
        <v/>
      </c>
      <c r="E1024" s="64" t="str">
        <f>IF($D1024="","",'Barn - Front Rack'!M49&amp;"")</f>
        <v/>
      </c>
      <c r="F1024" s="63">
        <f t="shared" si="72"/>
        <v>0</v>
      </c>
      <c r="G1024" s="64" t="str">
        <f t="shared" si="69"/>
        <v/>
      </c>
      <c r="H1024" s="64" t="str">
        <f t="shared" si="70"/>
        <v/>
      </c>
      <c r="I1024" s="63">
        <f>IF($G1024="",0,IF(COUNTIF($G$2:$G1024,$G1024)=1,1,0))</f>
        <v>0</v>
      </c>
      <c r="J1024" s="63" t="str">
        <f t="shared" si="71"/>
        <v/>
      </c>
      <c r="K1024" s="63" t="str">
        <f>IF($H1024="","",COUNTIF($H$2:$H1024,"?*"))</f>
        <v/>
      </c>
    </row>
    <row r="1025" spans="1:11" x14ac:dyDescent="0.25">
      <c r="A1025" s="63" t="s">
        <v>1325</v>
      </c>
      <c r="B1025" s="63" t="s">
        <v>1100</v>
      </c>
      <c r="C1025" s="63" t="s">
        <v>556</v>
      </c>
      <c r="D1025" s="63" t="str">
        <f>IF('Barn - Front Rack'!L50="","",TRIM('Barn - Front Rack'!L50))</f>
        <v/>
      </c>
      <c r="E1025" s="64" t="str">
        <f>IF($D1025="","",'Barn - Front Rack'!M50&amp;"")</f>
        <v/>
      </c>
      <c r="F1025" s="63">
        <f t="shared" si="72"/>
        <v>0</v>
      </c>
      <c r="G1025" s="64" t="str">
        <f t="shared" si="69"/>
        <v/>
      </c>
      <c r="H1025" s="64" t="str">
        <f t="shared" si="70"/>
        <v/>
      </c>
      <c r="I1025" s="63">
        <f>IF($G1025="",0,IF(COUNTIF($G$2:$G1025,$G1025)=1,1,0))</f>
        <v>0</v>
      </c>
      <c r="J1025" s="63" t="str">
        <f t="shared" si="71"/>
        <v/>
      </c>
      <c r="K1025" s="63" t="str">
        <f>IF($H1025="","",COUNTIF($H$2:$H1025,"?*"))</f>
        <v/>
      </c>
    </row>
    <row r="1026" spans="1:11" x14ac:dyDescent="0.25">
      <c r="A1026" s="63" t="s">
        <v>1325</v>
      </c>
      <c r="B1026" s="63" t="s">
        <v>1101</v>
      </c>
      <c r="C1026" s="63" t="s">
        <v>556</v>
      </c>
      <c r="D1026" s="63" t="str">
        <f>IF('Barn - Front Rack'!L51="","",TRIM('Barn - Front Rack'!L51))</f>
        <v/>
      </c>
      <c r="E1026" s="64" t="str">
        <f>IF($D1026="","",'Barn - Front Rack'!M51&amp;"")</f>
        <v/>
      </c>
      <c r="F1026" s="63">
        <f t="shared" si="72"/>
        <v>0</v>
      </c>
      <c r="G1026" s="64" t="str">
        <f t="shared" ref="G1026:G1089" si="73">IF($D1026="","",IF(ISNUMBER(FIND("(",$D1026)),TRIM(LEFT($D1026,FIND("(",$D1026)-1)),$D1026))</f>
        <v/>
      </c>
      <c r="H1026" s="64" t="str">
        <f t="shared" ref="H1026:H1089" si="74">IF($D1026="","",IF(ISNUMBER(FIND("(",$D1026)),TRIM(SUBSTITUTE(MID($D1026,FIND("(",$D1026)+1,200),")","")),""))</f>
        <v/>
      </c>
      <c r="I1026" s="63">
        <f>IF($G1026="",0,IF(COUNTIF($G$2:$G1026,$G1026)=1,1,0))</f>
        <v>0</v>
      </c>
      <c r="J1026" s="63" t="str">
        <f t="shared" ref="J1026:J1089" si="75">IF($I1026=0,"",SUMPRODUCT(($I$2:$I$1513=1)*($G$2:$G$1513&lt;$G1026))+1)</f>
        <v/>
      </c>
      <c r="K1026" s="63" t="str">
        <f>IF($H1026="","",COUNTIF($H$2:$H1026,"?*"))</f>
        <v/>
      </c>
    </row>
    <row r="1027" spans="1:11" x14ac:dyDescent="0.25">
      <c r="A1027" s="63" t="s">
        <v>1325</v>
      </c>
      <c r="B1027" s="63" t="s">
        <v>1102</v>
      </c>
      <c r="C1027" s="63" t="s">
        <v>556</v>
      </c>
      <c r="D1027" s="63" t="str">
        <f>IF('Barn - Front Rack'!L52="","",TRIM('Barn - Front Rack'!L52))</f>
        <v/>
      </c>
      <c r="E1027" s="64" t="str">
        <f>IF($D1027="","",'Barn - Front Rack'!M52&amp;"")</f>
        <v/>
      </c>
      <c r="F1027" s="63">
        <f t="shared" si="72"/>
        <v>0</v>
      </c>
      <c r="G1027" s="64" t="str">
        <f t="shared" si="73"/>
        <v/>
      </c>
      <c r="H1027" s="64" t="str">
        <f t="shared" si="74"/>
        <v/>
      </c>
      <c r="I1027" s="63">
        <f>IF($G1027="",0,IF(COUNTIF($G$2:$G1027,$G1027)=1,1,0))</f>
        <v>0</v>
      </c>
      <c r="J1027" s="63" t="str">
        <f t="shared" si="75"/>
        <v/>
      </c>
      <c r="K1027" s="63" t="str">
        <f>IF($H1027="","",COUNTIF($H$2:$H1027,"?*"))</f>
        <v/>
      </c>
    </row>
    <row r="1028" spans="1:11" x14ac:dyDescent="0.25">
      <c r="A1028" s="63" t="s">
        <v>1325</v>
      </c>
      <c r="B1028" s="63" t="s">
        <v>1103</v>
      </c>
      <c r="C1028" s="63" t="s">
        <v>556</v>
      </c>
      <c r="D1028" s="63" t="str">
        <f>IF('Barn - Front Rack'!L53="","",TRIM('Barn - Front Rack'!L53))</f>
        <v/>
      </c>
      <c r="E1028" s="64" t="str">
        <f>IF($D1028="","",'Barn - Front Rack'!M53&amp;"")</f>
        <v/>
      </c>
      <c r="F1028" s="63">
        <f t="shared" si="72"/>
        <v>0</v>
      </c>
      <c r="G1028" s="64" t="str">
        <f t="shared" si="73"/>
        <v/>
      </c>
      <c r="H1028" s="64" t="str">
        <f t="shared" si="74"/>
        <v/>
      </c>
      <c r="I1028" s="63">
        <f>IF($G1028="",0,IF(COUNTIF($G$2:$G1028,$G1028)=1,1,0))</f>
        <v>0</v>
      </c>
      <c r="J1028" s="63" t="str">
        <f t="shared" si="75"/>
        <v/>
      </c>
      <c r="K1028" s="63" t="str">
        <f>IF($H1028="","",COUNTIF($H$2:$H1028,"?*"))</f>
        <v/>
      </c>
    </row>
    <row r="1029" spans="1:11" x14ac:dyDescent="0.25">
      <c r="A1029" s="63" t="s">
        <v>1325</v>
      </c>
      <c r="B1029" s="63" t="s">
        <v>1104</v>
      </c>
      <c r="C1029" s="63" t="s">
        <v>556</v>
      </c>
      <c r="D1029" s="63" t="str">
        <f>IF('Barn - Front Rack'!L54="","",TRIM('Barn - Front Rack'!L54))</f>
        <v/>
      </c>
      <c r="E1029" s="64" t="str">
        <f>IF($D1029="","",'Barn - Front Rack'!M54&amp;"")</f>
        <v/>
      </c>
      <c r="F1029" s="63">
        <f t="shared" si="72"/>
        <v>0</v>
      </c>
      <c r="G1029" s="64" t="str">
        <f t="shared" si="73"/>
        <v/>
      </c>
      <c r="H1029" s="64" t="str">
        <f t="shared" si="74"/>
        <v/>
      </c>
      <c r="I1029" s="63">
        <f>IF($G1029="",0,IF(COUNTIF($G$2:$G1029,$G1029)=1,1,0))</f>
        <v>0</v>
      </c>
      <c r="J1029" s="63" t="str">
        <f t="shared" si="75"/>
        <v/>
      </c>
      <c r="K1029" s="63" t="str">
        <f>IF($H1029="","",COUNTIF($H$2:$H1029,"?*"))</f>
        <v/>
      </c>
    </row>
    <row r="1030" spans="1:11" x14ac:dyDescent="0.25">
      <c r="A1030" s="63" t="s">
        <v>1325</v>
      </c>
      <c r="B1030" s="63" t="s">
        <v>1105</v>
      </c>
      <c r="C1030" s="63" t="s">
        <v>556</v>
      </c>
      <c r="D1030" s="63" t="str">
        <f>IF('Barn - Front Rack'!L55="","",TRIM('Barn - Front Rack'!L55))</f>
        <v/>
      </c>
      <c r="E1030" s="64" t="str">
        <f>IF($D1030="","",'Barn - Front Rack'!M55&amp;"")</f>
        <v/>
      </c>
      <c r="F1030" s="63">
        <f t="shared" si="72"/>
        <v>0</v>
      </c>
      <c r="G1030" s="64" t="str">
        <f t="shared" si="73"/>
        <v/>
      </c>
      <c r="H1030" s="64" t="str">
        <f t="shared" si="74"/>
        <v/>
      </c>
      <c r="I1030" s="63">
        <f>IF($G1030="",0,IF(COUNTIF($G$2:$G1030,$G1030)=1,1,0))</f>
        <v>0</v>
      </c>
      <c r="J1030" s="63" t="str">
        <f t="shared" si="75"/>
        <v/>
      </c>
      <c r="K1030" s="63" t="str">
        <f>IF($H1030="","",COUNTIF($H$2:$H1030,"?*"))</f>
        <v/>
      </c>
    </row>
    <row r="1031" spans="1:11" x14ac:dyDescent="0.25">
      <c r="A1031" s="63" t="s">
        <v>1325</v>
      </c>
      <c r="B1031" s="63" t="s">
        <v>1106</v>
      </c>
      <c r="C1031" s="63" t="s">
        <v>556</v>
      </c>
      <c r="D1031" s="63" t="str">
        <f>IF('Barn - Front Rack'!L56="","",TRIM('Barn - Front Rack'!L56))</f>
        <v/>
      </c>
      <c r="E1031" s="64" t="str">
        <f>IF($D1031="","",'Barn - Front Rack'!M56&amp;"")</f>
        <v/>
      </c>
      <c r="F1031" s="63">
        <f t="shared" si="72"/>
        <v>0</v>
      </c>
      <c r="G1031" s="64" t="str">
        <f t="shared" si="73"/>
        <v/>
      </c>
      <c r="H1031" s="64" t="str">
        <f t="shared" si="74"/>
        <v/>
      </c>
      <c r="I1031" s="63">
        <f>IF($G1031="",0,IF(COUNTIF($G$2:$G1031,$G1031)=1,1,0))</f>
        <v>0</v>
      </c>
      <c r="J1031" s="63" t="str">
        <f t="shared" si="75"/>
        <v/>
      </c>
      <c r="K1031" s="63" t="str">
        <f>IF($H1031="","",COUNTIF($H$2:$H1031,"?*"))</f>
        <v/>
      </c>
    </row>
    <row r="1032" spans="1:11" x14ac:dyDescent="0.25">
      <c r="A1032" s="63" t="s">
        <v>1325</v>
      </c>
      <c r="B1032" s="63" t="s">
        <v>1107</v>
      </c>
      <c r="C1032" s="63" t="s">
        <v>556</v>
      </c>
      <c r="D1032" s="63" t="str">
        <f>IF('Barn - Front Rack'!L57="","",TRIM('Barn - Front Rack'!L57))</f>
        <v/>
      </c>
      <c r="E1032" s="64" t="str">
        <f>IF($D1032="","",'Barn - Front Rack'!M57&amp;"")</f>
        <v/>
      </c>
      <c r="F1032" s="63">
        <f t="shared" si="72"/>
        <v>0</v>
      </c>
      <c r="G1032" s="64" t="str">
        <f t="shared" si="73"/>
        <v/>
      </c>
      <c r="H1032" s="64" t="str">
        <f t="shared" si="74"/>
        <v/>
      </c>
      <c r="I1032" s="63">
        <f>IF($G1032="",0,IF(COUNTIF($G$2:$G1032,$G1032)=1,1,0))</f>
        <v>0</v>
      </c>
      <c r="J1032" s="63" t="str">
        <f t="shared" si="75"/>
        <v/>
      </c>
      <c r="K1032" s="63" t="str">
        <f>IF($H1032="","",COUNTIF($H$2:$H1032,"?*"))</f>
        <v/>
      </c>
    </row>
    <row r="1033" spans="1:11" x14ac:dyDescent="0.25">
      <c r="A1033" s="63" t="s">
        <v>1325</v>
      </c>
      <c r="B1033" s="63" t="s">
        <v>1108</v>
      </c>
      <c r="C1033" s="63" t="s">
        <v>556</v>
      </c>
      <c r="D1033" s="63" t="str">
        <f>IF('Barn - Front Rack'!L58="","",TRIM('Barn - Front Rack'!L58))</f>
        <v/>
      </c>
      <c r="E1033" s="64" t="str">
        <f>IF($D1033="","",'Barn - Front Rack'!M58&amp;"")</f>
        <v/>
      </c>
      <c r="F1033" s="63">
        <f t="shared" si="72"/>
        <v>0</v>
      </c>
      <c r="G1033" s="64" t="str">
        <f t="shared" si="73"/>
        <v/>
      </c>
      <c r="H1033" s="64" t="str">
        <f t="shared" si="74"/>
        <v/>
      </c>
      <c r="I1033" s="63">
        <f>IF($G1033="",0,IF(COUNTIF($G$2:$G1033,$G1033)=1,1,0))</f>
        <v>0</v>
      </c>
      <c r="J1033" s="63" t="str">
        <f t="shared" si="75"/>
        <v/>
      </c>
      <c r="K1033" s="63" t="str">
        <f>IF($H1033="","",COUNTIF($H$2:$H1033,"?*"))</f>
        <v/>
      </c>
    </row>
    <row r="1034" spans="1:11" x14ac:dyDescent="0.25">
      <c r="A1034" s="63" t="s">
        <v>1325</v>
      </c>
      <c r="B1034" s="63" t="s">
        <v>1109</v>
      </c>
      <c r="C1034" s="63" t="s">
        <v>556</v>
      </c>
      <c r="D1034" s="63" t="str">
        <f>IF('Barn - Front Rack'!N47="","",TRIM('Barn - Front Rack'!N47))</f>
        <v>Fetco 1132 V+</v>
      </c>
      <c r="E1034" s="64" t="str">
        <f>IF($D1034="","",'Barn - Front Rack'!O47&amp;"")</f>
        <v>11325221206857</v>
      </c>
      <c r="F1034" s="63">
        <f t="shared" ref="F1034:F1097" si="76">IF($D1034="",0,1)</f>
        <v>1</v>
      </c>
      <c r="G1034" s="64" t="str">
        <f t="shared" si="73"/>
        <v>Fetco 1132 V+</v>
      </c>
      <c r="H1034" s="64" t="str">
        <f t="shared" si="74"/>
        <v/>
      </c>
      <c r="I1034" s="63">
        <f>IF($G1034="",0,IF(COUNTIF($G$2:$G1034,$G1034)=1,1,0))</f>
        <v>1</v>
      </c>
      <c r="J1034" s="63">
        <f t="shared" si="75"/>
        <v>49</v>
      </c>
      <c r="K1034" s="63" t="str">
        <f>IF($H1034="","",COUNTIF($H$2:$H1034,"?*"))</f>
        <v/>
      </c>
    </row>
    <row r="1035" spans="1:11" x14ac:dyDescent="0.25">
      <c r="A1035" s="63" t="s">
        <v>1325</v>
      </c>
      <c r="B1035" s="63" t="s">
        <v>1110</v>
      </c>
      <c r="C1035" s="63" t="s">
        <v>556</v>
      </c>
      <c r="D1035" s="63" t="str">
        <f>IF('Barn - Front Rack'!N48="","",TRIM('Barn - Front Rack'!N48))</f>
        <v>Fetco 1151 V+</v>
      </c>
      <c r="E1035" s="64" t="str">
        <f>IF($D1035="","",'Barn - Front Rack'!O48&amp;"")</f>
        <v>11515141228188</v>
      </c>
      <c r="F1035" s="63">
        <f t="shared" si="76"/>
        <v>1</v>
      </c>
      <c r="G1035" s="64" t="str">
        <f t="shared" si="73"/>
        <v>Fetco 1151 V+</v>
      </c>
      <c r="H1035" s="64" t="str">
        <f t="shared" si="74"/>
        <v/>
      </c>
      <c r="I1035" s="63">
        <f>IF($G1035="",0,IF(COUNTIF($G$2:$G1035,$G1035)=1,1,0))</f>
        <v>0</v>
      </c>
      <c r="J1035" s="63" t="str">
        <f t="shared" si="75"/>
        <v/>
      </c>
      <c r="K1035" s="63" t="str">
        <f>IF($H1035="","",COUNTIF($H$2:$H1035,"?*"))</f>
        <v/>
      </c>
    </row>
    <row r="1036" spans="1:11" x14ac:dyDescent="0.25">
      <c r="A1036" s="63" t="s">
        <v>1325</v>
      </c>
      <c r="B1036" s="63" t="s">
        <v>1111</v>
      </c>
      <c r="C1036" s="63" t="s">
        <v>556</v>
      </c>
      <c r="D1036" s="63" t="str">
        <f>IF('Barn - Front Rack'!N49="","",TRIM('Barn - Front Rack'!N49))</f>
        <v>Fetco 1252 Plus</v>
      </c>
      <c r="E1036" s="64" t="str">
        <f>IF($D1036="","",'Barn - Front Rack'!O49&amp;"")</f>
        <v>1252UB23011257493</v>
      </c>
      <c r="F1036" s="63">
        <f t="shared" si="76"/>
        <v>1</v>
      </c>
      <c r="G1036" s="64" t="str">
        <f t="shared" si="73"/>
        <v>Fetco 1252 Plus</v>
      </c>
      <c r="H1036" s="64" t="str">
        <f t="shared" si="74"/>
        <v/>
      </c>
      <c r="I1036" s="63">
        <f>IF($G1036="",0,IF(COUNTIF($G$2:$G1036,$G1036)=1,1,0))</f>
        <v>1</v>
      </c>
      <c r="J1036" s="63">
        <f t="shared" si="75"/>
        <v>53</v>
      </c>
      <c r="K1036" s="63" t="str">
        <f>IF($H1036="","",COUNTIF($H$2:$H1036,"?*"))</f>
        <v/>
      </c>
    </row>
    <row r="1037" spans="1:11" x14ac:dyDescent="0.25">
      <c r="A1037" s="63" t="s">
        <v>1325</v>
      </c>
      <c r="B1037" s="63" t="s">
        <v>1112</v>
      </c>
      <c r="C1037" s="63" t="s">
        <v>556</v>
      </c>
      <c r="D1037" s="63" t="str">
        <f>IF('Barn - Front Rack'!N50="","",TRIM('Barn - Front Rack'!N50))</f>
        <v/>
      </c>
      <c r="E1037" s="64" t="str">
        <f>IF($D1037="","",'Barn - Front Rack'!O50&amp;"")</f>
        <v/>
      </c>
      <c r="F1037" s="63">
        <f t="shared" si="76"/>
        <v>0</v>
      </c>
      <c r="G1037" s="64" t="str">
        <f t="shared" si="73"/>
        <v/>
      </c>
      <c r="H1037" s="64" t="str">
        <f t="shared" si="74"/>
        <v/>
      </c>
      <c r="I1037" s="63">
        <f>IF($G1037="",0,IF(COUNTIF($G$2:$G1037,$G1037)=1,1,0))</f>
        <v>0</v>
      </c>
      <c r="J1037" s="63" t="str">
        <f t="shared" si="75"/>
        <v/>
      </c>
      <c r="K1037" s="63" t="str">
        <f>IF($H1037="","",COUNTIF($H$2:$H1037,"?*"))</f>
        <v/>
      </c>
    </row>
    <row r="1038" spans="1:11" x14ac:dyDescent="0.25">
      <c r="A1038" s="63" t="s">
        <v>1325</v>
      </c>
      <c r="B1038" s="63" t="s">
        <v>1113</v>
      </c>
      <c r="C1038" s="63" t="s">
        <v>556</v>
      </c>
      <c r="D1038" s="63" t="str">
        <f>IF('Barn - Front Rack'!N51="","",TRIM('Barn - Front Rack'!N51))</f>
        <v/>
      </c>
      <c r="E1038" s="64" t="str">
        <f>IF($D1038="","",'Barn - Front Rack'!O51&amp;"")</f>
        <v/>
      </c>
      <c r="F1038" s="63">
        <f t="shared" si="76"/>
        <v>0</v>
      </c>
      <c r="G1038" s="64" t="str">
        <f t="shared" si="73"/>
        <v/>
      </c>
      <c r="H1038" s="64" t="str">
        <f t="shared" si="74"/>
        <v/>
      </c>
      <c r="I1038" s="63">
        <f>IF($G1038="",0,IF(COUNTIF($G$2:$G1038,$G1038)=1,1,0))</f>
        <v>0</v>
      </c>
      <c r="J1038" s="63" t="str">
        <f t="shared" si="75"/>
        <v/>
      </c>
      <c r="K1038" s="63" t="str">
        <f>IF($H1038="","",COUNTIF($H$2:$H1038,"?*"))</f>
        <v/>
      </c>
    </row>
    <row r="1039" spans="1:11" x14ac:dyDescent="0.25">
      <c r="A1039" s="63" t="s">
        <v>1325</v>
      </c>
      <c r="B1039" s="63" t="s">
        <v>1114</v>
      </c>
      <c r="C1039" s="63" t="s">
        <v>556</v>
      </c>
      <c r="D1039" s="63" t="str">
        <f>IF('Barn - Front Rack'!N52="","",TRIM('Barn - Front Rack'!N52))</f>
        <v/>
      </c>
      <c r="E1039" s="64" t="str">
        <f>IF($D1039="","",'Barn - Front Rack'!O52&amp;"")</f>
        <v/>
      </c>
      <c r="F1039" s="63">
        <f t="shared" si="76"/>
        <v>0</v>
      </c>
      <c r="G1039" s="64" t="str">
        <f t="shared" si="73"/>
        <v/>
      </c>
      <c r="H1039" s="64" t="str">
        <f t="shared" si="74"/>
        <v/>
      </c>
      <c r="I1039" s="63">
        <f>IF($G1039="",0,IF(COUNTIF($G$2:$G1039,$G1039)=1,1,0))</f>
        <v>0</v>
      </c>
      <c r="J1039" s="63" t="str">
        <f t="shared" si="75"/>
        <v/>
      </c>
      <c r="K1039" s="63" t="str">
        <f>IF($H1039="","",COUNTIF($H$2:$H1039,"?*"))</f>
        <v/>
      </c>
    </row>
    <row r="1040" spans="1:11" x14ac:dyDescent="0.25">
      <c r="A1040" s="63" t="s">
        <v>1325</v>
      </c>
      <c r="B1040" s="63" t="s">
        <v>1115</v>
      </c>
      <c r="C1040" s="63" t="s">
        <v>556</v>
      </c>
      <c r="D1040" s="63" t="str">
        <f>IF('Barn - Front Rack'!N53="","",TRIM('Barn - Front Rack'!N53))</f>
        <v/>
      </c>
      <c r="E1040" s="64" t="str">
        <f>IF($D1040="","",'Barn - Front Rack'!O53&amp;"")</f>
        <v/>
      </c>
      <c r="F1040" s="63">
        <f t="shared" si="76"/>
        <v>0</v>
      </c>
      <c r="G1040" s="64" t="str">
        <f t="shared" si="73"/>
        <v/>
      </c>
      <c r="H1040" s="64" t="str">
        <f t="shared" si="74"/>
        <v/>
      </c>
      <c r="I1040" s="63">
        <f>IF($G1040="",0,IF(COUNTIF($G$2:$G1040,$G1040)=1,1,0))</f>
        <v>0</v>
      </c>
      <c r="J1040" s="63" t="str">
        <f t="shared" si="75"/>
        <v/>
      </c>
      <c r="K1040" s="63" t="str">
        <f>IF($H1040="","",COUNTIF($H$2:$H1040,"?*"))</f>
        <v/>
      </c>
    </row>
    <row r="1041" spans="1:11" x14ac:dyDescent="0.25">
      <c r="A1041" s="63" t="s">
        <v>1325</v>
      </c>
      <c r="B1041" s="63" t="s">
        <v>1116</v>
      </c>
      <c r="C1041" s="63" t="s">
        <v>556</v>
      </c>
      <c r="D1041" s="63" t="str">
        <f>IF('Barn - Front Rack'!N54="","",TRIM('Barn - Front Rack'!N54))</f>
        <v/>
      </c>
      <c r="E1041" s="64" t="str">
        <f>IF($D1041="","",'Barn - Front Rack'!O54&amp;"")</f>
        <v/>
      </c>
      <c r="F1041" s="63">
        <f t="shared" si="76"/>
        <v>0</v>
      </c>
      <c r="G1041" s="64" t="str">
        <f t="shared" si="73"/>
        <v/>
      </c>
      <c r="H1041" s="64" t="str">
        <f t="shared" si="74"/>
        <v/>
      </c>
      <c r="I1041" s="63">
        <f>IF($G1041="",0,IF(COUNTIF($G$2:$G1041,$G1041)=1,1,0))</f>
        <v>0</v>
      </c>
      <c r="J1041" s="63" t="str">
        <f t="shared" si="75"/>
        <v/>
      </c>
      <c r="K1041" s="63" t="str">
        <f>IF($H1041="","",COUNTIF($H$2:$H1041,"?*"))</f>
        <v/>
      </c>
    </row>
    <row r="1042" spans="1:11" x14ac:dyDescent="0.25">
      <c r="A1042" s="63" t="s">
        <v>1325</v>
      </c>
      <c r="B1042" s="63" t="s">
        <v>1117</v>
      </c>
      <c r="C1042" s="63" t="s">
        <v>556</v>
      </c>
      <c r="D1042" s="63" t="str">
        <f>IF('Barn - Front Rack'!N55="","",TRIM('Barn - Front Rack'!N55))</f>
        <v/>
      </c>
      <c r="E1042" s="64" t="str">
        <f>IF($D1042="","",'Barn - Front Rack'!O55&amp;"")</f>
        <v/>
      </c>
      <c r="F1042" s="63">
        <f t="shared" si="76"/>
        <v>0</v>
      </c>
      <c r="G1042" s="64" t="str">
        <f t="shared" si="73"/>
        <v/>
      </c>
      <c r="H1042" s="64" t="str">
        <f t="shared" si="74"/>
        <v/>
      </c>
      <c r="I1042" s="63">
        <f>IF($G1042="",0,IF(COUNTIF($G$2:$G1042,$G1042)=1,1,0))</f>
        <v>0</v>
      </c>
      <c r="J1042" s="63" t="str">
        <f t="shared" si="75"/>
        <v/>
      </c>
      <c r="K1042" s="63" t="str">
        <f>IF($H1042="","",COUNTIF($H$2:$H1042,"?*"))</f>
        <v/>
      </c>
    </row>
    <row r="1043" spans="1:11" x14ac:dyDescent="0.25">
      <c r="A1043" s="63" t="s">
        <v>1325</v>
      </c>
      <c r="B1043" s="63" t="s">
        <v>1118</v>
      </c>
      <c r="C1043" s="63" t="s">
        <v>556</v>
      </c>
      <c r="D1043" s="63" t="str">
        <f>IF('Barn - Front Rack'!N56="","",TRIM('Barn - Front Rack'!N56))</f>
        <v/>
      </c>
      <c r="E1043" s="64" t="str">
        <f>IF($D1043="","",'Barn - Front Rack'!O56&amp;"")</f>
        <v/>
      </c>
      <c r="F1043" s="63">
        <f t="shared" si="76"/>
        <v>0</v>
      </c>
      <c r="G1043" s="64" t="str">
        <f t="shared" si="73"/>
        <v/>
      </c>
      <c r="H1043" s="64" t="str">
        <f t="shared" si="74"/>
        <v/>
      </c>
      <c r="I1043" s="63">
        <f>IF($G1043="",0,IF(COUNTIF($G$2:$G1043,$G1043)=1,1,0))</f>
        <v>0</v>
      </c>
      <c r="J1043" s="63" t="str">
        <f t="shared" si="75"/>
        <v/>
      </c>
      <c r="K1043" s="63" t="str">
        <f>IF($H1043="","",COUNTIF($H$2:$H1043,"?*"))</f>
        <v/>
      </c>
    </row>
    <row r="1044" spans="1:11" x14ac:dyDescent="0.25">
      <c r="A1044" s="63" t="s">
        <v>1325</v>
      </c>
      <c r="B1044" s="63" t="s">
        <v>1119</v>
      </c>
      <c r="C1044" s="63" t="s">
        <v>556</v>
      </c>
      <c r="D1044" s="63" t="str">
        <f>IF('Barn - Front Rack'!N57="","",TRIM('Barn - Front Rack'!N57))</f>
        <v/>
      </c>
      <c r="E1044" s="64" t="str">
        <f>IF($D1044="","",'Barn - Front Rack'!O57&amp;"")</f>
        <v/>
      </c>
      <c r="F1044" s="63">
        <f t="shared" si="76"/>
        <v>0</v>
      </c>
      <c r="G1044" s="64" t="str">
        <f t="shared" si="73"/>
        <v/>
      </c>
      <c r="H1044" s="64" t="str">
        <f t="shared" si="74"/>
        <v/>
      </c>
      <c r="I1044" s="63">
        <f>IF($G1044="",0,IF(COUNTIF($G$2:$G1044,$G1044)=1,1,0))</f>
        <v>0</v>
      </c>
      <c r="J1044" s="63" t="str">
        <f t="shared" si="75"/>
        <v/>
      </c>
      <c r="K1044" s="63" t="str">
        <f>IF($H1044="","",COUNTIF($H$2:$H1044,"?*"))</f>
        <v/>
      </c>
    </row>
    <row r="1045" spans="1:11" x14ac:dyDescent="0.25">
      <c r="A1045" s="63" t="s">
        <v>1325</v>
      </c>
      <c r="B1045" s="63" t="s">
        <v>1120</v>
      </c>
      <c r="C1045" s="63" t="s">
        <v>556</v>
      </c>
      <c r="D1045" s="63" t="str">
        <f>IF('Barn - Front Rack'!N58="","",TRIM('Barn - Front Rack'!N58))</f>
        <v/>
      </c>
      <c r="E1045" s="64" t="str">
        <f>IF($D1045="","",'Barn - Front Rack'!O58&amp;"")</f>
        <v/>
      </c>
      <c r="F1045" s="63">
        <f t="shared" si="76"/>
        <v>0</v>
      </c>
      <c r="G1045" s="64" t="str">
        <f t="shared" si="73"/>
        <v/>
      </c>
      <c r="H1045" s="64" t="str">
        <f t="shared" si="74"/>
        <v/>
      </c>
      <c r="I1045" s="63">
        <f>IF($G1045="",0,IF(COUNTIF($G$2:$G1045,$G1045)=1,1,0))</f>
        <v>0</v>
      </c>
      <c r="J1045" s="63" t="str">
        <f t="shared" si="75"/>
        <v/>
      </c>
      <c r="K1045" s="63" t="str">
        <f>IF($H1045="","",COUNTIF($H$2:$H1045,"?*"))</f>
        <v/>
      </c>
    </row>
    <row r="1046" spans="1:11" x14ac:dyDescent="0.25">
      <c r="A1046" s="63" t="s">
        <v>1325</v>
      </c>
      <c r="B1046" s="63" t="s">
        <v>1121</v>
      </c>
      <c r="C1046" s="63" t="s">
        <v>556</v>
      </c>
      <c r="D1046" s="63" t="str">
        <f>IF('Barn - Front Rack'!P47="","",TRIM('Barn - Front Rack'!P47))</f>
        <v/>
      </c>
      <c r="E1046" s="64" t="str">
        <f>IF($D1046="","",'Barn - Front Rack'!Q47&amp;"")</f>
        <v/>
      </c>
      <c r="F1046" s="63">
        <f t="shared" si="76"/>
        <v>0</v>
      </c>
      <c r="G1046" s="64" t="str">
        <f t="shared" si="73"/>
        <v/>
      </c>
      <c r="H1046" s="64" t="str">
        <f t="shared" si="74"/>
        <v/>
      </c>
      <c r="I1046" s="63">
        <f>IF($G1046="",0,IF(COUNTIF($G$2:$G1046,$G1046)=1,1,0))</f>
        <v>0</v>
      </c>
      <c r="J1046" s="63" t="str">
        <f t="shared" si="75"/>
        <v/>
      </c>
      <c r="K1046" s="63" t="str">
        <f>IF($H1046="","",COUNTIF($H$2:$H1046,"?*"))</f>
        <v/>
      </c>
    </row>
    <row r="1047" spans="1:11" x14ac:dyDescent="0.25">
      <c r="A1047" s="63" t="s">
        <v>1325</v>
      </c>
      <c r="B1047" s="63" t="s">
        <v>1122</v>
      </c>
      <c r="C1047" s="63" t="s">
        <v>556</v>
      </c>
      <c r="D1047" s="63" t="str">
        <f>IF('Barn - Front Rack'!P48="","",TRIM('Barn - Front Rack'!P48))</f>
        <v/>
      </c>
      <c r="E1047" s="64" t="str">
        <f>IF($D1047="","",'Barn - Front Rack'!Q48&amp;"")</f>
        <v/>
      </c>
      <c r="F1047" s="63">
        <f t="shared" si="76"/>
        <v>0</v>
      </c>
      <c r="G1047" s="64" t="str">
        <f t="shared" si="73"/>
        <v/>
      </c>
      <c r="H1047" s="64" t="str">
        <f t="shared" si="74"/>
        <v/>
      </c>
      <c r="I1047" s="63">
        <f>IF($G1047="",0,IF(COUNTIF($G$2:$G1047,$G1047)=1,1,0))</f>
        <v>0</v>
      </c>
      <c r="J1047" s="63" t="str">
        <f t="shared" si="75"/>
        <v/>
      </c>
      <c r="K1047" s="63" t="str">
        <f>IF($H1047="","",COUNTIF($H$2:$H1047,"?*"))</f>
        <v/>
      </c>
    </row>
    <row r="1048" spans="1:11" x14ac:dyDescent="0.25">
      <c r="A1048" s="63" t="s">
        <v>1325</v>
      </c>
      <c r="B1048" s="63" t="s">
        <v>1123</v>
      </c>
      <c r="C1048" s="63" t="s">
        <v>556</v>
      </c>
      <c r="D1048" s="63" t="str">
        <f>IF('Barn - Front Rack'!P49="","",TRIM('Barn - Front Rack'!P49))</f>
        <v/>
      </c>
      <c r="E1048" s="64" t="str">
        <f>IF($D1048="","",'Barn - Front Rack'!Q49&amp;"")</f>
        <v/>
      </c>
      <c r="F1048" s="63">
        <f t="shared" si="76"/>
        <v>0</v>
      </c>
      <c r="G1048" s="64" t="str">
        <f t="shared" si="73"/>
        <v/>
      </c>
      <c r="H1048" s="64" t="str">
        <f t="shared" si="74"/>
        <v/>
      </c>
      <c r="I1048" s="63">
        <f>IF($G1048="",0,IF(COUNTIF($G$2:$G1048,$G1048)=1,1,0))</f>
        <v>0</v>
      </c>
      <c r="J1048" s="63" t="str">
        <f t="shared" si="75"/>
        <v/>
      </c>
      <c r="K1048" s="63" t="str">
        <f>IF($H1048="","",COUNTIF($H$2:$H1048,"?*"))</f>
        <v/>
      </c>
    </row>
    <row r="1049" spans="1:11" x14ac:dyDescent="0.25">
      <c r="A1049" s="63" t="s">
        <v>1325</v>
      </c>
      <c r="B1049" s="63" t="s">
        <v>1124</v>
      </c>
      <c r="C1049" s="63" t="s">
        <v>556</v>
      </c>
      <c r="D1049" s="63" t="str">
        <f>IF('Barn - Front Rack'!P50="","",TRIM('Barn - Front Rack'!P50))</f>
        <v/>
      </c>
      <c r="E1049" s="64" t="str">
        <f>IF($D1049="","",'Barn - Front Rack'!Q50&amp;"")</f>
        <v/>
      </c>
      <c r="F1049" s="63">
        <f t="shared" si="76"/>
        <v>0</v>
      </c>
      <c r="G1049" s="64" t="str">
        <f t="shared" si="73"/>
        <v/>
      </c>
      <c r="H1049" s="64" t="str">
        <f t="shared" si="74"/>
        <v/>
      </c>
      <c r="I1049" s="63">
        <f>IF($G1049="",0,IF(COUNTIF($G$2:$G1049,$G1049)=1,1,0))</f>
        <v>0</v>
      </c>
      <c r="J1049" s="63" t="str">
        <f t="shared" si="75"/>
        <v/>
      </c>
      <c r="K1049" s="63" t="str">
        <f>IF($H1049="","",COUNTIF($H$2:$H1049,"?*"))</f>
        <v/>
      </c>
    </row>
    <row r="1050" spans="1:11" x14ac:dyDescent="0.25">
      <c r="A1050" s="63" t="s">
        <v>1325</v>
      </c>
      <c r="B1050" s="63" t="s">
        <v>1125</v>
      </c>
      <c r="C1050" s="63" t="s">
        <v>556</v>
      </c>
      <c r="D1050" s="63" t="str">
        <f>IF('Barn - Front Rack'!P51="","",TRIM('Barn - Front Rack'!P51))</f>
        <v/>
      </c>
      <c r="E1050" s="64" t="str">
        <f>IF($D1050="","",'Barn - Front Rack'!Q51&amp;"")</f>
        <v/>
      </c>
      <c r="F1050" s="63">
        <f t="shared" si="76"/>
        <v>0</v>
      </c>
      <c r="G1050" s="64" t="str">
        <f t="shared" si="73"/>
        <v/>
      </c>
      <c r="H1050" s="64" t="str">
        <f t="shared" si="74"/>
        <v/>
      </c>
      <c r="I1050" s="63">
        <f>IF($G1050="",0,IF(COUNTIF($G$2:$G1050,$G1050)=1,1,0))</f>
        <v>0</v>
      </c>
      <c r="J1050" s="63" t="str">
        <f t="shared" si="75"/>
        <v/>
      </c>
      <c r="K1050" s="63" t="str">
        <f>IF($H1050="","",COUNTIF($H$2:$H1050,"?*"))</f>
        <v/>
      </c>
    </row>
    <row r="1051" spans="1:11" x14ac:dyDescent="0.25">
      <c r="A1051" s="63" t="s">
        <v>1325</v>
      </c>
      <c r="B1051" s="63" t="s">
        <v>1126</v>
      </c>
      <c r="C1051" s="63" t="s">
        <v>556</v>
      </c>
      <c r="D1051" s="63" t="str">
        <f>IF('Barn - Front Rack'!P52="","",TRIM('Barn - Front Rack'!P52))</f>
        <v/>
      </c>
      <c r="E1051" s="64" t="str">
        <f>IF($D1051="","",'Barn - Front Rack'!Q52&amp;"")</f>
        <v/>
      </c>
      <c r="F1051" s="63">
        <f t="shared" si="76"/>
        <v>0</v>
      </c>
      <c r="G1051" s="64" t="str">
        <f t="shared" si="73"/>
        <v/>
      </c>
      <c r="H1051" s="64" t="str">
        <f t="shared" si="74"/>
        <v/>
      </c>
      <c r="I1051" s="63">
        <f>IF($G1051="",0,IF(COUNTIF($G$2:$G1051,$G1051)=1,1,0))</f>
        <v>0</v>
      </c>
      <c r="J1051" s="63" t="str">
        <f t="shared" si="75"/>
        <v/>
      </c>
      <c r="K1051" s="63" t="str">
        <f>IF($H1051="","",COUNTIF($H$2:$H1051,"?*"))</f>
        <v/>
      </c>
    </row>
    <row r="1052" spans="1:11" x14ac:dyDescent="0.25">
      <c r="A1052" s="63" t="s">
        <v>1325</v>
      </c>
      <c r="B1052" s="63" t="s">
        <v>1127</v>
      </c>
      <c r="C1052" s="63" t="s">
        <v>556</v>
      </c>
      <c r="D1052" s="63" t="str">
        <f>IF('Barn - Front Rack'!P53="","",TRIM('Barn - Front Rack'!P53))</f>
        <v/>
      </c>
      <c r="E1052" s="64" t="str">
        <f>IF($D1052="","",'Barn - Front Rack'!Q53&amp;"")</f>
        <v/>
      </c>
      <c r="F1052" s="63">
        <f t="shared" si="76"/>
        <v>0</v>
      </c>
      <c r="G1052" s="64" t="str">
        <f t="shared" si="73"/>
        <v/>
      </c>
      <c r="H1052" s="64" t="str">
        <f t="shared" si="74"/>
        <v/>
      </c>
      <c r="I1052" s="63">
        <f>IF($G1052="",0,IF(COUNTIF($G$2:$G1052,$G1052)=1,1,0))</f>
        <v>0</v>
      </c>
      <c r="J1052" s="63" t="str">
        <f t="shared" si="75"/>
        <v/>
      </c>
      <c r="K1052" s="63" t="str">
        <f>IF($H1052="","",COUNTIF($H$2:$H1052,"?*"))</f>
        <v/>
      </c>
    </row>
    <row r="1053" spans="1:11" x14ac:dyDescent="0.25">
      <c r="A1053" s="63" t="s">
        <v>1325</v>
      </c>
      <c r="B1053" s="63" t="s">
        <v>1128</v>
      </c>
      <c r="C1053" s="63" t="s">
        <v>556</v>
      </c>
      <c r="D1053" s="63" t="str">
        <f>IF('Barn - Front Rack'!P54="","",TRIM('Barn - Front Rack'!P54))</f>
        <v/>
      </c>
      <c r="E1053" s="64" t="str">
        <f>IF($D1053="","",'Barn - Front Rack'!Q54&amp;"")</f>
        <v/>
      </c>
      <c r="F1053" s="63">
        <f t="shared" si="76"/>
        <v>0</v>
      </c>
      <c r="G1053" s="64" t="str">
        <f t="shared" si="73"/>
        <v/>
      </c>
      <c r="H1053" s="64" t="str">
        <f t="shared" si="74"/>
        <v/>
      </c>
      <c r="I1053" s="63">
        <f>IF($G1053="",0,IF(COUNTIF($G$2:$G1053,$G1053)=1,1,0))</f>
        <v>0</v>
      </c>
      <c r="J1053" s="63" t="str">
        <f t="shared" si="75"/>
        <v/>
      </c>
      <c r="K1053" s="63" t="str">
        <f>IF($H1053="","",COUNTIF($H$2:$H1053,"?*"))</f>
        <v/>
      </c>
    </row>
    <row r="1054" spans="1:11" x14ac:dyDescent="0.25">
      <c r="A1054" s="63" t="s">
        <v>1325</v>
      </c>
      <c r="B1054" s="63" t="s">
        <v>1129</v>
      </c>
      <c r="C1054" s="63" t="s">
        <v>556</v>
      </c>
      <c r="D1054" s="63" t="str">
        <f>IF('Barn - Front Rack'!P55="","",TRIM('Barn - Front Rack'!P55))</f>
        <v/>
      </c>
      <c r="E1054" s="64" t="str">
        <f>IF($D1054="","",'Barn - Front Rack'!Q55&amp;"")</f>
        <v/>
      </c>
      <c r="F1054" s="63">
        <f t="shared" si="76"/>
        <v>0</v>
      </c>
      <c r="G1054" s="64" t="str">
        <f t="shared" si="73"/>
        <v/>
      </c>
      <c r="H1054" s="64" t="str">
        <f t="shared" si="74"/>
        <v/>
      </c>
      <c r="I1054" s="63">
        <f>IF($G1054="",0,IF(COUNTIF($G$2:$G1054,$G1054)=1,1,0))</f>
        <v>0</v>
      </c>
      <c r="J1054" s="63" t="str">
        <f t="shared" si="75"/>
        <v/>
      </c>
      <c r="K1054" s="63" t="str">
        <f>IF($H1054="","",COUNTIF($H$2:$H1054,"?*"))</f>
        <v/>
      </c>
    </row>
    <row r="1055" spans="1:11" x14ac:dyDescent="0.25">
      <c r="A1055" s="63" t="s">
        <v>1325</v>
      </c>
      <c r="B1055" s="63" t="s">
        <v>1130</v>
      </c>
      <c r="C1055" s="63" t="s">
        <v>556</v>
      </c>
      <c r="D1055" s="63" t="str">
        <f>IF('Barn - Front Rack'!P56="","",TRIM('Barn - Front Rack'!P56))</f>
        <v/>
      </c>
      <c r="E1055" s="64" t="str">
        <f>IF($D1055="","",'Barn - Front Rack'!Q56&amp;"")</f>
        <v/>
      </c>
      <c r="F1055" s="63">
        <f t="shared" si="76"/>
        <v>0</v>
      </c>
      <c r="G1055" s="64" t="str">
        <f t="shared" si="73"/>
        <v/>
      </c>
      <c r="H1055" s="64" t="str">
        <f t="shared" si="74"/>
        <v/>
      </c>
      <c r="I1055" s="63">
        <f>IF($G1055="",0,IF(COUNTIF($G$2:$G1055,$G1055)=1,1,0))</f>
        <v>0</v>
      </c>
      <c r="J1055" s="63" t="str">
        <f t="shared" si="75"/>
        <v/>
      </c>
      <c r="K1055" s="63" t="str">
        <f>IF($H1055="","",COUNTIF($H$2:$H1055,"?*"))</f>
        <v/>
      </c>
    </row>
    <row r="1056" spans="1:11" x14ac:dyDescent="0.25">
      <c r="A1056" s="63" t="s">
        <v>1325</v>
      </c>
      <c r="B1056" s="63" t="s">
        <v>1131</v>
      </c>
      <c r="C1056" s="63" t="s">
        <v>556</v>
      </c>
      <c r="D1056" s="63" t="str">
        <f>IF('Barn - Front Rack'!P57="","",TRIM('Barn - Front Rack'!P57))</f>
        <v/>
      </c>
      <c r="E1056" s="64" t="str">
        <f>IF($D1056="","",'Barn - Front Rack'!Q57&amp;"")</f>
        <v/>
      </c>
      <c r="F1056" s="63">
        <f t="shared" si="76"/>
        <v>0</v>
      </c>
      <c r="G1056" s="64" t="str">
        <f t="shared" si="73"/>
        <v/>
      </c>
      <c r="H1056" s="64" t="str">
        <f t="shared" si="74"/>
        <v/>
      </c>
      <c r="I1056" s="63">
        <f>IF($G1056="",0,IF(COUNTIF($G$2:$G1056,$G1056)=1,1,0))</f>
        <v>0</v>
      </c>
      <c r="J1056" s="63" t="str">
        <f t="shared" si="75"/>
        <v/>
      </c>
      <c r="K1056" s="63" t="str">
        <f>IF($H1056="","",COUNTIF($H$2:$H1056,"?*"))</f>
        <v/>
      </c>
    </row>
    <row r="1057" spans="1:11" x14ac:dyDescent="0.25">
      <c r="A1057" s="63" t="s">
        <v>1325</v>
      </c>
      <c r="B1057" s="63" t="s">
        <v>1132</v>
      </c>
      <c r="C1057" s="63" t="s">
        <v>556</v>
      </c>
      <c r="D1057" s="63" t="str">
        <f>IF('Barn - Front Rack'!P58="","",TRIM('Barn - Front Rack'!P58))</f>
        <v/>
      </c>
      <c r="E1057" s="64" t="str">
        <f>IF($D1057="","",'Barn - Front Rack'!Q58&amp;"")</f>
        <v/>
      </c>
      <c r="F1057" s="63">
        <f t="shared" si="76"/>
        <v>0</v>
      </c>
      <c r="G1057" s="64" t="str">
        <f t="shared" si="73"/>
        <v/>
      </c>
      <c r="H1057" s="64" t="str">
        <f t="shared" si="74"/>
        <v/>
      </c>
      <c r="I1057" s="63">
        <f>IF($G1057="",0,IF(COUNTIF($G$2:$G1057,$G1057)=1,1,0))</f>
        <v>0</v>
      </c>
      <c r="J1057" s="63" t="str">
        <f t="shared" si="75"/>
        <v/>
      </c>
      <c r="K1057" s="63" t="str">
        <f>IF($H1057="","",COUNTIF($H$2:$H1057,"?*"))</f>
        <v/>
      </c>
    </row>
    <row r="1058" spans="1:11" x14ac:dyDescent="0.25">
      <c r="A1058" s="63" t="s">
        <v>1325</v>
      </c>
      <c r="B1058" s="63" t="s">
        <v>1229</v>
      </c>
      <c r="C1058" s="63" t="s">
        <v>556</v>
      </c>
      <c r="D1058" s="63" t="str">
        <f>IF('Barn - Front Rack'!B64="","",TRIM('Barn - Front Rack'!B64))</f>
        <v>Bunn G9-2T</v>
      </c>
      <c r="E1058" s="64" t="str">
        <f>IF($D1058="","",'Barn - Front Rack'!C64&amp;"")</f>
        <v>G900046833</v>
      </c>
      <c r="F1058" s="63">
        <f t="shared" si="76"/>
        <v>1</v>
      </c>
      <c r="G1058" s="64" t="str">
        <f t="shared" si="73"/>
        <v>Bunn G9-2T</v>
      </c>
      <c r="H1058" s="64" t="str">
        <f t="shared" si="74"/>
        <v/>
      </c>
      <c r="I1058" s="63">
        <f>IF($G1058="",0,IF(COUNTIF($G$2:$G1058,$G1058)=1,1,0))</f>
        <v>0</v>
      </c>
      <c r="J1058" s="63" t="str">
        <f t="shared" si="75"/>
        <v/>
      </c>
      <c r="K1058" s="63" t="str">
        <f>IF($H1058="","",COUNTIF($H$2:$H1058,"?*"))</f>
        <v/>
      </c>
    </row>
    <row r="1059" spans="1:11" x14ac:dyDescent="0.25">
      <c r="A1059" s="63" t="s">
        <v>1325</v>
      </c>
      <c r="B1059" s="63" t="s">
        <v>1230</v>
      </c>
      <c r="C1059" s="63" t="s">
        <v>556</v>
      </c>
      <c r="D1059" s="63" t="str">
        <f>IF('Barn - Front Rack'!B65="","",TRIM('Barn - Front Rack'!B65))</f>
        <v>Bunn G9-2T</v>
      </c>
      <c r="E1059" s="64" t="str">
        <f>IF($D1059="","",'Barn - Front Rack'!C65&amp;"")</f>
        <v>G900036820</v>
      </c>
      <c r="F1059" s="63">
        <f t="shared" si="76"/>
        <v>1</v>
      </c>
      <c r="G1059" s="64" t="str">
        <f t="shared" si="73"/>
        <v>Bunn G9-2T</v>
      </c>
      <c r="H1059" s="64" t="str">
        <f t="shared" si="74"/>
        <v/>
      </c>
      <c r="I1059" s="63">
        <f>IF($G1059="",0,IF(COUNTIF($G$2:$G1059,$G1059)=1,1,0))</f>
        <v>0</v>
      </c>
      <c r="J1059" s="63" t="str">
        <f t="shared" si="75"/>
        <v/>
      </c>
      <c r="K1059" s="63" t="str">
        <f>IF($H1059="","",COUNTIF($H$2:$H1059,"?*"))</f>
        <v/>
      </c>
    </row>
    <row r="1060" spans="1:11" x14ac:dyDescent="0.25">
      <c r="A1060" s="63" t="s">
        <v>1325</v>
      </c>
      <c r="B1060" s="63" t="s">
        <v>1231</v>
      </c>
      <c r="C1060" s="63" t="s">
        <v>556</v>
      </c>
      <c r="D1060" s="63" t="str">
        <f>IF('Barn - Front Rack'!B66="","",TRIM('Barn - Front Rack'!B66))</f>
        <v>Bunn G9-2T</v>
      </c>
      <c r="E1060" s="64" t="str">
        <f>IF($D1060="","",'Barn - Front Rack'!C66&amp;"")</f>
        <v>G903312016</v>
      </c>
      <c r="F1060" s="63">
        <f t="shared" si="76"/>
        <v>1</v>
      </c>
      <c r="G1060" s="64" t="str">
        <f t="shared" si="73"/>
        <v>Bunn G9-2T</v>
      </c>
      <c r="H1060" s="64" t="str">
        <f t="shared" si="74"/>
        <v/>
      </c>
      <c r="I1060" s="63">
        <f>IF($G1060="",0,IF(COUNTIF($G$2:$G1060,$G1060)=1,1,0))</f>
        <v>0</v>
      </c>
      <c r="J1060" s="63" t="str">
        <f t="shared" si="75"/>
        <v/>
      </c>
      <c r="K1060" s="63" t="str">
        <f>IF($H1060="","",COUNTIF($H$2:$H1060,"?*"))</f>
        <v/>
      </c>
    </row>
    <row r="1061" spans="1:11" x14ac:dyDescent="0.25">
      <c r="A1061" s="63" t="s">
        <v>1325</v>
      </c>
      <c r="B1061" s="63" t="s">
        <v>1232</v>
      </c>
      <c r="C1061" s="63" t="s">
        <v>556</v>
      </c>
      <c r="D1061" s="63" t="str">
        <f>IF('Barn - Front Rack'!B67="","",TRIM('Barn - Front Rack'!B67))</f>
        <v>Bunn G9-2T</v>
      </c>
      <c r="E1061" s="64" t="str">
        <f>IF($D1061="","",'Barn - Front Rack'!C67&amp;"")</f>
        <v>G900067127</v>
      </c>
      <c r="F1061" s="63">
        <f t="shared" si="76"/>
        <v>1</v>
      </c>
      <c r="G1061" s="64" t="str">
        <f t="shared" si="73"/>
        <v>Bunn G9-2T</v>
      </c>
      <c r="H1061" s="64" t="str">
        <f t="shared" si="74"/>
        <v/>
      </c>
      <c r="I1061" s="63">
        <f>IF($G1061="",0,IF(COUNTIF($G$2:$G1061,$G1061)=1,1,0))</f>
        <v>0</v>
      </c>
      <c r="J1061" s="63" t="str">
        <f t="shared" si="75"/>
        <v/>
      </c>
      <c r="K1061" s="63" t="str">
        <f>IF($H1061="","",COUNTIF($H$2:$H1061,"?*"))</f>
        <v/>
      </c>
    </row>
    <row r="1062" spans="1:11" x14ac:dyDescent="0.25">
      <c r="A1062" s="63" t="s">
        <v>1325</v>
      </c>
      <c r="B1062" s="63" t="s">
        <v>1233</v>
      </c>
      <c r="C1062" s="63" t="s">
        <v>556</v>
      </c>
      <c r="D1062" s="63" t="str">
        <f>IF('Barn - Front Rack'!B68="","",TRIM('Barn - Front Rack'!B68))</f>
        <v>Bunn G9-2T</v>
      </c>
      <c r="E1062" s="64" t="str">
        <f>IF($D1062="","",'Barn - Front Rack'!C68&amp;"")</f>
        <v>G906073938</v>
      </c>
      <c r="F1062" s="63">
        <f t="shared" si="76"/>
        <v>1</v>
      </c>
      <c r="G1062" s="64" t="str">
        <f t="shared" si="73"/>
        <v>Bunn G9-2T</v>
      </c>
      <c r="H1062" s="64" t="str">
        <f t="shared" si="74"/>
        <v/>
      </c>
      <c r="I1062" s="63">
        <f>IF($G1062="",0,IF(COUNTIF($G$2:$G1062,$G1062)=1,1,0))</f>
        <v>0</v>
      </c>
      <c r="J1062" s="63" t="str">
        <f t="shared" si="75"/>
        <v/>
      </c>
      <c r="K1062" s="63" t="str">
        <f>IF($H1062="","",COUNTIF($H$2:$H1062,"?*"))</f>
        <v/>
      </c>
    </row>
    <row r="1063" spans="1:11" x14ac:dyDescent="0.25">
      <c r="A1063" s="63" t="s">
        <v>1325</v>
      </c>
      <c r="B1063" s="63" t="s">
        <v>1234</v>
      </c>
      <c r="C1063" s="63" t="s">
        <v>556</v>
      </c>
      <c r="D1063" s="63" t="str">
        <f>IF('Barn - Front Rack'!B69="","",TRIM('Barn - Front Rack'!B69))</f>
        <v>Bunn G9-2T</v>
      </c>
      <c r="E1063" s="64" t="str">
        <f>IF($D1063="","",'Barn - Front Rack'!C69&amp;"")</f>
        <v>N/A</v>
      </c>
      <c r="F1063" s="63">
        <f t="shared" si="76"/>
        <v>1</v>
      </c>
      <c r="G1063" s="64" t="str">
        <f t="shared" si="73"/>
        <v>Bunn G9-2T</v>
      </c>
      <c r="H1063" s="64" t="str">
        <f t="shared" si="74"/>
        <v/>
      </c>
      <c r="I1063" s="63">
        <f>IF($G1063="",0,IF(COUNTIF($G$2:$G1063,$G1063)=1,1,0))</f>
        <v>0</v>
      </c>
      <c r="J1063" s="63" t="str">
        <f t="shared" si="75"/>
        <v/>
      </c>
      <c r="K1063" s="63" t="str">
        <f>IF($H1063="","",COUNTIF($H$2:$H1063,"?*"))</f>
        <v/>
      </c>
    </row>
    <row r="1064" spans="1:11" x14ac:dyDescent="0.25">
      <c r="A1064" s="63" t="s">
        <v>1325</v>
      </c>
      <c r="B1064" s="63" t="s">
        <v>1235</v>
      </c>
      <c r="C1064" s="63" t="s">
        <v>556</v>
      </c>
      <c r="D1064" s="63" t="str">
        <f>IF('Barn - Front Rack'!B70="","",TRIM('Barn - Front Rack'!B70))</f>
        <v>Bunn G9-2T</v>
      </c>
      <c r="E1064" s="64" t="str">
        <f>IF($D1064="","",'Barn - Front Rack'!C70&amp;"")</f>
        <v>N/A</v>
      </c>
      <c r="F1064" s="63">
        <f t="shared" si="76"/>
        <v>1</v>
      </c>
      <c r="G1064" s="64" t="str">
        <f t="shared" si="73"/>
        <v>Bunn G9-2T</v>
      </c>
      <c r="H1064" s="64" t="str">
        <f t="shared" si="74"/>
        <v/>
      </c>
      <c r="I1064" s="63">
        <f>IF($G1064="",0,IF(COUNTIF($G$2:$G1064,$G1064)=1,1,0))</f>
        <v>0</v>
      </c>
      <c r="J1064" s="63" t="str">
        <f t="shared" si="75"/>
        <v/>
      </c>
      <c r="K1064" s="63" t="str">
        <f>IF($H1064="","",COUNTIF($H$2:$H1064,"?*"))</f>
        <v/>
      </c>
    </row>
    <row r="1065" spans="1:11" x14ac:dyDescent="0.25">
      <c r="A1065" s="63" t="s">
        <v>1325</v>
      </c>
      <c r="B1065" s="63" t="s">
        <v>1236</v>
      </c>
      <c r="C1065" s="63" t="s">
        <v>556</v>
      </c>
      <c r="D1065" s="63" t="str">
        <f>IF('Barn - Front Rack'!B71="","",TRIM('Barn - Front Rack'!B71))</f>
        <v>Bunn G9-1T</v>
      </c>
      <c r="E1065" s="64" t="str">
        <f>IF($D1065="","",'Barn - Front Rack'!C71&amp;"")</f>
        <v>G900073343</v>
      </c>
      <c r="F1065" s="63">
        <f t="shared" si="76"/>
        <v>1</v>
      </c>
      <c r="G1065" s="64" t="str">
        <f t="shared" si="73"/>
        <v>Bunn G9-1T</v>
      </c>
      <c r="H1065" s="64" t="str">
        <f t="shared" si="74"/>
        <v/>
      </c>
      <c r="I1065" s="63">
        <f>IF($G1065="",0,IF(COUNTIF($G$2:$G1065,$G1065)=1,1,0))</f>
        <v>1</v>
      </c>
      <c r="J1065" s="63">
        <f t="shared" si="75"/>
        <v>15</v>
      </c>
      <c r="K1065" s="63" t="str">
        <f>IF($H1065="","",COUNTIF($H$2:$H1065,"?*"))</f>
        <v/>
      </c>
    </row>
    <row r="1066" spans="1:11" x14ac:dyDescent="0.25">
      <c r="A1066" s="63" t="s">
        <v>1325</v>
      </c>
      <c r="B1066" s="63" t="s">
        <v>1237</v>
      </c>
      <c r="C1066" s="63" t="s">
        <v>556</v>
      </c>
      <c r="D1066" s="63" t="str">
        <f>IF('Barn - Front Rack'!B72="","",TRIM('Barn - Front Rack'!B72))</f>
        <v/>
      </c>
      <c r="E1066" s="64" t="str">
        <f>IF($D1066="","",'Barn - Front Rack'!C72&amp;"")</f>
        <v/>
      </c>
      <c r="F1066" s="63">
        <f t="shared" si="76"/>
        <v>0</v>
      </c>
      <c r="G1066" s="64" t="str">
        <f t="shared" si="73"/>
        <v/>
      </c>
      <c r="H1066" s="64" t="str">
        <f t="shared" si="74"/>
        <v/>
      </c>
      <c r="I1066" s="63">
        <f>IF($G1066="",0,IF(COUNTIF($G$2:$G1066,$G1066)=1,1,0))</f>
        <v>0</v>
      </c>
      <c r="J1066" s="63" t="str">
        <f t="shared" si="75"/>
        <v/>
      </c>
      <c r="K1066" s="63" t="str">
        <f>IF($H1066="","",COUNTIF($H$2:$H1066,"?*"))</f>
        <v/>
      </c>
    </row>
    <row r="1067" spans="1:11" x14ac:dyDescent="0.25">
      <c r="A1067" s="63" t="s">
        <v>1325</v>
      </c>
      <c r="B1067" s="63" t="s">
        <v>1238</v>
      </c>
      <c r="C1067" s="63" t="s">
        <v>556</v>
      </c>
      <c r="D1067" s="63" t="str">
        <f>IF('Barn - Front Rack'!B73="","",TRIM('Barn - Front Rack'!B73))</f>
        <v/>
      </c>
      <c r="E1067" s="64" t="str">
        <f>IF($D1067="","",'Barn - Front Rack'!C73&amp;"")</f>
        <v/>
      </c>
      <c r="F1067" s="63">
        <f t="shared" si="76"/>
        <v>0</v>
      </c>
      <c r="G1067" s="64" t="str">
        <f t="shared" si="73"/>
        <v/>
      </c>
      <c r="H1067" s="64" t="str">
        <f t="shared" si="74"/>
        <v/>
      </c>
      <c r="I1067" s="63">
        <f>IF($G1067="",0,IF(COUNTIF($G$2:$G1067,$G1067)=1,1,0))</f>
        <v>0</v>
      </c>
      <c r="J1067" s="63" t="str">
        <f t="shared" si="75"/>
        <v/>
      </c>
      <c r="K1067" s="63" t="str">
        <f>IF($H1067="","",COUNTIF($H$2:$H1067,"?*"))</f>
        <v/>
      </c>
    </row>
    <row r="1068" spans="1:11" x14ac:dyDescent="0.25">
      <c r="A1068" s="63" t="s">
        <v>1325</v>
      </c>
      <c r="B1068" s="63" t="s">
        <v>1239</v>
      </c>
      <c r="C1068" s="63" t="s">
        <v>556</v>
      </c>
      <c r="D1068" s="63" t="str">
        <f>IF('Barn - Front Rack'!B74="","",TRIM('Barn - Front Rack'!B74))</f>
        <v/>
      </c>
      <c r="E1068" s="64" t="str">
        <f>IF($D1068="","",'Barn - Front Rack'!C74&amp;"")</f>
        <v/>
      </c>
      <c r="F1068" s="63">
        <f t="shared" si="76"/>
        <v>0</v>
      </c>
      <c r="G1068" s="64" t="str">
        <f t="shared" si="73"/>
        <v/>
      </c>
      <c r="H1068" s="64" t="str">
        <f t="shared" si="74"/>
        <v/>
      </c>
      <c r="I1068" s="63">
        <f>IF($G1068="",0,IF(COUNTIF($G$2:$G1068,$G1068)=1,1,0))</f>
        <v>0</v>
      </c>
      <c r="J1068" s="63" t="str">
        <f t="shared" si="75"/>
        <v/>
      </c>
      <c r="K1068" s="63" t="str">
        <f>IF($H1068="","",COUNTIF($H$2:$H1068,"?*"))</f>
        <v/>
      </c>
    </row>
    <row r="1069" spans="1:11" x14ac:dyDescent="0.25">
      <c r="A1069" s="63" t="s">
        <v>1325</v>
      </c>
      <c r="B1069" s="63" t="s">
        <v>1240</v>
      </c>
      <c r="C1069" s="63" t="s">
        <v>556</v>
      </c>
      <c r="D1069" s="63" t="str">
        <f>IF('Barn - Front Rack'!B75="","",TRIM('Barn - Front Rack'!B75))</f>
        <v/>
      </c>
      <c r="E1069" s="64" t="str">
        <f>IF($D1069="","",'Barn - Front Rack'!C75&amp;"")</f>
        <v/>
      </c>
      <c r="F1069" s="63">
        <f t="shared" si="76"/>
        <v>0</v>
      </c>
      <c r="G1069" s="64" t="str">
        <f t="shared" si="73"/>
        <v/>
      </c>
      <c r="H1069" s="64" t="str">
        <f t="shared" si="74"/>
        <v/>
      </c>
      <c r="I1069" s="63">
        <f>IF($G1069="",0,IF(COUNTIF($G$2:$G1069,$G1069)=1,1,0))</f>
        <v>0</v>
      </c>
      <c r="J1069" s="63" t="str">
        <f t="shared" si="75"/>
        <v/>
      </c>
      <c r="K1069" s="63" t="str">
        <f>IF($H1069="","",COUNTIF($H$2:$H1069,"?*"))</f>
        <v/>
      </c>
    </row>
    <row r="1070" spans="1:11" x14ac:dyDescent="0.25">
      <c r="A1070" s="63" t="s">
        <v>1325</v>
      </c>
      <c r="B1070" s="63" t="s">
        <v>1241</v>
      </c>
      <c r="C1070" s="63" t="s">
        <v>556</v>
      </c>
      <c r="D1070" s="63" t="str">
        <f>IF('Barn - Front Rack'!D64="","",TRIM('Barn - Front Rack'!D64))</f>
        <v/>
      </c>
      <c r="E1070" s="64" t="str">
        <f>IF($D1070="","",'Barn - Front Rack'!E64&amp;"")</f>
        <v/>
      </c>
      <c r="F1070" s="63">
        <f t="shared" si="76"/>
        <v>0</v>
      </c>
      <c r="G1070" s="64" t="str">
        <f t="shared" si="73"/>
        <v/>
      </c>
      <c r="H1070" s="64" t="str">
        <f t="shared" si="74"/>
        <v/>
      </c>
      <c r="I1070" s="63">
        <f>IF($G1070="",0,IF(COUNTIF($G$2:$G1070,$G1070)=1,1,0))</f>
        <v>0</v>
      </c>
      <c r="J1070" s="63" t="str">
        <f t="shared" si="75"/>
        <v/>
      </c>
      <c r="K1070" s="63" t="str">
        <f>IF($H1070="","",COUNTIF($H$2:$H1070,"?*"))</f>
        <v/>
      </c>
    </row>
    <row r="1071" spans="1:11" x14ac:dyDescent="0.25">
      <c r="A1071" s="63" t="s">
        <v>1325</v>
      </c>
      <c r="B1071" s="63" t="s">
        <v>1242</v>
      </c>
      <c r="C1071" s="63" t="s">
        <v>556</v>
      </c>
      <c r="D1071" s="63" t="str">
        <f>IF('Barn - Front Rack'!D65="","",TRIM('Barn - Front Rack'!D65))</f>
        <v/>
      </c>
      <c r="E1071" s="64" t="str">
        <f>IF($D1071="","",'Barn - Front Rack'!E65&amp;"")</f>
        <v/>
      </c>
      <c r="F1071" s="63">
        <f t="shared" si="76"/>
        <v>0</v>
      </c>
      <c r="G1071" s="64" t="str">
        <f t="shared" si="73"/>
        <v/>
      </c>
      <c r="H1071" s="64" t="str">
        <f t="shared" si="74"/>
        <v/>
      </c>
      <c r="I1071" s="63">
        <f>IF($G1071="",0,IF(COUNTIF($G$2:$G1071,$G1071)=1,1,0))</f>
        <v>0</v>
      </c>
      <c r="J1071" s="63" t="str">
        <f t="shared" si="75"/>
        <v/>
      </c>
      <c r="K1071" s="63" t="str">
        <f>IF($H1071="","",COUNTIF($H$2:$H1071,"?*"))</f>
        <v/>
      </c>
    </row>
    <row r="1072" spans="1:11" x14ac:dyDescent="0.25">
      <c r="A1072" s="63" t="s">
        <v>1325</v>
      </c>
      <c r="B1072" s="63" t="s">
        <v>1243</v>
      </c>
      <c r="C1072" s="63" t="s">
        <v>556</v>
      </c>
      <c r="D1072" s="63" t="str">
        <f>IF('Barn - Front Rack'!D66="","",TRIM('Barn - Front Rack'!D66))</f>
        <v/>
      </c>
      <c r="E1072" s="64" t="str">
        <f>IF($D1072="","",'Barn - Front Rack'!E66&amp;"")</f>
        <v/>
      </c>
      <c r="F1072" s="63">
        <f t="shared" si="76"/>
        <v>0</v>
      </c>
      <c r="G1072" s="64" t="str">
        <f t="shared" si="73"/>
        <v/>
      </c>
      <c r="H1072" s="64" t="str">
        <f t="shared" si="74"/>
        <v/>
      </c>
      <c r="I1072" s="63">
        <f>IF($G1072="",0,IF(COUNTIF($G$2:$G1072,$G1072)=1,1,0))</f>
        <v>0</v>
      </c>
      <c r="J1072" s="63" t="str">
        <f t="shared" si="75"/>
        <v/>
      </c>
      <c r="K1072" s="63" t="str">
        <f>IF($H1072="","",COUNTIF($H$2:$H1072,"?*"))</f>
        <v/>
      </c>
    </row>
    <row r="1073" spans="1:11" x14ac:dyDescent="0.25">
      <c r="A1073" s="63" t="s">
        <v>1325</v>
      </c>
      <c r="B1073" s="63" t="s">
        <v>1244</v>
      </c>
      <c r="C1073" s="63" t="s">
        <v>556</v>
      </c>
      <c r="D1073" s="63" t="str">
        <f>IF('Barn - Front Rack'!D67="","",TRIM('Barn - Front Rack'!D67))</f>
        <v/>
      </c>
      <c r="E1073" s="64" t="str">
        <f>IF($D1073="","",'Barn - Front Rack'!E67&amp;"")</f>
        <v/>
      </c>
      <c r="F1073" s="63">
        <f t="shared" si="76"/>
        <v>0</v>
      </c>
      <c r="G1073" s="64" t="str">
        <f t="shared" si="73"/>
        <v/>
      </c>
      <c r="H1073" s="64" t="str">
        <f t="shared" si="74"/>
        <v/>
      </c>
      <c r="I1073" s="63">
        <f>IF($G1073="",0,IF(COUNTIF($G$2:$G1073,$G1073)=1,1,0))</f>
        <v>0</v>
      </c>
      <c r="J1073" s="63" t="str">
        <f t="shared" si="75"/>
        <v/>
      </c>
      <c r="K1073" s="63" t="str">
        <f>IF($H1073="","",COUNTIF($H$2:$H1073,"?*"))</f>
        <v/>
      </c>
    </row>
    <row r="1074" spans="1:11" x14ac:dyDescent="0.25">
      <c r="A1074" s="63" t="s">
        <v>1325</v>
      </c>
      <c r="B1074" s="63" t="s">
        <v>1245</v>
      </c>
      <c r="C1074" s="63" t="s">
        <v>556</v>
      </c>
      <c r="D1074" s="63" t="str">
        <f>IF('Barn - Front Rack'!D68="","",TRIM('Barn - Front Rack'!D68))</f>
        <v/>
      </c>
      <c r="E1074" s="64" t="str">
        <f>IF($D1074="","",'Barn - Front Rack'!E68&amp;"")</f>
        <v/>
      </c>
      <c r="F1074" s="63">
        <f t="shared" si="76"/>
        <v>0</v>
      </c>
      <c r="G1074" s="64" t="str">
        <f t="shared" si="73"/>
        <v/>
      </c>
      <c r="H1074" s="64" t="str">
        <f t="shared" si="74"/>
        <v/>
      </c>
      <c r="I1074" s="63">
        <f>IF($G1074="",0,IF(COUNTIF($G$2:$G1074,$G1074)=1,1,0))</f>
        <v>0</v>
      </c>
      <c r="J1074" s="63" t="str">
        <f t="shared" si="75"/>
        <v/>
      </c>
      <c r="K1074" s="63" t="str">
        <f>IF($H1074="","",COUNTIF($H$2:$H1074,"?*"))</f>
        <v/>
      </c>
    </row>
    <row r="1075" spans="1:11" x14ac:dyDescent="0.25">
      <c r="A1075" s="63" t="s">
        <v>1325</v>
      </c>
      <c r="B1075" s="63" t="s">
        <v>1246</v>
      </c>
      <c r="C1075" s="63" t="s">
        <v>556</v>
      </c>
      <c r="D1075" s="63" t="str">
        <f>IF('Barn - Front Rack'!D69="","",TRIM('Barn - Front Rack'!D69))</f>
        <v/>
      </c>
      <c r="E1075" s="64" t="str">
        <f>IF($D1075="","",'Barn - Front Rack'!E69&amp;"")</f>
        <v/>
      </c>
      <c r="F1075" s="63">
        <f t="shared" si="76"/>
        <v>0</v>
      </c>
      <c r="G1075" s="64" t="str">
        <f t="shared" si="73"/>
        <v/>
      </c>
      <c r="H1075" s="64" t="str">
        <f t="shared" si="74"/>
        <v/>
      </c>
      <c r="I1075" s="63">
        <f>IF($G1075="",0,IF(COUNTIF($G$2:$G1075,$G1075)=1,1,0))</f>
        <v>0</v>
      </c>
      <c r="J1075" s="63" t="str">
        <f t="shared" si="75"/>
        <v/>
      </c>
      <c r="K1075" s="63" t="str">
        <f>IF($H1075="","",COUNTIF($H$2:$H1075,"?*"))</f>
        <v/>
      </c>
    </row>
    <row r="1076" spans="1:11" x14ac:dyDescent="0.25">
      <c r="A1076" s="63" t="s">
        <v>1325</v>
      </c>
      <c r="B1076" s="63" t="s">
        <v>1247</v>
      </c>
      <c r="C1076" s="63" t="s">
        <v>556</v>
      </c>
      <c r="D1076" s="63" t="str">
        <f>IF('Barn - Front Rack'!D70="","",TRIM('Barn - Front Rack'!D70))</f>
        <v/>
      </c>
      <c r="E1076" s="64" t="str">
        <f>IF($D1076="","",'Barn - Front Rack'!E70&amp;"")</f>
        <v/>
      </c>
      <c r="F1076" s="63">
        <f t="shared" si="76"/>
        <v>0</v>
      </c>
      <c r="G1076" s="64" t="str">
        <f t="shared" si="73"/>
        <v/>
      </c>
      <c r="H1076" s="64" t="str">
        <f t="shared" si="74"/>
        <v/>
      </c>
      <c r="I1076" s="63">
        <f>IF($G1076="",0,IF(COUNTIF($G$2:$G1076,$G1076)=1,1,0))</f>
        <v>0</v>
      </c>
      <c r="J1076" s="63" t="str">
        <f t="shared" si="75"/>
        <v/>
      </c>
      <c r="K1076" s="63" t="str">
        <f>IF($H1076="","",COUNTIF($H$2:$H1076,"?*"))</f>
        <v/>
      </c>
    </row>
    <row r="1077" spans="1:11" x14ac:dyDescent="0.25">
      <c r="A1077" s="63" t="s">
        <v>1325</v>
      </c>
      <c r="B1077" s="63" t="s">
        <v>1248</v>
      </c>
      <c r="C1077" s="63" t="s">
        <v>556</v>
      </c>
      <c r="D1077" s="63" t="str">
        <f>IF('Barn - Front Rack'!D71="","",TRIM('Barn - Front Rack'!D71))</f>
        <v/>
      </c>
      <c r="E1077" s="64" t="str">
        <f>IF($D1077="","",'Barn - Front Rack'!E71&amp;"")</f>
        <v/>
      </c>
      <c r="F1077" s="63">
        <f t="shared" si="76"/>
        <v>0</v>
      </c>
      <c r="G1077" s="64" t="str">
        <f t="shared" si="73"/>
        <v/>
      </c>
      <c r="H1077" s="64" t="str">
        <f t="shared" si="74"/>
        <v/>
      </c>
      <c r="I1077" s="63">
        <f>IF($G1077="",0,IF(COUNTIF($G$2:$G1077,$G1077)=1,1,0))</f>
        <v>0</v>
      </c>
      <c r="J1077" s="63" t="str">
        <f t="shared" si="75"/>
        <v/>
      </c>
      <c r="K1077" s="63" t="str">
        <f>IF($H1077="","",COUNTIF($H$2:$H1077,"?*"))</f>
        <v/>
      </c>
    </row>
    <row r="1078" spans="1:11" x14ac:dyDescent="0.25">
      <c r="A1078" s="63" t="s">
        <v>1325</v>
      </c>
      <c r="B1078" s="63" t="s">
        <v>1249</v>
      </c>
      <c r="C1078" s="63" t="s">
        <v>556</v>
      </c>
      <c r="D1078" s="63" t="str">
        <f>IF('Barn - Front Rack'!D72="","",TRIM('Barn - Front Rack'!D72))</f>
        <v/>
      </c>
      <c r="E1078" s="64" t="str">
        <f>IF($D1078="","",'Barn - Front Rack'!E72&amp;"")</f>
        <v/>
      </c>
      <c r="F1078" s="63">
        <f t="shared" si="76"/>
        <v>0</v>
      </c>
      <c r="G1078" s="64" t="str">
        <f t="shared" si="73"/>
        <v/>
      </c>
      <c r="H1078" s="64" t="str">
        <f t="shared" si="74"/>
        <v/>
      </c>
      <c r="I1078" s="63">
        <f>IF($G1078="",0,IF(COUNTIF($G$2:$G1078,$G1078)=1,1,0))</f>
        <v>0</v>
      </c>
      <c r="J1078" s="63" t="str">
        <f t="shared" si="75"/>
        <v/>
      </c>
      <c r="K1078" s="63" t="str">
        <f>IF($H1078="","",COUNTIF($H$2:$H1078,"?*"))</f>
        <v/>
      </c>
    </row>
    <row r="1079" spans="1:11" x14ac:dyDescent="0.25">
      <c r="A1079" s="63" t="s">
        <v>1325</v>
      </c>
      <c r="B1079" s="63" t="s">
        <v>1250</v>
      </c>
      <c r="C1079" s="63" t="s">
        <v>556</v>
      </c>
      <c r="D1079" s="63" t="str">
        <f>IF('Barn - Front Rack'!D73="","",TRIM('Barn - Front Rack'!D73))</f>
        <v/>
      </c>
      <c r="E1079" s="64" t="str">
        <f>IF($D1079="","",'Barn - Front Rack'!E73&amp;"")</f>
        <v/>
      </c>
      <c r="F1079" s="63">
        <f t="shared" si="76"/>
        <v>0</v>
      </c>
      <c r="G1079" s="64" t="str">
        <f t="shared" si="73"/>
        <v/>
      </c>
      <c r="H1079" s="64" t="str">
        <f t="shared" si="74"/>
        <v/>
      </c>
      <c r="I1079" s="63">
        <f>IF($G1079="",0,IF(COUNTIF($G$2:$G1079,$G1079)=1,1,0))</f>
        <v>0</v>
      </c>
      <c r="J1079" s="63" t="str">
        <f t="shared" si="75"/>
        <v/>
      </c>
      <c r="K1079" s="63" t="str">
        <f>IF($H1079="","",COUNTIF($H$2:$H1079,"?*"))</f>
        <v/>
      </c>
    </row>
    <row r="1080" spans="1:11" x14ac:dyDescent="0.25">
      <c r="A1080" s="63" t="s">
        <v>1325</v>
      </c>
      <c r="B1080" s="63" t="s">
        <v>1251</v>
      </c>
      <c r="C1080" s="63" t="s">
        <v>556</v>
      </c>
      <c r="D1080" s="63" t="str">
        <f>IF('Barn - Front Rack'!D74="","",TRIM('Barn - Front Rack'!D74))</f>
        <v/>
      </c>
      <c r="E1080" s="64" t="str">
        <f>IF($D1080="","",'Barn - Front Rack'!E74&amp;"")</f>
        <v/>
      </c>
      <c r="F1080" s="63">
        <f t="shared" si="76"/>
        <v>0</v>
      </c>
      <c r="G1080" s="64" t="str">
        <f t="shared" si="73"/>
        <v/>
      </c>
      <c r="H1080" s="64" t="str">
        <f t="shared" si="74"/>
        <v/>
      </c>
      <c r="I1080" s="63">
        <f>IF($G1080="",0,IF(COUNTIF($G$2:$G1080,$G1080)=1,1,0))</f>
        <v>0</v>
      </c>
      <c r="J1080" s="63" t="str">
        <f t="shared" si="75"/>
        <v/>
      </c>
      <c r="K1080" s="63" t="str">
        <f>IF($H1080="","",COUNTIF($H$2:$H1080,"?*"))</f>
        <v/>
      </c>
    </row>
    <row r="1081" spans="1:11" x14ac:dyDescent="0.25">
      <c r="A1081" s="63" t="s">
        <v>1325</v>
      </c>
      <c r="B1081" s="63" t="s">
        <v>1252</v>
      </c>
      <c r="C1081" s="63" t="s">
        <v>556</v>
      </c>
      <c r="D1081" s="63" t="str">
        <f>IF('Barn - Front Rack'!D75="","",TRIM('Barn - Front Rack'!D75))</f>
        <v/>
      </c>
      <c r="E1081" s="64" t="str">
        <f>IF($D1081="","",'Barn - Front Rack'!E75&amp;"")</f>
        <v/>
      </c>
      <c r="F1081" s="63">
        <f t="shared" si="76"/>
        <v>0</v>
      </c>
      <c r="G1081" s="64" t="str">
        <f t="shared" si="73"/>
        <v/>
      </c>
      <c r="H1081" s="64" t="str">
        <f t="shared" si="74"/>
        <v/>
      </c>
      <c r="I1081" s="63">
        <f>IF($G1081="",0,IF(COUNTIF($G$2:$G1081,$G1081)=1,1,0))</f>
        <v>0</v>
      </c>
      <c r="J1081" s="63" t="str">
        <f t="shared" si="75"/>
        <v/>
      </c>
      <c r="K1081" s="63" t="str">
        <f>IF($H1081="","",COUNTIF($H$2:$H1081,"?*"))</f>
        <v/>
      </c>
    </row>
    <row r="1082" spans="1:11" x14ac:dyDescent="0.25">
      <c r="A1082" s="63" t="s">
        <v>1325</v>
      </c>
      <c r="B1082" s="63" t="s">
        <v>1253</v>
      </c>
      <c r="C1082" s="63" t="s">
        <v>556</v>
      </c>
      <c r="D1082" s="63" t="str">
        <f>IF('Barn - Front Rack'!F64="","",TRIM('Barn - Front Rack'!F64))</f>
        <v/>
      </c>
      <c r="E1082" s="64" t="str">
        <f>IF($D1082="","",'Barn - Front Rack'!G64&amp;"")</f>
        <v/>
      </c>
      <c r="F1082" s="63">
        <f t="shared" si="76"/>
        <v>0</v>
      </c>
      <c r="G1082" s="64" t="str">
        <f t="shared" si="73"/>
        <v/>
      </c>
      <c r="H1082" s="64" t="str">
        <f t="shared" si="74"/>
        <v/>
      </c>
      <c r="I1082" s="63">
        <f>IF($G1082="",0,IF(COUNTIF($G$2:$G1082,$G1082)=1,1,0))</f>
        <v>0</v>
      </c>
      <c r="J1082" s="63" t="str">
        <f t="shared" si="75"/>
        <v/>
      </c>
      <c r="K1082" s="63" t="str">
        <f>IF($H1082="","",COUNTIF($H$2:$H1082,"?*"))</f>
        <v/>
      </c>
    </row>
    <row r="1083" spans="1:11" x14ac:dyDescent="0.25">
      <c r="A1083" s="63" t="s">
        <v>1325</v>
      </c>
      <c r="B1083" s="63" t="s">
        <v>1254</v>
      </c>
      <c r="C1083" s="63" t="s">
        <v>556</v>
      </c>
      <c r="D1083" s="63" t="str">
        <f>IF('Barn - Front Rack'!F65="","",TRIM('Barn - Front Rack'!F65))</f>
        <v/>
      </c>
      <c r="E1083" s="64" t="str">
        <f>IF($D1083="","",'Barn - Front Rack'!G65&amp;"")</f>
        <v/>
      </c>
      <c r="F1083" s="63">
        <f t="shared" si="76"/>
        <v>0</v>
      </c>
      <c r="G1083" s="64" t="str">
        <f t="shared" si="73"/>
        <v/>
      </c>
      <c r="H1083" s="64" t="str">
        <f t="shared" si="74"/>
        <v/>
      </c>
      <c r="I1083" s="63">
        <f>IF($G1083="",0,IF(COUNTIF($G$2:$G1083,$G1083)=1,1,0))</f>
        <v>0</v>
      </c>
      <c r="J1083" s="63" t="str">
        <f t="shared" si="75"/>
        <v/>
      </c>
      <c r="K1083" s="63" t="str">
        <f>IF($H1083="","",COUNTIF($H$2:$H1083,"?*"))</f>
        <v/>
      </c>
    </row>
    <row r="1084" spans="1:11" x14ac:dyDescent="0.25">
      <c r="A1084" s="63" t="s">
        <v>1325</v>
      </c>
      <c r="B1084" s="63" t="s">
        <v>1255</v>
      </c>
      <c r="C1084" s="63" t="s">
        <v>556</v>
      </c>
      <c r="D1084" s="63" t="str">
        <f>IF('Barn - Front Rack'!F66="","",TRIM('Barn - Front Rack'!F66))</f>
        <v/>
      </c>
      <c r="E1084" s="64" t="str">
        <f>IF($D1084="","",'Barn - Front Rack'!G66&amp;"")</f>
        <v/>
      </c>
      <c r="F1084" s="63">
        <f t="shared" si="76"/>
        <v>0</v>
      </c>
      <c r="G1084" s="64" t="str">
        <f t="shared" si="73"/>
        <v/>
      </c>
      <c r="H1084" s="64" t="str">
        <f t="shared" si="74"/>
        <v/>
      </c>
      <c r="I1084" s="63">
        <f>IF($G1084="",0,IF(COUNTIF($G$2:$G1084,$G1084)=1,1,0))</f>
        <v>0</v>
      </c>
      <c r="J1084" s="63" t="str">
        <f t="shared" si="75"/>
        <v/>
      </c>
      <c r="K1084" s="63" t="str">
        <f>IF($H1084="","",COUNTIF($H$2:$H1084,"?*"))</f>
        <v/>
      </c>
    </row>
    <row r="1085" spans="1:11" x14ac:dyDescent="0.25">
      <c r="A1085" s="63" t="s">
        <v>1325</v>
      </c>
      <c r="B1085" s="63" t="s">
        <v>1256</v>
      </c>
      <c r="C1085" s="63" t="s">
        <v>556</v>
      </c>
      <c r="D1085" s="63" t="str">
        <f>IF('Barn - Front Rack'!F67="","",TRIM('Barn - Front Rack'!F67))</f>
        <v/>
      </c>
      <c r="E1085" s="64" t="str">
        <f>IF($D1085="","",'Barn - Front Rack'!G67&amp;"")</f>
        <v/>
      </c>
      <c r="F1085" s="63">
        <f t="shared" si="76"/>
        <v>0</v>
      </c>
      <c r="G1085" s="64" t="str">
        <f t="shared" si="73"/>
        <v/>
      </c>
      <c r="H1085" s="64" t="str">
        <f t="shared" si="74"/>
        <v/>
      </c>
      <c r="I1085" s="63">
        <f>IF($G1085="",0,IF(COUNTIF($G$2:$G1085,$G1085)=1,1,0))</f>
        <v>0</v>
      </c>
      <c r="J1085" s="63" t="str">
        <f t="shared" si="75"/>
        <v/>
      </c>
      <c r="K1085" s="63" t="str">
        <f>IF($H1085="","",COUNTIF($H$2:$H1085,"?*"))</f>
        <v/>
      </c>
    </row>
    <row r="1086" spans="1:11" x14ac:dyDescent="0.25">
      <c r="A1086" s="63" t="s">
        <v>1325</v>
      </c>
      <c r="B1086" s="63" t="s">
        <v>1257</v>
      </c>
      <c r="C1086" s="63" t="s">
        <v>556</v>
      </c>
      <c r="D1086" s="63" t="str">
        <f>IF('Barn - Front Rack'!F68="","",TRIM('Barn - Front Rack'!F68))</f>
        <v/>
      </c>
      <c r="E1086" s="64" t="str">
        <f>IF($D1086="","",'Barn - Front Rack'!G68&amp;"")</f>
        <v/>
      </c>
      <c r="F1086" s="63">
        <f t="shared" si="76"/>
        <v>0</v>
      </c>
      <c r="G1086" s="64" t="str">
        <f t="shared" si="73"/>
        <v/>
      </c>
      <c r="H1086" s="64" t="str">
        <f t="shared" si="74"/>
        <v/>
      </c>
      <c r="I1086" s="63">
        <f>IF($G1086="",0,IF(COUNTIF($G$2:$G1086,$G1086)=1,1,0))</f>
        <v>0</v>
      </c>
      <c r="J1086" s="63" t="str">
        <f t="shared" si="75"/>
        <v/>
      </c>
      <c r="K1086" s="63" t="str">
        <f>IF($H1086="","",COUNTIF($H$2:$H1086,"?*"))</f>
        <v/>
      </c>
    </row>
    <row r="1087" spans="1:11" x14ac:dyDescent="0.25">
      <c r="A1087" s="63" t="s">
        <v>1325</v>
      </c>
      <c r="B1087" s="63" t="s">
        <v>1258</v>
      </c>
      <c r="C1087" s="63" t="s">
        <v>556</v>
      </c>
      <c r="D1087" s="63" t="str">
        <f>IF('Barn - Front Rack'!F69="","",TRIM('Barn - Front Rack'!F69))</f>
        <v/>
      </c>
      <c r="E1087" s="64" t="str">
        <f>IF($D1087="","",'Barn - Front Rack'!G69&amp;"")</f>
        <v/>
      </c>
      <c r="F1087" s="63">
        <f t="shared" si="76"/>
        <v>0</v>
      </c>
      <c r="G1087" s="64" t="str">
        <f t="shared" si="73"/>
        <v/>
      </c>
      <c r="H1087" s="64" t="str">
        <f t="shared" si="74"/>
        <v/>
      </c>
      <c r="I1087" s="63">
        <f>IF($G1087="",0,IF(COUNTIF($G$2:$G1087,$G1087)=1,1,0))</f>
        <v>0</v>
      </c>
      <c r="J1087" s="63" t="str">
        <f t="shared" si="75"/>
        <v/>
      </c>
      <c r="K1087" s="63" t="str">
        <f>IF($H1087="","",COUNTIF($H$2:$H1087,"?*"))</f>
        <v/>
      </c>
    </row>
    <row r="1088" spans="1:11" x14ac:dyDescent="0.25">
      <c r="A1088" s="63" t="s">
        <v>1325</v>
      </c>
      <c r="B1088" s="63" t="s">
        <v>1259</v>
      </c>
      <c r="C1088" s="63" t="s">
        <v>556</v>
      </c>
      <c r="D1088" s="63" t="str">
        <f>IF('Barn - Front Rack'!F70="","",TRIM('Barn - Front Rack'!F70))</f>
        <v/>
      </c>
      <c r="E1088" s="64" t="str">
        <f>IF($D1088="","",'Barn - Front Rack'!G70&amp;"")</f>
        <v/>
      </c>
      <c r="F1088" s="63">
        <f t="shared" si="76"/>
        <v>0</v>
      </c>
      <c r="G1088" s="64" t="str">
        <f t="shared" si="73"/>
        <v/>
      </c>
      <c r="H1088" s="64" t="str">
        <f t="shared" si="74"/>
        <v/>
      </c>
      <c r="I1088" s="63">
        <f>IF($G1088="",0,IF(COUNTIF($G$2:$G1088,$G1088)=1,1,0))</f>
        <v>0</v>
      </c>
      <c r="J1088" s="63" t="str">
        <f t="shared" si="75"/>
        <v/>
      </c>
      <c r="K1088" s="63" t="str">
        <f>IF($H1088="","",COUNTIF($H$2:$H1088,"?*"))</f>
        <v/>
      </c>
    </row>
    <row r="1089" spans="1:11" x14ac:dyDescent="0.25">
      <c r="A1089" s="63" t="s">
        <v>1325</v>
      </c>
      <c r="B1089" s="63" t="s">
        <v>1260</v>
      </c>
      <c r="C1089" s="63" t="s">
        <v>556</v>
      </c>
      <c r="D1089" s="63" t="str">
        <f>IF('Barn - Front Rack'!F71="","",TRIM('Barn - Front Rack'!F71))</f>
        <v/>
      </c>
      <c r="E1089" s="64" t="str">
        <f>IF($D1089="","",'Barn - Front Rack'!G71&amp;"")</f>
        <v/>
      </c>
      <c r="F1089" s="63">
        <f t="shared" si="76"/>
        <v>0</v>
      </c>
      <c r="G1089" s="64" t="str">
        <f t="shared" si="73"/>
        <v/>
      </c>
      <c r="H1089" s="64" t="str">
        <f t="shared" si="74"/>
        <v/>
      </c>
      <c r="I1089" s="63">
        <f>IF($G1089="",0,IF(COUNTIF($G$2:$G1089,$G1089)=1,1,0))</f>
        <v>0</v>
      </c>
      <c r="J1089" s="63" t="str">
        <f t="shared" si="75"/>
        <v/>
      </c>
      <c r="K1089" s="63" t="str">
        <f>IF($H1089="","",COUNTIF($H$2:$H1089,"?*"))</f>
        <v/>
      </c>
    </row>
    <row r="1090" spans="1:11" x14ac:dyDescent="0.25">
      <c r="A1090" s="63" t="s">
        <v>1325</v>
      </c>
      <c r="B1090" s="63" t="s">
        <v>1261</v>
      </c>
      <c r="C1090" s="63" t="s">
        <v>556</v>
      </c>
      <c r="D1090" s="63" t="str">
        <f>IF('Barn - Front Rack'!F72="","",TRIM('Barn - Front Rack'!F72))</f>
        <v/>
      </c>
      <c r="E1090" s="64" t="str">
        <f>IF($D1090="","",'Barn - Front Rack'!G72&amp;"")</f>
        <v/>
      </c>
      <c r="F1090" s="63">
        <f t="shared" si="76"/>
        <v>0</v>
      </c>
      <c r="G1090" s="64" t="str">
        <f t="shared" ref="G1090:G1153" si="77">IF($D1090="","",IF(ISNUMBER(FIND("(",$D1090)),TRIM(LEFT($D1090,FIND("(",$D1090)-1)),$D1090))</f>
        <v/>
      </c>
      <c r="H1090" s="64" t="str">
        <f t="shared" ref="H1090:H1153" si="78">IF($D1090="","",IF(ISNUMBER(FIND("(",$D1090)),TRIM(SUBSTITUTE(MID($D1090,FIND("(",$D1090)+1,200),")","")),""))</f>
        <v/>
      </c>
      <c r="I1090" s="63">
        <f>IF($G1090="",0,IF(COUNTIF($G$2:$G1090,$G1090)=1,1,0))</f>
        <v>0</v>
      </c>
      <c r="J1090" s="63" t="str">
        <f t="shared" ref="J1090:J1153" si="79">IF($I1090=0,"",SUMPRODUCT(($I$2:$I$1513=1)*($G$2:$G$1513&lt;$G1090))+1)</f>
        <v/>
      </c>
      <c r="K1090" s="63" t="str">
        <f>IF($H1090="","",COUNTIF($H$2:$H1090,"?*"))</f>
        <v/>
      </c>
    </row>
    <row r="1091" spans="1:11" x14ac:dyDescent="0.25">
      <c r="A1091" s="63" t="s">
        <v>1325</v>
      </c>
      <c r="B1091" s="63" t="s">
        <v>1262</v>
      </c>
      <c r="C1091" s="63" t="s">
        <v>556</v>
      </c>
      <c r="D1091" s="63" t="str">
        <f>IF('Barn - Front Rack'!F73="","",TRIM('Barn - Front Rack'!F73))</f>
        <v/>
      </c>
      <c r="E1091" s="64" t="str">
        <f>IF($D1091="","",'Barn - Front Rack'!G73&amp;"")</f>
        <v/>
      </c>
      <c r="F1091" s="63">
        <f t="shared" si="76"/>
        <v>0</v>
      </c>
      <c r="G1091" s="64" t="str">
        <f t="shared" si="77"/>
        <v/>
      </c>
      <c r="H1091" s="64" t="str">
        <f t="shared" si="78"/>
        <v/>
      </c>
      <c r="I1091" s="63">
        <f>IF($G1091="",0,IF(COUNTIF($G$2:$G1091,$G1091)=1,1,0))</f>
        <v>0</v>
      </c>
      <c r="J1091" s="63" t="str">
        <f t="shared" si="79"/>
        <v/>
      </c>
      <c r="K1091" s="63" t="str">
        <f>IF($H1091="","",COUNTIF($H$2:$H1091,"?*"))</f>
        <v/>
      </c>
    </row>
    <row r="1092" spans="1:11" x14ac:dyDescent="0.25">
      <c r="A1092" s="63" t="s">
        <v>1325</v>
      </c>
      <c r="B1092" s="63" t="s">
        <v>1263</v>
      </c>
      <c r="C1092" s="63" t="s">
        <v>556</v>
      </c>
      <c r="D1092" s="63" t="str">
        <f>IF('Barn - Front Rack'!F74="","",TRIM('Barn - Front Rack'!F74))</f>
        <v/>
      </c>
      <c r="E1092" s="64" t="str">
        <f>IF($D1092="","",'Barn - Front Rack'!G74&amp;"")</f>
        <v/>
      </c>
      <c r="F1092" s="63">
        <f t="shared" si="76"/>
        <v>0</v>
      </c>
      <c r="G1092" s="64" t="str">
        <f t="shared" si="77"/>
        <v/>
      </c>
      <c r="H1092" s="64" t="str">
        <f t="shared" si="78"/>
        <v/>
      </c>
      <c r="I1092" s="63">
        <f>IF($G1092="",0,IF(COUNTIF($G$2:$G1092,$G1092)=1,1,0))</f>
        <v>0</v>
      </c>
      <c r="J1092" s="63" t="str">
        <f t="shared" si="79"/>
        <v/>
      </c>
      <c r="K1092" s="63" t="str">
        <f>IF($H1092="","",COUNTIF($H$2:$H1092,"?*"))</f>
        <v/>
      </c>
    </row>
    <row r="1093" spans="1:11" x14ac:dyDescent="0.25">
      <c r="A1093" s="63" t="s">
        <v>1325</v>
      </c>
      <c r="B1093" s="63" t="s">
        <v>1264</v>
      </c>
      <c r="C1093" s="63" t="s">
        <v>556</v>
      </c>
      <c r="D1093" s="63" t="str">
        <f>IF('Barn - Front Rack'!F75="","",TRIM('Barn - Front Rack'!F75))</f>
        <v/>
      </c>
      <c r="E1093" s="64" t="str">
        <f>IF($D1093="","",'Barn - Front Rack'!G75&amp;"")</f>
        <v/>
      </c>
      <c r="F1093" s="63">
        <f t="shared" si="76"/>
        <v>0</v>
      </c>
      <c r="G1093" s="64" t="str">
        <f t="shared" si="77"/>
        <v/>
      </c>
      <c r="H1093" s="64" t="str">
        <f t="shared" si="78"/>
        <v/>
      </c>
      <c r="I1093" s="63">
        <f>IF($G1093="",0,IF(COUNTIF($G$2:$G1093,$G1093)=1,1,0))</f>
        <v>0</v>
      </c>
      <c r="J1093" s="63" t="str">
        <f t="shared" si="79"/>
        <v/>
      </c>
      <c r="K1093" s="63" t="str">
        <f>IF($H1093="","",COUNTIF($H$2:$H1093,"?*"))</f>
        <v/>
      </c>
    </row>
    <row r="1094" spans="1:11" x14ac:dyDescent="0.25">
      <c r="A1094" s="63" t="s">
        <v>1325</v>
      </c>
      <c r="B1094" s="63" t="s">
        <v>1265</v>
      </c>
      <c r="C1094" s="63" t="s">
        <v>556</v>
      </c>
      <c r="D1094" s="63" t="str">
        <f>IF('Barn - Front Rack'!H64="","",TRIM('Barn - Front Rack'!H64))</f>
        <v>Bunn ICB Tall</v>
      </c>
      <c r="E1094" s="64" t="str">
        <f>IF($D1094="","",'Barn - Front Rack'!I64&amp;"")</f>
        <v>ICB0126980</v>
      </c>
      <c r="F1094" s="63">
        <f t="shared" si="76"/>
        <v>1</v>
      </c>
      <c r="G1094" s="64" t="str">
        <f t="shared" si="77"/>
        <v>Bunn ICB Tall</v>
      </c>
      <c r="H1094" s="64" t="str">
        <f t="shared" si="78"/>
        <v/>
      </c>
      <c r="I1094" s="63">
        <f>IF($G1094="",0,IF(COUNTIF($G$2:$G1094,$G1094)=1,1,0))</f>
        <v>1</v>
      </c>
      <c r="J1094" s="63">
        <f t="shared" si="79"/>
        <v>20</v>
      </c>
      <c r="K1094" s="63" t="str">
        <f>IF($H1094="","",COUNTIF($H$2:$H1094,"?*"))</f>
        <v/>
      </c>
    </row>
    <row r="1095" spans="1:11" x14ac:dyDescent="0.25">
      <c r="A1095" s="63" t="s">
        <v>1325</v>
      </c>
      <c r="B1095" s="63" t="s">
        <v>1266</v>
      </c>
      <c r="C1095" s="63" t="s">
        <v>556</v>
      </c>
      <c r="D1095" s="63" t="str">
        <f>IF('Barn - Front Rack'!H65="","",TRIM('Barn - Front Rack'!H65))</f>
        <v>Bunn ITB</v>
      </c>
      <c r="E1095" s="64" t="str">
        <f>IF($D1095="","",'Barn - Front Rack'!I65&amp;"")</f>
        <v>ITB0036643</v>
      </c>
      <c r="F1095" s="63">
        <f t="shared" si="76"/>
        <v>1</v>
      </c>
      <c r="G1095" s="64" t="str">
        <f t="shared" si="77"/>
        <v>Bunn ITB</v>
      </c>
      <c r="H1095" s="64" t="str">
        <f t="shared" si="78"/>
        <v/>
      </c>
      <c r="I1095" s="63">
        <f>IF($G1095="",0,IF(COUNTIF($G$2:$G1095,$G1095)=1,1,0))</f>
        <v>1</v>
      </c>
      <c r="J1095" s="63">
        <f t="shared" si="79"/>
        <v>21</v>
      </c>
      <c r="K1095" s="63" t="str">
        <f>IF($H1095="","",COUNTIF($H$2:$H1095,"?*"))</f>
        <v/>
      </c>
    </row>
    <row r="1096" spans="1:11" x14ac:dyDescent="0.25">
      <c r="A1096" s="63" t="s">
        <v>1325</v>
      </c>
      <c r="B1096" s="63" t="s">
        <v>1267</v>
      </c>
      <c r="C1096" s="63" t="s">
        <v>556</v>
      </c>
      <c r="D1096" s="63" t="str">
        <f>IF('Barn - Front Rack'!H66="","",TRIM('Barn - Front Rack'!H66))</f>
        <v>Bunn ITCB Short</v>
      </c>
      <c r="E1096" s="64" t="str">
        <f>IF($D1096="","",'Barn - Front Rack'!I66&amp;"")</f>
        <v>ITCB003305</v>
      </c>
      <c r="F1096" s="63">
        <f t="shared" si="76"/>
        <v>1</v>
      </c>
      <c r="G1096" s="64" t="str">
        <f t="shared" si="77"/>
        <v>Bunn ITCB Short</v>
      </c>
      <c r="H1096" s="64" t="str">
        <f t="shared" si="78"/>
        <v/>
      </c>
      <c r="I1096" s="63">
        <f>IF($G1096="",0,IF(COUNTIF($G$2:$G1096,$G1096)=1,1,0))</f>
        <v>1</v>
      </c>
      <c r="J1096" s="63">
        <f t="shared" si="79"/>
        <v>26</v>
      </c>
      <c r="K1096" s="63" t="str">
        <f>IF($H1096="","",COUNTIF($H$2:$H1096,"?*"))</f>
        <v/>
      </c>
    </row>
    <row r="1097" spans="1:11" x14ac:dyDescent="0.25">
      <c r="A1097" s="63" t="s">
        <v>1325</v>
      </c>
      <c r="B1097" s="63" t="s">
        <v>1268</v>
      </c>
      <c r="C1097" s="63" t="s">
        <v>556</v>
      </c>
      <c r="D1097" s="63" t="str">
        <f>IF('Barn - Front Rack'!H67="","",TRIM('Barn - Front Rack'!H67))</f>
        <v>Bunn ITCB Short</v>
      </c>
      <c r="E1097" s="64" t="str">
        <f>IF($D1097="","",'Barn - Front Rack'!I67&amp;"")</f>
        <v>ITCB013876</v>
      </c>
      <c r="F1097" s="63">
        <f t="shared" si="76"/>
        <v>1</v>
      </c>
      <c r="G1097" s="64" t="str">
        <f t="shared" si="77"/>
        <v>Bunn ITCB Short</v>
      </c>
      <c r="H1097" s="64" t="str">
        <f t="shared" si="78"/>
        <v/>
      </c>
      <c r="I1097" s="63">
        <f>IF($G1097="",0,IF(COUNTIF($G$2:$G1097,$G1097)=1,1,0))</f>
        <v>0</v>
      </c>
      <c r="J1097" s="63" t="str">
        <f t="shared" si="79"/>
        <v/>
      </c>
      <c r="K1097" s="63" t="str">
        <f>IF($H1097="","",COUNTIF($H$2:$H1097,"?*"))</f>
        <v/>
      </c>
    </row>
    <row r="1098" spans="1:11" x14ac:dyDescent="0.25">
      <c r="A1098" s="63" t="s">
        <v>1325</v>
      </c>
      <c r="B1098" s="63" t="s">
        <v>1269</v>
      </c>
      <c r="C1098" s="63" t="s">
        <v>556</v>
      </c>
      <c r="D1098" s="63" t="str">
        <f>IF('Barn - Front Rack'!H68="","",TRIM('Barn - Front Rack'!H68))</f>
        <v>Bunn ITCB Short</v>
      </c>
      <c r="E1098" s="64" t="str">
        <f>IF($D1098="","",'Barn - Front Rack'!I68&amp;"")</f>
        <v>ITCB018137</v>
      </c>
      <c r="F1098" s="63">
        <f t="shared" ref="F1098:F1153" si="80">IF($D1098="",0,1)</f>
        <v>1</v>
      </c>
      <c r="G1098" s="64" t="str">
        <f t="shared" si="77"/>
        <v>Bunn ITCB Short</v>
      </c>
      <c r="H1098" s="64" t="str">
        <f t="shared" si="78"/>
        <v/>
      </c>
      <c r="I1098" s="63">
        <f>IF($G1098="",0,IF(COUNTIF($G$2:$G1098,$G1098)=1,1,0))</f>
        <v>0</v>
      </c>
      <c r="J1098" s="63" t="str">
        <f t="shared" si="79"/>
        <v/>
      </c>
      <c r="K1098" s="63" t="str">
        <f>IF($H1098="","",COUNTIF($H$2:$H1098,"?*"))</f>
        <v/>
      </c>
    </row>
    <row r="1099" spans="1:11" x14ac:dyDescent="0.25">
      <c r="A1099" s="63" t="s">
        <v>1325</v>
      </c>
      <c r="B1099" s="63" t="s">
        <v>1270</v>
      </c>
      <c r="C1099" s="63" t="s">
        <v>556</v>
      </c>
      <c r="D1099" s="63" t="str">
        <f>IF('Barn - Front Rack'!H69="","",TRIM('Barn - Front Rack'!H69))</f>
        <v>Bunn ITCB Short</v>
      </c>
      <c r="E1099" s="64" t="str">
        <f>IF($D1099="","",'Barn - Front Rack'!I69&amp;"")</f>
        <v>ITCB083123</v>
      </c>
      <c r="F1099" s="63">
        <f t="shared" si="80"/>
        <v>1</v>
      </c>
      <c r="G1099" s="64" t="str">
        <f t="shared" si="77"/>
        <v>Bunn ITCB Short</v>
      </c>
      <c r="H1099" s="64" t="str">
        <f t="shared" si="78"/>
        <v/>
      </c>
      <c r="I1099" s="63">
        <f>IF($G1099="",0,IF(COUNTIF($G$2:$G1099,$G1099)=1,1,0))</f>
        <v>0</v>
      </c>
      <c r="J1099" s="63" t="str">
        <f t="shared" si="79"/>
        <v/>
      </c>
      <c r="K1099" s="63" t="str">
        <f>IF($H1099="","",COUNTIF($H$2:$H1099,"?*"))</f>
        <v/>
      </c>
    </row>
    <row r="1100" spans="1:11" x14ac:dyDescent="0.25">
      <c r="A1100" s="63" t="s">
        <v>1325</v>
      </c>
      <c r="B1100" s="63" t="s">
        <v>1271</v>
      </c>
      <c r="C1100" s="63" t="s">
        <v>556</v>
      </c>
      <c r="D1100" s="63" t="str">
        <f>IF('Barn - Front Rack'!H70="","",TRIM('Barn - Front Rack'!H70))</f>
        <v>Bunn TB3 Short</v>
      </c>
      <c r="E1100" s="64" t="str">
        <f>IF($D1100="","",'Barn - Front Rack'!I70&amp;"")</f>
        <v>N/A</v>
      </c>
      <c r="F1100" s="63">
        <f t="shared" si="80"/>
        <v>1</v>
      </c>
      <c r="G1100" s="64" t="str">
        <f t="shared" si="77"/>
        <v>Bunn TB3 Short</v>
      </c>
      <c r="H1100" s="64" t="str">
        <f t="shared" si="78"/>
        <v/>
      </c>
      <c r="I1100" s="63">
        <f>IF($G1100="",0,IF(COUNTIF($G$2:$G1100,$G1100)=1,1,0))</f>
        <v>1</v>
      </c>
      <c r="J1100" s="63">
        <f t="shared" si="79"/>
        <v>31</v>
      </c>
      <c r="K1100" s="63" t="str">
        <f>IF($H1100="","",COUNTIF($H$2:$H1100,"?*"))</f>
        <v/>
      </c>
    </row>
    <row r="1101" spans="1:11" x14ac:dyDescent="0.25">
      <c r="A1101" s="63" t="s">
        <v>1325</v>
      </c>
      <c r="B1101" s="63" t="s">
        <v>1272</v>
      </c>
      <c r="C1101" s="63" t="s">
        <v>556</v>
      </c>
      <c r="D1101" s="63" t="str">
        <f>IF('Barn - Front Rack'!H71="","",TRIM('Barn - Front Rack'!H71))</f>
        <v>Bunn TB3 Short</v>
      </c>
      <c r="E1101" s="64" t="str">
        <f>IF($D1101="","",'Barn - Front Rack'!I71&amp;"")</f>
        <v>N/A</v>
      </c>
      <c r="F1101" s="63">
        <f t="shared" si="80"/>
        <v>1</v>
      </c>
      <c r="G1101" s="64" t="str">
        <f t="shared" si="77"/>
        <v>Bunn TB3 Short</v>
      </c>
      <c r="H1101" s="64" t="str">
        <f t="shared" si="78"/>
        <v/>
      </c>
      <c r="I1101" s="63">
        <f>IF($G1101="",0,IF(COUNTIF($G$2:$G1101,$G1101)=1,1,0))</f>
        <v>0</v>
      </c>
      <c r="J1101" s="63" t="str">
        <f t="shared" si="79"/>
        <v/>
      </c>
      <c r="K1101" s="63" t="str">
        <f>IF($H1101="","",COUNTIF($H$2:$H1101,"?*"))</f>
        <v/>
      </c>
    </row>
    <row r="1102" spans="1:11" x14ac:dyDescent="0.25">
      <c r="A1102" s="63" t="s">
        <v>1325</v>
      </c>
      <c r="B1102" s="63" t="s">
        <v>1273</v>
      </c>
      <c r="C1102" s="63" t="s">
        <v>556</v>
      </c>
      <c r="D1102" s="63" t="str">
        <f>IF('Barn - Front Rack'!H72="","",TRIM('Barn - Front Rack'!H72))</f>
        <v/>
      </c>
      <c r="E1102" s="64" t="str">
        <f>IF($D1102="","",'Barn - Front Rack'!I72&amp;"")</f>
        <v/>
      </c>
      <c r="F1102" s="63">
        <f t="shared" si="80"/>
        <v>0</v>
      </c>
      <c r="G1102" s="64" t="str">
        <f t="shared" si="77"/>
        <v/>
      </c>
      <c r="H1102" s="64" t="str">
        <f t="shared" si="78"/>
        <v/>
      </c>
      <c r="I1102" s="63">
        <f>IF($G1102="",0,IF(COUNTIF($G$2:$G1102,$G1102)=1,1,0))</f>
        <v>0</v>
      </c>
      <c r="J1102" s="63" t="str">
        <f t="shared" si="79"/>
        <v/>
      </c>
      <c r="K1102" s="63" t="str">
        <f>IF($H1102="","",COUNTIF($H$2:$H1102,"?*"))</f>
        <v/>
      </c>
    </row>
    <row r="1103" spans="1:11" x14ac:dyDescent="0.25">
      <c r="A1103" s="63" t="s">
        <v>1325</v>
      </c>
      <c r="B1103" s="63" t="s">
        <v>1274</v>
      </c>
      <c r="C1103" s="63" t="s">
        <v>556</v>
      </c>
      <c r="D1103" s="63" t="str">
        <f>IF('Barn - Front Rack'!H73="","",TRIM('Barn - Front Rack'!H73))</f>
        <v/>
      </c>
      <c r="E1103" s="64" t="str">
        <f>IF($D1103="","",'Barn - Front Rack'!I73&amp;"")</f>
        <v/>
      </c>
      <c r="F1103" s="63">
        <f t="shared" si="80"/>
        <v>0</v>
      </c>
      <c r="G1103" s="64" t="str">
        <f t="shared" si="77"/>
        <v/>
      </c>
      <c r="H1103" s="64" t="str">
        <f t="shared" si="78"/>
        <v/>
      </c>
      <c r="I1103" s="63">
        <f>IF($G1103="",0,IF(COUNTIF($G$2:$G1103,$G1103)=1,1,0))</f>
        <v>0</v>
      </c>
      <c r="J1103" s="63" t="str">
        <f t="shared" si="79"/>
        <v/>
      </c>
      <c r="K1103" s="63" t="str">
        <f>IF($H1103="","",COUNTIF($H$2:$H1103,"?*"))</f>
        <v/>
      </c>
    </row>
    <row r="1104" spans="1:11" x14ac:dyDescent="0.25">
      <c r="A1104" s="63" t="s">
        <v>1325</v>
      </c>
      <c r="B1104" s="63" t="s">
        <v>1275</v>
      </c>
      <c r="C1104" s="63" t="s">
        <v>556</v>
      </c>
      <c r="D1104" s="63" t="str">
        <f>IF('Barn - Front Rack'!H74="","",TRIM('Barn - Front Rack'!H74))</f>
        <v/>
      </c>
      <c r="E1104" s="64" t="str">
        <f>IF($D1104="","",'Barn - Front Rack'!I74&amp;"")</f>
        <v/>
      </c>
      <c r="F1104" s="63">
        <f t="shared" si="80"/>
        <v>0</v>
      </c>
      <c r="G1104" s="64" t="str">
        <f t="shared" si="77"/>
        <v/>
      </c>
      <c r="H1104" s="64" t="str">
        <f t="shared" si="78"/>
        <v/>
      </c>
      <c r="I1104" s="63">
        <f>IF($G1104="",0,IF(COUNTIF($G$2:$G1104,$G1104)=1,1,0))</f>
        <v>0</v>
      </c>
      <c r="J1104" s="63" t="str">
        <f t="shared" si="79"/>
        <v/>
      </c>
      <c r="K1104" s="63" t="str">
        <f>IF($H1104="","",COUNTIF($H$2:$H1104,"?*"))</f>
        <v/>
      </c>
    </row>
    <row r="1105" spans="1:11" x14ac:dyDescent="0.25">
      <c r="A1105" s="63" t="s">
        <v>1325</v>
      </c>
      <c r="B1105" s="63" t="s">
        <v>1276</v>
      </c>
      <c r="C1105" s="63" t="s">
        <v>556</v>
      </c>
      <c r="D1105" s="63" t="str">
        <f>IF('Barn - Front Rack'!H75="","",TRIM('Barn - Front Rack'!H75))</f>
        <v/>
      </c>
      <c r="E1105" s="64" t="str">
        <f>IF($D1105="","",'Barn - Front Rack'!I75&amp;"")</f>
        <v/>
      </c>
      <c r="F1105" s="63">
        <f t="shared" si="80"/>
        <v>0</v>
      </c>
      <c r="G1105" s="64" t="str">
        <f t="shared" si="77"/>
        <v/>
      </c>
      <c r="H1105" s="64" t="str">
        <f t="shared" si="78"/>
        <v/>
      </c>
      <c r="I1105" s="63">
        <f>IF($G1105="",0,IF(COUNTIF($G$2:$G1105,$G1105)=1,1,0))</f>
        <v>0</v>
      </c>
      <c r="J1105" s="63" t="str">
        <f t="shared" si="79"/>
        <v/>
      </c>
      <c r="K1105" s="63" t="str">
        <f>IF($H1105="","",COUNTIF($H$2:$H1105,"?*"))</f>
        <v/>
      </c>
    </row>
    <row r="1106" spans="1:11" x14ac:dyDescent="0.25">
      <c r="A1106" s="63" t="s">
        <v>1325</v>
      </c>
      <c r="B1106" s="63" t="s">
        <v>1277</v>
      </c>
      <c r="C1106" s="63" t="s">
        <v>556</v>
      </c>
      <c r="D1106" s="63" t="str">
        <f>IF('Barn - Front Rack'!J64="","",TRIM('Barn - Front Rack'!J64))</f>
        <v>Victoria Arduino Leva 3</v>
      </c>
      <c r="E1106" s="64" t="str">
        <f>IF($D1106="","",'Barn - Front Rack'!K64&amp;"")</f>
        <v>12878</v>
      </c>
      <c r="F1106" s="63">
        <f t="shared" si="80"/>
        <v>1</v>
      </c>
      <c r="G1106" s="64" t="str">
        <f t="shared" si="77"/>
        <v>Victoria Arduino Leva 3</v>
      </c>
      <c r="H1106" s="64" t="str">
        <f t="shared" si="78"/>
        <v/>
      </c>
      <c r="I1106" s="63">
        <f>IF($G1106="",0,IF(COUNTIF($G$2:$G1106,$G1106)=1,1,0))</f>
        <v>1</v>
      </c>
      <c r="J1106" s="63">
        <f t="shared" si="79"/>
        <v>85</v>
      </c>
      <c r="K1106" s="63" t="str">
        <f>IF($H1106="","",COUNTIF($H$2:$H1106,"?*"))</f>
        <v/>
      </c>
    </row>
    <row r="1107" spans="1:11" x14ac:dyDescent="0.25">
      <c r="A1107" s="63" t="s">
        <v>1325</v>
      </c>
      <c r="B1107" s="63" t="s">
        <v>1278</v>
      </c>
      <c r="C1107" s="63" t="s">
        <v>556</v>
      </c>
      <c r="D1107" s="63" t="str">
        <f>IF('Barn - Front Rack'!J65="","",TRIM('Barn - Front Rack'!J65))</f>
        <v/>
      </c>
      <c r="E1107" s="64" t="str">
        <f>IF($D1107="","",'Barn - Front Rack'!K65&amp;"")</f>
        <v/>
      </c>
      <c r="F1107" s="63">
        <f t="shared" si="80"/>
        <v>0</v>
      </c>
      <c r="G1107" s="64" t="str">
        <f t="shared" si="77"/>
        <v/>
      </c>
      <c r="H1107" s="64" t="str">
        <f t="shared" si="78"/>
        <v/>
      </c>
      <c r="I1107" s="63">
        <f>IF($G1107="",0,IF(COUNTIF($G$2:$G1107,$G1107)=1,1,0))</f>
        <v>0</v>
      </c>
      <c r="J1107" s="63" t="str">
        <f t="shared" si="79"/>
        <v/>
      </c>
      <c r="K1107" s="63" t="str">
        <f>IF($H1107="","",COUNTIF($H$2:$H1107,"?*"))</f>
        <v/>
      </c>
    </row>
    <row r="1108" spans="1:11" x14ac:dyDescent="0.25">
      <c r="A1108" s="63" t="s">
        <v>1325</v>
      </c>
      <c r="B1108" s="63" t="s">
        <v>1279</v>
      </c>
      <c r="C1108" s="63" t="s">
        <v>556</v>
      </c>
      <c r="D1108" s="63" t="str">
        <f>IF('Barn - Front Rack'!J66="","",TRIM('Barn - Front Rack'!J66))</f>
        <v>Faema E61 Jubile A/1</v>
      </c>
      <c r="E1108" s="64" t="str">
        <f>IF($D1108="","",'Barn - Front Rack'!K66&amp;"")</f>
        <v>1247636</v>
      </c>
      <c r="F1108" s="63">
        <f t="shared" si="80"/>
        <v>1</v>
      </c>
      <c r="G1108" s="64" t="str">
        <f t="shared" si="77"/>
        <v>Faema E61 Jubile A/1</v>
      </c>
      <c r="H1108" s="64" t="str">
        <f t="shared" si="78"/>
        <v/>
      </c>
      <c r="I1108" s="63">
        <f>IF($G1108="",0,IF(COUNTIF($G$2:$G1108,$G1108)=1,1,0))</f>
        <v>1</v>
      </c>
      <c r="J1108" s="63">
        <f t="shared" si="79"/>
        <v>46</v>
      </c>
      <c r="K1108" s="63" t="str">
        <f>IF($H1108="","",COUNTIF($H$2:$H1108,"?*"))</f>
        <v/>
      </c>
    </row>
    <row r="1109" spans="1:11" x14ac:dyDescent="0.25">
      <c r="A1109" s="63" t="s">
        <v>1325</v>
      </c>
      <c r="B1109" s="63" t="s">
        <v>1280</v>
      </c>
      <c r="C1109" s="63" t="s">
        <v>556</v>
      </c>
      <c r="D1109" s="63" t="str">
        <f>IF('Barn - Front Rack'!J67="","",TRIM('Barn - Front Rack'!J67))</f>
        <v/>
      </c>
      <c r="E1109" s="64" t="str">
        <f>IF($D1109="","",'Barn - Front Rack'!K67&amp;"")</f>
        <v/>
      </c>
      <c r="F1109" s="63">
        <f t="shared" si="80"/>
        <v>0</v>
      </c>
      <c r="G1109" s="64" t="str">
        <f t="shared" si="77"/>
        <v/>
      </c>
      <c r="H1109" s="64" t="str">
        <f t="shared" si="78"/>
        <v/>
      </c>
      <c r="I1109" s="63">
        <f>IF($G1109="",0,IF(COUNTIF($G$2:$G1109,$G1109)=1,1,0))</f>
        <v>0</v>
      </c>
      <c r="J1109" s="63" t="str">
        <f t="shared" si="79"/>
        <v/>
      </c>
      <c r="K1109" s="63" t="str">
        <f>IF($H1109="","",COUNTIF($H$2:$H1109,"?*"))</f>
        <v/>
      </c>
    </row>
    <row r="1110" spans="1:11" x14ac:dyDescent="0.25">
      <c r="A1110" s="63" t="s">
        <v>1325</v>
      </c>
      <c r="B1110" s="63" t="s">
        <v>1281</v>
      </c>
      <c r="C1110" s="63" t="s">
        <v>556</v>
      </c>
      <c r="D1110" s="63" t="str">
        <f>IF('Barn - Front Rack'!J68="","",TRIM('Barn - Front Rack'!J68))</f>
        <v/>
      </c>
      <c r="E1110" s="64" t="str">
        <f>IF($D1110="","",'Barn - Front Rack'!K68&amp;"")</f>
        <v/>
      </c>
      <c r="F1110" s="63">
        <f t="shared" si="80"/>
        <v>0</v>
      </c>
      <c r="G1110" s="64" t="str">
        <f t="shared" si="77"/>
        <v/>
      </c>
      <c r="H1110" s="64" t="str">
        <f t="shared" si="78"/>
        <v/>
      </c>
      <c r="I1110" s="63">
        <f>IF($G1110="",0,IF(COUNTIF($G$2:$G1110,$G1110)=1,1,0))</f>
        <v>0</v>
      </c>
      <c r="J1110" s="63" t="str">
        <f t="shared" si="79"/>
        <v/>
      </c>
      <c r="K1110" s="63" t="str">
        <f>IF($H1110="","",COUNTIF($H$2:$H1110,"?*"))</f>
        <v/>
      </c>
    </row>
    <row r="1111" spans="1:11" x14ac:dyDescent="0.25">
      <c r="A1111" s="63" t="s">
        <v>1325</v>
      </c>
      <c r="B1111" s="63" t="s">
        <v>1282</v>
      </c>
      <c r="C1111" s="63" t="s">
        <v>556</v>
      </c>
      <c r="D1111" s="63" t="str">
        <f>IF('Barn - Front Rack'!J69="","",TRIM('Barn - Front Rack'!J69))</f>
        <v/>
      </c>
      <c r="E1111" s="64" t="str">
        <f>IF($D1111="","",'Barn - Front Rack'!K69&amp;"")</f>
        <v/>
      </c>
      <c r="F1111" s="63">
        <f t="shared" si="80"/>
        <v>0</v>
      </c>
      <c r="G1111" s="64" t="str">
        <f t="shared" si="77"/>
        <v/>
      </c>
      <c r="H1111" s="64" t="str">
        <f t="shared" si="78"/>
        <v/>
      </c>
      <c r="I1111" s="63">
        <f>IF($G1111="",0,IF(COUNTIF($G$2:$G1111,$G1111)=1,1,0))</f>
        <v>0</v>
      </c>
      <c r="J1111" s="63" t="str">
        <f t="shared" si="79"/>
        <v/>
      </c>
      <c r="K1111" s="63" t="str">
        <f>IF($H1111="","",COUNTIF($H$2:$H1111,"?*"))</f>
        <v/>
      </c>
    </row>
    <row r="1112" spans="1:11" x14ac:dyDescent="0.25">
      <c r="A1112" s="63" t="s">
        <v>1325</v>
      </c>
      <c r="B1112" s="63" t="s">
        <v>1283</v>
      </c>
      <c r="C1112" s="63" t="s">
        <v>556</v>
      </c>
      <c r="D1112" s="63" t="str">
        <f>IF('Barn - Front Rack'!J70="","",TRIM('Barn - Front Rack'!J70))</f>
        <v/>
      </c>
      <c r="E1112" s="64" t="str">
        <f>IF($D1112="","",'Barn - Front Rack'!K70&amp;"")</f>
        <v/>
      </c>
      <c r="F1112" s="63">
        <f t="shared" si="80"/>
        <v>0</v>
      </c>
      <c r="G1112" s="64" t="str">
        <f t="shared" si="77"/>
        <v/>
      </c>
      <c r="H1112" s="64" t="str">
        <f t="shared" si="78"/>
        <v/>
      </c>
      <c r="I1112" s="63">
        <f>IF($G1112="",0,IF(COUNTIF($G$2:$G1112,$G1112)=1,1,0))</f>
        <v>0</v>
      </c>
      <c r="J1112" s="63" t="str">
        <f t="shared" si="79"/>
        <v/>
      </c>
      <c r="K1112" s="63" t="str">
        <f>IF($H1112="","",COUNTIF($H$2:$H1112,"?*"))</f>
        <v/>
      </c>
    </row>
    <row r="1113" spans="1:11" x14ac:dyDescent="0.25">
      <c r="A1113" s="63" t="s">
        <v>1325</v>
      </c>
      <c r="B1113" s="63" t="s">
        <v>1284</v>
      </c>
      <c r="C1113" s="63" t="s">
        <v>556</v>
      </c>
      <c r="D1113" s="63" t="str">
        <f>IF('Barn - Front Rack'!J71="","",TRIM('Barn - Front Rack'!J71))</f>
        <v/>
      </c>
      <c r="E1113" s="64" t="str">
        <f>IF($D1113="","",'Barn - Front Rack'!K71&amp;"")</f>
        <v/>
      </c>
      <c r="F1113" s="63">
        <f t="shared" si="80"/>
        <v>0</v>
      </c>
      <c r="G1113" s="64" t="str">
        <f t="shared" si="77"/>
        <v/>
      </c>
      <c r="H1113" s="64" t="str">
        <f t="shared" si="78"/>
        <v/>
      </c>
      <c r="I1113" s="63">
        <f>IF($G1113="",0,IF(COUNTIF($G$2:$G1113,$G1113)=1,1,0))</f>
        <v>0</v>
      </c>
      <c r="J1113" s="63" t="str">
        <f t="shared" si="79"/>
        <v/>
      </c>
      <c r="K1113" s="63" t="str">
        <f>IF($H1113="","",COUNTIF($H$2:$H1113,"?*"))</f>
        <v/>
      </c>
    </row>
    <row r="1114" spans="1:11" x14ac:dyDescent="0.25">
      <c r="A1114" s="63" t="s">
        <v>1325</v>
      </c>
      <c r="B1114" s="63" t="s">
        <v>1285</v>
      </c>
      <c r="C1114" s="63" t="s">
        <v>556</v>
      </c>
      <c r="D1114" s="63" t="str">
        <f>IF('Barn - Front Rack'!J72="","",TRIM('Barn - Front Rack'!J72))</f>
        <v/>
      </c>
      <c r="E1114" s="64" t="str">
        <f>IF($D1114="","",'Barn - Front Rack'!K72&amp;"")</f>
        <v/>
      </c>
      <c r="F1114" s="63">
        <f t="shared" si="80"/>
        <v>0</v>
      </c>
      <c r="G1114" s="64" t="str">
        <f t="shared" si="77"/>
        <v/>
      </c>
      <c r="H1114" s="64" t="str">
        <f t="shared" si="78"/>
        <v/>
      </c>
      <c r="I1114" s="63">
        <f>IF($G1114="",0,IF(COUNTIF($G$2:$G1114,$G1114)=1,1,0))</f>
        <v>0</v>
      </c>
      <c r="J1114" s="63" t="str">
        <f t="shared" si="79"/>
        <v/>
      </c>
      <c r="K1114" s="63" t="str">
        <f>IF($H1114="","",COUNTIF($H$2:$H1114,"?*"))</f>
        <v/>
      </c>
    </row>
    <row r="1115" spans="1:11" x14ac:dyDescent="0.25">
      <c r="A1115" s="63" t="s">
        <v>1325</v>
      </c>
      <c r="B1115" s="63" t="s">
        <v>1286</v>
      </c>
      <c r="C1115" s="63" t="s">
        <v>556</v>
      </c>
      <c r="D1115" s="63" t="str">
        <f>IF('Barn - Front Rack'!J73="","",TRIM('Barn - Front Rack'!J73))</f>
        <v/>
      </c>
      <c r="E1115" s="64" t="str">
        <f>IF($D1115="","",'Barn - Front Rack'!K73&amp;"")</f>
        <v/>
      </c>
      <c r="F1115" s="63">
        <f t="shared" si="80"/>
        <v>0</v>
      </c>
      <c r="G1115" s="64" t="str">
        <f t="shared" si="77"/>
        <v/>
      </c>
      <c r="H1115" s="64" t="str">
        <f t="shared" si="78"/>
        <v/>
      </c>
      <c r="I1115" s="63">
        <f>IF($G1115="",0,IF(COUNTIF($G$2:$G1115,$G1115)=1,1,0))</f>
        <v>0</v>
      </c>
      <c r="J1115" s="63" t="str">
        <f t="shared" si="79"/>
        <v/>
      </c>
      <c r="K1115" s="63" t="str">
        <f>IF($H1115="","",COUNTIF($H$2:$H1115,"?*"))</f>
        <v/>
      </c>
    </row>
    <row r="1116" spans="1:11" x14ac:dyDescent="0.25">
      <c r="A1116" s="63" t="s">
        <v>1325</v>
      </c>
      <c r="B1116" s="63" t="s">
        <v>1287</v>
      </c>
      <c r="C1116" s="63" t="s">
        <v>556</v>
      </c>
      <c r="D1116" s="63" t="str">
        <f>IF('Barn - Front Rack'!J74="","",TRIM('Barn - Front Rack'!J74))</f>
        <v/>
      </c>
      <c r="E1116" s="64" t="str">
        <f>IF($D1116="","",'Barn - Front Rack'!K74&amp;"")</f>
        <v/>
      </c>
      <c r="F1116" s="63">
        <f t="shared" si="80"/>
        <v>0</v>
      </c>
      <c r="G1116" s="64" t="str">
        <f t="shared" si="77"/>
        <v/>
      </c>
      <c r="H1116" s="64" t="str">
        <f t="shared" si="78"/>
        <v/>
      </c>
      <c r="I1116" s="63">
        <f>IF($G1116="",0,IF(COUNTIF($G$2:$G1116,$G1116)=1,1,0))</f>
        <v>0</v>
      </c>
      <c r="J1116" s="63" t="str">
        <f t="shared" si="79"/>
        <v/>
      </c>
      <c r="K1116" s="63" t="str">
        <f>IF($H1116="","",COUNTIF($H$2:$H1116,"?*"))</f>
        <v/>
      </c>
    </row>
    <row r="1117" spans="1:11" x14ac:dyDescent="0.25">
      <c r="A1117" s="63" t="s">
        <v>1325</v>
      </c>
      <c r="B1117" s="63" t="s">
        <v>1288</v>
      </c>
      <c r="C1117" s="63" t="s">
        <v>556</v>
      </c>
      <c r="D1117" s="63" t="str">
        <f>IF('Barn - Front Rack'!J75="","",TRIM('Barn - Front Rack'!J75))</f>
        <v/>
      </c>
      <c r="E1117" s="64" t="str">
        <f>IF($D1117="","",'Barn - Front Rack'!K75&amp;"")</f>
        <v/>
      </c>
      <c r="F1117" s="63">
        <f t="shared" si="80"/>
        <v>0</v>
      </c>
      <c r="G1117" s="64" t="str">
        <f t="shared" si="77"/>
        <v/>
      </c>
      <c r="H1117" s="64" t="str">
        <f t="shared" si="78"/>
        <v/>
      </c>
      <c r="I1117" s="63">
        <f>IF($G1117="",0,IF(COUNTIF($G$2:$G1117,$G1117)=1,1,0))</f>
        <v>0</v>
      </c>
      <c r="J1117" s="63" t="str">
        <f t="shared" si="79"/>
        <v/>
      </c>
      <c r="K1117" s="63" t="str">
        <f>IF($H1117="","",COUNTIF($H$2:$H1117,"?*"))</f>
        <v/>
      </c>
    </row>
    <row r="1118" spans="1:11" x14ac:dyDescent="0.25">
      <c r="A1118" s="63" t="s">
        <v>1325</v>
      </c>
      <c r="B1118" s="63" t="s">
        <v>1289</v>
      </c>
      <c r="C1118" s="63" t="s">
        <v>556</v>
      </c>
      <c r="D1118" s="63" t="str">
        <f>IF('Barn - Front Rack'!L64="","",TRIM('Barn - Front Rack'!L64))</f>
        <v>La Marzocco Linea S 2AV (Coco's)</v>
      </c>
      <c r="E1118" s="64" t="str">
        <f>IF($D1118="","",'Barn - Front Rack'!M64&amp;"")</f>
        <v>29304</v>
      </c>
      <c r="F1118" s="63">
        <f t="shared" si="80"/>
        <v>1</v>
      </c>
      <c r="G1118" s="64" t="str">
        <f t="shared" si="77"/>
        <v>La Marzocco Linea S 2AV</v>
      </c>
      <c r="H1118" s="64" t="str">
        <f t="shared" si="78"/>
        <v>Coco's</v>
      </c>
      <c r="I1118" s="63">
        <f>IF($G1118="",0,IF(COUNTIF($G$2:$G1118,$G1118)=1,1,0))</f>
        <v>1</v>
      </c>
      <c r="J1118" s="63">
        <f t="shared" si="79"/>
        <v>69</v>
      </c>
      <c r="K1118" s="63">
        <f>IF($H1118="","",COUNTIF($H$2:$H1118,"?*"))</f>
        <v>4</v>
      </c>
    </row>
    <row r="1119" spans="1:11" x14ac:dyDescent="0.25">
      <c r="A1119" s="63" t="s">
        <v>1325</v>
      </c>
      <c r="B1119" s="63" t="s">
        <v>1290</v>
      </c>
      <c r="C1119" s="63" t="s">
        <v>556</v>
      </c>
      <c r="D1119" s="63" t="str">
        <f>IF('Barn - Front Rack'!L65="","",TRIM('Barn - Front Rack'!L65))</f>
        <v>La Marzocco Swift Grinder (Coco's)</v>
      </c>
      <c r="E1119" s="64" t="str">
        <f>IF($D1119="","",'Barn - Front Rack'!M65&amp;"")</f>
        <v>9386</v>
      </c>
      <c r="F1119" s="63">
        <f t="shared" si="80"/>
        <v>1</v>
      </c>
      <c r="G1119" s="64" t="str">
        <f t="shared" si="77"/>
        <v>La Marzocco Swift Grinder</v>
      </c>
      <c r="H1119" s="64" t="str">
        <f t="shared" si="78"/>
        <v>Coco's</v>
      </c>
      <c r="I1119" s="63">
        <f>IF($G1119="",0,IF(COUNTIF($G$2:$G1119,$G1119)=1,1,0))</f>
        <v>0</v>
      </c>
      <c r="J1119" s="63" t="str">
        <f t="shared" si="79"/>
        <v/>
      </c>
      <c r="K1119" s="63">
        <f>IF($H1119="","",COUNTIF($H$2:$H1119,"?*"))</f>
        <v>5</v>
      </c>
    </row>
    <row r="1120" spans="1:11" x14ac:dyDescent="0.25">
      <c r="A1120" s="63" t="s">
        <v>1325</v>
      </c>
      <c r="B1120" s="63" t="s">
        <v>1291</v>
      </c>
      <c r="C1120" s="63" t="s">
        <v>556</v>
      </c>
      <c r="D1120" s="63" t="str">
        <f>IF('Barn - Front Rack'!L66="","",TRIM('Barn - Front Rack'!L66))</f>
        <v/>
      </c>
      <c r="E1120" s="64" t="str">
        <f>IF($D1120="","",'Barn - Front Rack'!M66&amp;"")</f>
        <v/>
      </c>
      <c r="F1120" s="63">
        <f t="shared" si="80"/>
        <v>0</v>
      </c>
      <c r="G1120" s="64" t="str">
        <f t="shared" si="77"/>
        <v/>
      </c>
      <c r="H1120" s="64" t="str">
        <f t="shared" si="78"/>
        <v/>
      </c>
      <c r="I1120" s="63">
        <f>IF($G1120="",0,IF(COUNTIF($G$2:$G1120,$G1120)=1,1,0))</f>
        <v>0</v>
      </c>
      <c r="J1120" s="63" t="str">
        <f t="shared" si="79"/>
        <v/>
      </c>
      <c r="K1120" s="63" t="str">
        <f>IF($H1120="","",COUNTIF($H$2:$H1120,"?*"))</f>
        <v/>
      </c>
    </row>
    <row r="1121" spans="1:11" x14ac:dyDescent="0.25">
      <c r="A1121" s="63" t="s">
        <v>1325</v>
      </c>
      <c r="B1121" s="63" t="s">
        <v>1292</v>
      </c>
      <c r="C1121" s="63" t="s">
        <v>556</v>
      </c>
      <c r="D1121" s="63" t="str">
        <f>IF('Barn - Front Rack'!L67="","",TRIM('Barn - Front Rack'!L67))</f>
        <v/>
      </c>
      <c r="E1121" s="64" t="str">
        <f>IF($D1121="","",'Barn - Front Rack'!M67&amp;"")</f>
        <v/>
      </c>
      <c r="F1121" s="63">
        <f t="shared" si="80"/>
        <v>0</v>
      </c>
      <c r="G1121" s="64" t="str">
        <f t="shared" si="77"/>
        <v/>
      </c>
      <c r="H1121" s="64" t="str">
        <f t="shared" si="78"/>
        <v/>
      </c>
      <c r="I1121" s="63">
        <f>IF($G1121="",0,IF(COUNTIF($G$2:$G1121,$G1121)=1,1,0))</f>
        <v>0</v>
      </c>
      <c r="J1121" s="63" t="str">
        <f t="shared" si="79"/>
        <v/>
      </c>
      <c r="K1121" s="63" t="str">
        <f>IF($H1121="","",COUNTIF($H$2:$H1121,"?*"))</f>
        <v/>
      </c>
    </row>
    <row r="1122" spans="1:11" x14ac:dyDescent="0.25">
      <c r="A1122" s="63" t="s">
        <v>1325</v>
      </c>
      <c r="B1122" s="63" t="s">
        <v>1293</v>
      </c>
      <c r="C1122" s="63" t="s">
        <v>556</v>
      </c>
      <c r="D1122" s="63" t="str">
        <f>IF('Barn - Front Rack'!L68="","",TRIM('Barn - Front Rack'!L68))</f>
        <v/>
      </c>
      <c r="E1122" s="64" t="str">
        <f>IF($D1122="","",'Barn - Front Rack'!M68&amp;"")</f>
        <v/>
      </c>
      <c r="F1122" s="63">
        <f t="shared" si="80"/>
        <v>0</v>
      </c>
      <c r="G1122" s="64" t="str">
        <f t="shared" si="77"/>
        <v/>
      </c>
      <c r="H1122" s="64" t="str">
        <f t="shared" si="78"/>
        <v/>
      </c>
      <c r="I1122" s="63">
        <f>IF($G1122="",0,IF(COUNTIF($G$2:$G1122,$G1122)=1,1,0))</f>
        <v>0</v>
      </c>
      <c r="J1122" s="63" t="str">
        <f t="shared" si="79"/>
        <v/>
      </c>
      <c r="K1122" s="63" t="str">
        <f>IF($H1122="","",COUNTIF($H$2:$H1122,"?*"))</f>
        <v/>
      </c>
    </row>
    <row r="1123" spans="1:11" x14ac:dyDescent="0.25">
      <c r="A1123" s="63" t="s">
        <v>1325</v>
      </c>
      <c r="B1123" s="63" t="s">
        <v>1294</v>
      </c>
      <c r="C1123" s="63" t="s">
        <v>556</v>
      </c>
      <c r="D1123" s="63" t="str">
        <f>IF('Barn - Front Rack'!L69="","",TRIM('Barn - Front Rack'!L69))</f>
        <v/>
      </c>
      <c r="E1123" s="64" t="str">
        <f>IF($D1123="","",'Barn - Front Rack'!M69&amp;"")</f>
        <v/>
      </c>
      <c r="F1123" s="63">
        <f t="shared" si="80"/>
        <v>0</v>
      </c>
      <c r="G1123" s="64" t="str">
        <f t="shared" si="77"/>
        <v/>
      </c>
      <c r="H1123" s="64" t="str">
        <f t="shared" si="78"/>
        <v/>
      </c>
      <c r="I1123" s="63">
        <f>IF($G1123="",0,IF(COUNTIF($G$2:$G1123,$G1123)=1,1,0))</f>
        <v>0</v>
      </c>
      <c r="J1123" s="63" t="str">
        <f t="shared" si="79"/>
        <v/>
      </c>
      <c r="K1123" s="63" t="str">
        <f>IF($H1123="","",COUNTIF($H$2:$H1123,"?*"))</f>
        <v/>
      </c>
    </row>
    <row r="1124" spans="1:11" x14ac:dyDescent="0.25">
      <c r="A1124" s="63" t="s">
        <v>1325</v>
      </c>
      <c r="B1124" s="63" t="s">
        <v>1295</v>
      </c>
      <c r="C1124" s="63" t="s">
        <v>556</v>
      </c>
      <c r="D1124" s="63" t="str">
        <f>IF('Barn - Front Rack'!L70="","",TRIM('Barn - Front Rack'!L70))</f>
        <v/>
      </c>
      <c r="E1124" s="64" t="str">
        <f>IF($D1124="","",'Barn - Front Rack'!M70&amp;"")</f>
        <v/>
      </c>
      <c r="F1124" s="63">
        <f t="shared" si="80"/>
        <v>0</v>
      </c>
      <c r="G1124" s="64" t="str">
        <f t="shared" si="77"/>
        <v/>
      </c>
      <c r="H1124" s="64" t="str">
        <f t="shared" si="78"/>
        <v/>
      </c>
      <c r="I1124" s="63">
        <f>IF($G1124="",0,IF(COUNTIF($G$2:$G1124,$G1124)=1,1,0))</f>
        <v>0</v>
      </c>
      <c r="J1124" s="63" t="str">
        <f t="shared" si="79"/>
        <v/>
      </c>
      <c r="K1124" s="63" t="str">
        <f>IF($H1124="","",COUNTIF($H$2:$H1124,"?*"))</f>
        <v/>
      </c>
    </row>
    <row r="1125" spans="1:11" x14ac:dyDescent="0.25">
      <c r="A1125" s="63" t="s">
        <v>1325</v>
      </c>
      <c r="B1125" s="63" t="s">
        <v>1296</v>
      </c>
      <c r="C1125" s="63" t="s">
        <v>556</v>
      </c>
      <c r="D1125" s="63" t="str">
        <f>IF('Barn - Front Rack'!L71="","",TRIM('Barn - Front Rack'!L71))</f>
        <v/>
      </c>
      <c r="E1125" s="64" t="str">
        <f>IF($D1125="","",'Barn - Front Rack'!M71&amp;"")</f>
        <v/>
      </c>
      <c r="F1125" s="63">
        <f t="shared" si="80"/>
        <v>0</v>
      </c>
      <c r="G1125" s="64" t="str">
        <f t="shared" si="77"/>
        <v/>
      </c>
      <c r="H1125" s="64" t="str">
        <f t="shared" si="78"/>
        <v/>
      </c>
      <c r="I1125" s="63">
        <f>IF($G1125="",0,IF(COUNTIF($G$2:$G1125,$G1125)=1,1,0))</f>
        <v>0</v>
      </c>
      <c r="J1125" s="63" t="str">
        <f t="shared" si="79"/>
        <v/>
      </c>
      <c r="K1125" s="63" t="str">
        <f>IF($H1125="","",COUNTIF($H$2:$H1125,"?*"))</f>
        <v/>
      </c>
    </row>
    <row r="1126" spans="1:11" x14ac:dyDescent="0.25">
      <c r="A1126" s="63" t="s">
        <v>1325</v>
      </c>
      <c r="B1126" s="63" t="s">
        <v>1297</v>
      </c>
      <c r="C1126" s="63" t="s">
        <v>556</v>
      </c>
      <c r="D1126" s="63" t="str">
        <f>IF('Barn - Front Rack'!L72="","",TRIM('Barn - Front Rack'!L72))</f>
        <v/>
      </c>
      <c r="E1126" s="64" t="str">
        <f>IF($D1126="","",'Barn - Front Rack'!M72&amp;"")</f>
        <v/>
      </c>
      <c r="F1126" s="63">
        <f t="shared" si="80"/>
        <v>0</v>
      </c>
      <c r="G1126" s="64" t="str">
        <f t="shared" si="77"/>
        <v/>
      </c>
      <c r="H1126" s="64" t="str">
        <f t="shared" si="78"/>
        <v/>
      </c>
      <c r="I1126" s="63">
        <f>IF($G1126="",0,IF(COUNTIF($G$2:$G1126,$G1126)=1,1,0))</f>
        <v>0</v>
      </c>
      <c r="J1126" s="63" t="str">
        <f t="shared" si="79"/>
        <v/>
      </c>
      <c r="K1126" s="63" t="str">
        <f>IF($H1126="","",COUNTIF($H$2:$H1126,"?*"))</f>
        <v/>
      </c>
    </row>
    <row r="1127" spans="1:11" x14ac:dyDescent="0.25">
      <c r="A1127" s="63" t="s">
        <v>1325</v>
      </c>
      <c r="B1127" s="63" t="s">
        <v>1298</v>
      </c>
      <c r="C1127" s="63" t="s">
        <v>556</v>
      </c>
      <c r="D1127" s="63" t="str">
        <f>IF('Barn - Front Rack'!L73="","",TRIM('Barn - Front Rack'!L73))</f>
        <v/>
      </c>
      <c r="E1127" s="64" t="str">
        <f>IF($D1127="","",'Barn - Front Rack'!M73&amp;"")</f>
        <v/>
      </c>
      <c r="F1127" s="63">
        <f t="shared" si="80"/>
        <v>0</v>
      </c>
      <c r="G1127" s="64" t="str">
        <f t="shared" si="77"/>
        <v/>
      </c>
      <c r="H1127" s="64" t="str">
        <f t="shared" si="78"/>
        <v/>
      </c>
      <c r="I1127" s="63">
        <f>IF($G1127="",0,IF(COUNTIF($G$2:$G1127,$G1127)=1,1,0))</f>
        <v>0</v>
      </c>
      <c r="J1127" s="63" t="str">
        <f t="shared" si="79"/>
        <v/>
      </c>
      <c r="K1127" s="63" t="str">
        <f>IF($H1127="","",COUNTIF($H$2:$H1127,"?*"))</f>
        <v/>
      </c>
    </row>
    <row r="1128" spans="1:11" x14ac:dyDescent="0.25">
      <c r="A1128" s="63" t="s">
        <v>1325</v>
      </c>
      <c r="B1128" s="63" t="s">
        <v>1299</v>
      </c>
      <c r="C1128" s="63" t="s">
        <v>556</v>
      </c>
      <c r="D1128" s="63" t="str">
        <f>IF('Barn - Front Rack'!L74="","",TRIM('Barn - Front Rack'!L74))</f>
        <v/>
      </c>
      <c r="E1128" s="64" t="str">
        <f>IF($D1128="","",'Barn - Front Rack'!M74&amp;"")</f>
        <v/>
      </c>
      <c r="F1128" s="63">
        <f t="shared" si="80"/>
        <v>0</v>
      </c>
      <c r="G1128" s="64" t="str">
        <f t="shared" si="77"/>
        <v/>
      </c>
      <c r="H1128" s="64" t="str">
        <f t="shared" si="78"/>
        <v/>
      </c>
      <c r="I1128" s="63">
        <f>IF($G1128="",0,IF(COUNTIF($G$2:$G1128,$G1128)=1,1,0))</f>
        <v>0</v>
      </c>
      <c r="J1128" s="63" t="str">
        <f t="shared" si="79"/>
        <v/>
      </c>
      <c r="K1128" s="63" t="str">
        <f>IF($H1128="","",COUNTIF($H$2:$H1128,"?*"))</f>
        <v/>
      </c>
    </row>
    <row r="1129" spans="1:11" x14ac:dyDescent="0.25">
      <c r="A1129" s="63" t="s">
        <v>1325</v>
      </c>
      <c r="B1129" s="63" t="s">
        <v>1300</v>
      </c>
      <c r="C1129" s="63" t="s">
        <v>556</v>
      </c>
      <c r="D1129" s="63" t="str">
        <f>IF('Barn - Front Rack'!L75="","",TRIM('Barn - Front Rack'!L75))</f>
        <v/>
      </c>
      <c r="E1129" s="64" t="str">
        <f>IF($D1129="","",'Barn - Front Rack'!M75&amp;"")</f>
        <v/>
      </c>
      <c r="F1129" s="63">
        <f t="shared" si="80"/>
        <v>0</v>
      </c>
      <c r="G1129" s="64" t="str">
        <f t="shared" si="77"/>
        <v/>
      </c>
      <c r="H1129" s="64" t="str">
        <f t="shared" si="78"/>
        <v/>
      </c>
      <c r="I1129" s="63">
        <f>IF($G1129="",0,IF(COUNTIF($G$2:$G1129,$G1129)=1,1,0))</f>
        <v>0</v>
      </c>
      <c r="J1129" s="63" t="str">
        <f t="shared" si="79"/>
        <v/>
      </c>
      <c r="K1129" s="63" t="str">
        <f>IF($H1129="","",COUNTIF($H$2:$H1129,"?*"))</f>
        <v/>
      </c>
    </row>
    <row r="1130" spans="1:11" x14ac:dyDescent="0.25">
      <c r="A1130" s="63" t="s">
        <v>1325</v>
      </c>
      <c r="B1130" s="63" t="s">
        <v>1301</v>
      </c>
      <c r="C1130" s="63" t="s">
        <v>556</v>
      </c>
      <c r="D1130" s="63" t="str">
        <f>IF('Barn - Front Rack'!N64="","",TRIM('Barn - Front Rack'!N64))</f>
        <v>Fetco 52H</v>
      </c>
      <c r="E1130" s="64" t="str">
        <f>IF($D1130="","",'Barn - Front Rack'!O64&amp;"")</f>
        <v>N/A</v>
      </c>
      <c r="F1130" s="63">
        <f t="shared" si="80"/>
        <v>1</v>
      </c>
      <c r="G1130" s="64" t="str">
        <f t="shared" si="77"/>
        <v>Fetco 52H</v>
      </c>
      <c r="H1130" s="64" t="str">
        <f t="shared" si="78"/>
        <v/>
      </c>
      <c r="I1130" s="63">
        <f>IF($G1130="",0,IF(COUNTIF($G$2:$G1130,$G1130)=1,1,0))</f>
        <v>0</v>
      </c>
      <c r="J1130" s="63" t="str">
        <f t="shared" si="79"/>
        <v/>
      </c>
      <c r="K1130" s="63" t="str">
        <f>IF($H1130="","",COUNTIF($H$2:$H1130,"?*"))</f>
        <v/>
      </c>
    </row>
    <row r="1131" spans="1:11" x14ac:dyDescent="0.25">
      <c r="A1131" s="63" t="s">
        <v>1325</v>
      </c>
      <c r="B1131" s="63" t="s">
        <v>1302</v>
      </c>
      <c r="C1131" s="63" t="s">
        <v>556</v>
      </c>
      <c r="D1131" s="63" t="str">
        <f>IF('Barn - Front Rack'!N65="","",TRIM('Barn - Front Rack'!N65))</f>
        <v>Fetco 52H</v>
      </c>
      <c r="E1131" s="64" t="str">
        <f>IF($D1131="","",'Barn - Front Rack'!O65&amp;"")</f>
        <v>630140228371</v>
      </c>
      <c r="F1131" s="63">
        <f t="shared" si="80"/>
        <v>1</v>
      </c>
      <c r="G1131" s="64" t="str">
        <f t="shared" si="77"/>
        <v>Fetco 52H</v>
      </c>
      <c r="H1131" s="64" t="str">
        <f t="shared" si="78"/>
        <v/>
      </c>
      <c r="I1131" s="63">
        <f>IF($G1131="",0,IF(COUNTIF($G$2:$G1131,$G1131)=1,1,0))</f>
        <v>0</v>
      </c>
      <c r="J1131" s="63" t="str">
        <f t="shared" si="79"/>
        <v/>
      </c>
      <c r="K1131" s="63" t="str">
        <f>IF($H1131="","",COUNTIF($H$2:$H1131,"?*"))</f>
        <v/>
      </c>
    </row>
    <row r="1132" spans="1:11" x14ac:dyDescent="0.25">
      <c r="A1132" s="63" t="s">
        <v>1325</v>
      </c>
      <c r="B1132" s="63" t="s">
        <v>1303</v>
      </c>
      <c r="C1132" s="63" t="s">
        <v>556</v>
      </c>
      <c r="D1132" s="63" t="str">
        <f>IF('Barn - Front Rack'!N66="","",TRIM('Barn - Front Rack'!N66))</f>
        <v/>
      </c>
      <c r="E1132" s="64" t="str">
        <f>IF($D1132="","",'Barn - Front Rack'!O66&amp;"")</f>
        <v/>
      </c>
      <c r="F1132" s="63">
        <f t="shared" si="80"/>
        <v>0</v>
      </c>
      <c r="G1132" s="64" t="str">
        <f t="shared" si="77"/>
        <v/>
      </c>
      <c r="H1132" s="64" t="str">
        <f t="shared" si="78"/>
        <v/>
      </c>
      <c r="I1132" s="63">
        <f>IF($G1132="",0,IF(COUNTIF($G$2:$G1132,$G1132)=1,1,0))</f>
        <v>0</v>
      </c>
      <c r="J1132" s="63" t="str">
        <f t="shared" si="79"/>
        <v/>
      </c>
      <c r="K1132" s="63" t="str">
        <f>IF($H1132="","",COUNTIF($H$2:$H1132,"?*"))</f>
        <v/>
      </c>
    </row>
    <row r="1133" spans="1:11" x14ac:dyDescent="0.25">
      <c r="A1133" s="63" t="s">
        <v>1325</v>
      </c>
      <c r="B1133" s="63" t="s">
        <v>1304</v>
      </c>
      <c r="C1133" s="63" t="s">
        <v>556</v>
      </c>
      <c r="D1133" s="63" t="str">
        <f>IF('Barn - Front Rack'!N67="","",TRIM('Barn - Front Rack'!N67))</f>
        <v/>
      </c>
      <c r="E1133" s="64" t="str">
        <f>IF($D1133="","",'Barn - Front Rack'!O67&amp;"")</f>
        <v/>
      </c>
      <c r="F1133" s="63">
        <f t="shared" si="80"/>
        <v>0</v>
      </c>
      <c r="G1133" s="64" t="str">
        <f t="shared" si="77"/>
        <v/>
      </c>
      <c r="H1133" s="64" t="str">
        <f t="shared" si="78"/>
        <v/>
      </c>
      <c r="I1133" s="63">
        <f>IF($G1133="",0,IF(COUNTIF($G$2:$G1133,$G1133)=1,1,0))</f>
        <v>0</v>
      </c>
      <c r="J1133" s="63" t="str">
        <f t="shared" si="79"/>
        <v/>
      </c>
      <c r="K1133" s="63" t="str">
        <f>IF($H1133="","",COUNTIF($H$2:$H1133,"?*"))</f>
        <v/>
      </c>
    </row>
    <row r="1134" spans="1:11" x14ac:dyDescent="0.25">
      <c r="A1134" s="63" t="s">
        <v>1325</v>
      </c>
      <c r="B1134" s="63" t="s">
        <v>1305</v>
      </c>
      <c r="C1134" s="63" t="s">
        <v>556</v>
      </c>
      <c r="D1134" s="63" t="str">
        <f>IF('Barn - Front Rack'!N68="","",TRIM('Barn - Front Rack'!N68))</f>
        <v/>
      </c>
      <c r="E1134" s="64" t="str">
        <f>IF($D1134="","",'Barn - Front Rack'!O68&amp;"")</f>
        <v/>
      </c>
      <c r="F1134" s="63">
        <f t="shared" si="80"/>
        <v>0</v>
      </c>
      <c r="G1134" s="64" t="str">
        <f t="shared" si="77"/>
        <v/>
      </c>
      <c r="H1134" s="64" t="str">
        <f t="shared" si="78"/>
        <v/>
      </c>
      <c r="I1134" s="63">
        <f>IF($G1134="",0,IF(COUNTIF($G$2:$G1134,$G1134)=1,1,0))</f>
        <v>0</v>
      </c>
      <c r="J1134" s="63" t="str">
        <f t="shared" si="79"/>
        <v/>
      </c>
      <c r="K1134" s="63" t="str">
        <f>IF($H1134="","",COUNTIF($H$2:$H1134,"?*"))</f>
        <v/>
      </c>
    </row>
    <row r="1135" spans="1:11" x14ac:dyDescent="0.25">
      <c r="A1135" s="63" t="s">
        <v>1325</v>
      </c>
      <c r="B1135" s="63" t="s">
        <v>1306</v>
      </c>
      <c r="C1135" s="63" t="s">
        <v>556</v>
      </c>
      <c r="D1135" s="63" t="str">
        <f>IF('Barn - Front Rack'!N69="","",TRIM('Barn - Front Rack'!N69))</f>
        <v/>
      </c>
      <c r="E1135" s="64" t="str">
        <f>IF($D1135="","",'Barn - Front Rack'!O69&amp;"")</f>
        <v/>
      </c>
      <c r="F1135" s="63">
        <f t="shared" si="80"/>
        <v>0</v>
      </c>
      <c r="G1135" s="64" t="str">
        <f t="shared" si="77"/>
        <v/>
      </c>
      <c r="H1135" s="64" t="str">
        <f t="shared" si="78"/>
        <v/>
      </c>
      <c r="I1135" s="63">
        <f>IF($G1135="",0,IF(COUNTIF($G$2:$G1135,$G1135)=1,1,0))</f>
        <v>0</v>
      </c>
      <c r="J1135" s="63" t="str">
        <f t="shared" si="79"/>
        <v/>
      </c>
      <c r="K1135" s="63" t="str">
        <f>IF($H1135="","",COUNTIF($H$2:$H1135,"?*"))</f>
        <v/>
      </c>
    </row>
    <row r="1136" spans="1:11" x14ac:dyDescent="0.25">
      <c r="A1136" s="63" t="s">
        <v>1325</v>
      </c>
      <c r="B1136" s="63" t="s">
        <v>1307</v>
      </c>
      <c r="C1136" s="63" t="s">
        <v>556</v>
      </c>
      <c r="D1136" s="63" t="str">
        <f>IF('Barn - Front Rack'!N70="","",TRIM('Barn - Front Rack'!N70))</f>
        <v/>
      </c>
      <c r="E1136" s="64" t="str">
        <f>IF($D1136="","",'Barn - Front Rack'!O70&amp;"")</f>
        <v/>
      </c>
      <c r="F1136" s="63">
        <f t="shared" si="80"/>
        <v>0</v>
      </c>
      <c r="G1136" s="64" t="str">
        <f t="shared" si="77"/>
        <v/>
      </c>
      <c r="H1136" s="64" t="str">
        <f t="shared" si="78"/>
        <v/>
      </c>
      <c r="I1136" s="63">
        <f>IF($G1136="",0,IF(COUNTIF($G$2:$G1136,$G1136)=1,1,0))</f>
        <v>0</v>
      </c>
      <c r="J1136" s="63" t="str">
        <f t="shared" si="79"/>
        <v/>
      </c>
      <c r="K1136" s="63" t="str">
        <f>IF($H1136="","",COUNTIF($H$2:$H1136,"?*"))</f>
        <v/>
      </c>
    </row>
    <row r="1137" spans="1:11" x14ac:dyDescent="0.25">
      <c r="A1137" s="63" t="s">
        <v>1325</v>
      </c>
      <c r="B1137" s="63" t="s">
        <v>1308</v>
      </c>
      <c r="C1137" s="63" t="s">
        <v>556</v>
      </c>
      <c r="D1137" s="63" t="str">
        <f>IF('Barn - Front Rack'!N71="","",TRIM('Barn - Front Rack'!N71))</f>
        <v/>
      </c>
      <c r="E1137" s="64" t="str">
        <f>IF($D1137="","",'Barn - Front Rack'!O71&amp;"")</f>
        <v/>
      </c>
      <c r="F1137" s="63">
        <f t="shared" si="80"/>
        <v>0</v>
      </c>
      <c r="G1137" s="64" t="str">
        <f t="shared" si="77"/>
        <v/>
      </c>
      <c r="H1137" s="64" t="str">
        <f t="shared" si="78"/>
        <v/>
      </c>
      <c r="I1137" s="63">
        <f>IF($G1137="",0,IF(COUNTIF($G$2:$G1137,$G1137)=1,1,0))</f>
        <v>0</v>
      </c>
      <c r="J1137" s="63" t="str">
        <f t="shared" si="79"/>
        <v/>
      </c>
      <c r="K1137" s="63" t="str">
        <f>IF($H1137="","",COUNTIF($H$2:$H1137,"?*"))</f>
        <v/>
      </c>
    </row>
    <row r="1138" spans="1:11" x14ac:dyDescent="0.25">
      <c r="A1138" s="63" t="s">
        <v>1325</v>
      </c>
      <c r="B1138" s="63" t="s">
        <v>1309</v>
      </c>
      <c r="C1138" s="63" t="s">
        <v>556</v>
      </c>
      <c r="D1138" s="63" t="str">
        <f>IF('Barn - Front Rack'!N72="","",TRIM('Barn - Front Rack'!N72))</f>
        <v/>
      </c>
      <c r="E1138" s="64" t="str">
        <f>IF($D1138="","",'Barn - Front Rack'!O72&amp;"")</f>
        <v/>
      </c>
      <c r="F1138" s="63">
        <f t="shared" si="80"/>
        <v>0</v>
      </c>
      <c r="G1138" s="64" t="str">
        <f t="shared" si="77"/>
        <v/>
      </c>
      <c r="H1138" s="64" t="str">
        <f t="shared" si="78"/>
        <v/>
      </c>
      <c r="I1138" s="63">
        <f>IF($G1138="",0,IF(COUNTIF($G$2:$G1138,$G1138)=1,1,0))</f>
        <v>0</v>
      </c>
      <c r="J1138" s="63" t="str">
        <f t="shared" si="79"/>
        <v/>
      </c>
      <c r="K1138" s="63" t="str">
        <f>IF($H1138="","",COUNTIF($H$2:$H1138,"?*"))</f>
        <v/>
      </c>
    </row>
    <row r="1139" spans="1:11" x14ac:dyDescent="0.25">
      <c r="A1139" s="63" t="s">
        <v>1325</v>
      </c>
      <c r="B1139" s="63" t="s">
        <v>1310</v>
      </c>
      <c r="C1139" s="63" t="s">
        <v>556</v>
      </c>
      <c r="D1139" s="63" t="str">
        <f>IF('Barn - Front Rack'!N73="","",TRIM('Barn - Front Rack'!N73))</f>
        <v/>
      </c>
      <c r="E1139" s="64" t="str">
        <f>IF($D1139="","",'Barn - Front Rack'!O73&amp;"")</f>
        <v/>
      </c>
      <c r="F1139" s="63">
        <f t="shared" si="80"/>
        <v>0</v>
      </c>
      <c r="G1139" s="64" t="str">
        <f t="shared" si="77"/>
        <v/>
      </c>
      <c r="H1139" s="64" t="str">
        <f t="shared" si="78"/>
        <v/>
      </c>
      <c r="I1139" s="63">
        <f>IF($G1139="",0,IF(COUNTIF($G$2:$G1139,$G1139)=1,1,0))</f>
        <v>0</v>
      </c>
      <c r="J1139" s="63" t="str">
        <f t="shared" si="79"/>
        <v/>
      </c>
      <c r="K1139" s="63" t="str">
        <f>IF($H1139="","",COUNTIF($H$2:$H1139,"?*"))</f>
        <v/>
      </c>
    </row>
    <row r="1140" spans="1:11" x14ac:dyDescent="0.25">
      <c r="A1140" s="63" t="s">
        <v>1325</v>
      </c>
      <c r="B1140" s="63" t="s">
        <v>1311</v>
      </c>
      <c r="C1140" s="63" t="s">
        <v>556</v>
      </c>
      <c r="D1140" s="63" t="str">
        <f>IF('Barn - Front Rack'!N74="","",TRIM('Barn - Front Rack'!N74))</f>
        <v/>
      </c>
      <c r="E1140" s="64" t="str">
        <f>IF($D1140="","",'Barn - Front Rack'!O74&amp;"")</f>
        <v/>
      </c>
      <c r="F1140" s="63">
        <f t="shared" si="80"/>
        <v>0</v>
      </c>
      <c r="G1140" s="64" t="str">
        <f t="shared" si="77"/>
        <v/>
      </c>
      <c r="H1140" s="64" t="str">
        <f t="shared" si="78"/>
        <v/>
      </c>
      <c r="I1140" s="63">
        <f>IF($G1140="",0,IF(COUNTIF($G$2:$G1140,$G1140)=1,1,0))</f>
        <v>0</v>
      </c>
      <c r="J1140" s="63" t="str">
        <f t="shared" si="79"/>
        <v/>
      </c>
      <c r="K1140" s="63" t="str">
        <f>IF($H1140="","",COUNTIF($H$2:$H1140,"?*"))</f>
        <v/>
      </c>
    </row>
    <row r="1141" spans="1:11" x14ac:dyDescent="0.25">
      <c r="A1141" s="63" t="s">
        <v>1325</v>
      </c>
      <c r="B1141" s="63" t="s">
        <v>1312</v>
      </c>
      <c r="C1141" s="63" t="s">
        <v>556</v>
      </c>
      <c r="D1141" s="63" t="str">
        <f>IF('Barn - Front Rack'!N75="","",TRIM('Barn - Front Rack'!N75))</f>
        <v/>
      </c>
      <c r="E1141" s="64" t="str">
        <f>IF($D1141="","",'Barn - Front Rack'!O75&amp;"")</f>
        <v/>
      </c>
      <c r="F1141" s="63">
        <f t="shared" si="80"/>
        <v>0</v>
      </c>
      <c r="G1141" s="64" t="str">
        <f t="shared" si="77"/>
        <v/>
      </c>
      <c r="H1141" s="64" t="str">
        <f t="shared" si="78"/>
        <v/>
      </c>
      <c r="I1141" s="63">
        <f>IF($G1141="",0,IF(COUNTIF($G$2:$G1141,$G1141)=1,1,0))</f>
        <v>0</v>
      </c>
      <c r="J1141" s="63" t="str">
        <f t="shared" si="79"/>
        <v/>
      </c>
      <c r="K1141" s="63" t="str">
        <f>IF($H1141="","",COUNTIF($H$2:$H1141,"?*"))</f>
        <v/>
      </c>
    </row>
    <row r="1142" spans="1:11" x14ac:dyDescent="0.25">
      <c r="A1142" s="63" t="s">
        <v>1325</v>
      </c>
      <c r="B1142" s="63" t="s">
        <v>1313</v>
      </c>
      <c r="C1142" s="63" t="s">
        <v>556</v>
      </c>
      <c r="D1142" s="63" t="str">
        <f>IF('Barn - Front Rack'!P64="","",TRIM('Barn - Front Rack'!P64))</f>
        <v/>
      </c>
      <c r="E1142" s="64" t="str">
        <f>IF($D1142="","",'Barn - Front Rack'!Q64&amp;"")</f>
        <v/>
      </c>
      <c r="F1142" s="63">
        <f t="shared" si="80"/>
        <v>0</v>
      </c>
      <c r="G1142" s="64" t="str">
        <f t="shared" si="77"/>
        <v/>
      </c>
      <c r="H1142" s="64" t="str">
        <f t="shared" si="78"/>
        <v/>
      </c>
      <c r="I1142" s="63">
        <f>IF($G1142="",0,IF(COUNTIF($G$2:$G1142,$G1142)=1,1,0))</f>
        <v>0</v>
      </c>
      <c r="J1142" s="63" t="str">
        <f t="shared" si="79"/>
        <v/>
      </c>
      <c r="K1142" s="63" t="str">
        <f>IF($H1142="","",COUNTIF($H$2:$H1142,"?*"))</f>
        <v/>
      </c>
    </row>
    <row r="1143" spans="1:11" x14ac:dyDescent="0.25">
      <c r="A1143" s="63" t="s">
        <v>1325</v>
      </c>
      <c r="B1143" s="63" t="s">
        <v>1314</v>
      </c>
      <c r="C1143" s="63" t="s">
        <v>556</v>
      </c>
      <c r="D1143" s="63" t="str">
        <f>IF('Barn - Front Rack'!P65="","",TRIM('Barn - Front Rack'!P65))</f>
        <v/>
      </c>
      <c r="E1143" s="64" t="str">
        <f>IF($D1143="","",'Barn - Front Rack'!Q65&amp;"")</f>
        <v/>
      </c>
      <c r="F1143" s="63">
        <f t="shared" si="80"/>
        <v>0</v>
      </c>
      <c r="G1143" s="64" t="str">
        <f t="shared" si="77"/>
        <v/>
      </c>
      <c r="H1143" s="64" t="str">
        <f t="shared" si="78"/>
        <v/>
      </c>
      <c r="I1143" s="63">
        <f>IF($G1143="",0,IF(COUNTIF($G$2:$G1143,$G1143)=1,1,0))</f>
        <v>0</v>
      </c>
      <c r="J1143" s="63" t="str">
        <f t="shared" si="79"/>
        <v/>
      </c>
      <c r="K1143" s="63" t="str">
        <f>IF($H1143="","",COUNTIF($H$2:$H1143,"?*"))</f>
        <v/>
      </c>
    </row>
    <row r="1144" spans="1:11" x14ac:dyDescent="0.25">
      <c r="A1144" s="63" t="s">
        <v>1325</v>
      </c>
      <c r="B1144" s="63" t="s">
        <v>1315</v>
      </c>
      <c r="C1144" s="63" t="s">
        <v>556</v>
      </c>
      <c r="D1144" s="63" t="str">
        <f>IF('Barn - Front Rack'!P66="","",TRIM('Barn - Front Rack'!P66))</f>
        <v/>
      </c>
      <c r="E1144" s="64" t="str">
        <f>IF($D1144="","",'Barn - Front Rack'!Q66&amp;"")</f>
        <v/>
      </c>
      <c r="F1144" s="63">
        <f t="shared" si="80"/>
        <v>0</v>
      </c>
      <c r="G1144" s="64" t="str">
        <f t="shared" si="77"/>
        <v/>
      </c>
      <c r="H1144" s="64" t="str">
        <f t="shared" si="78"/>
        <v/>
      </c>
      <c r="I1144" s="63">
        <f>IF($G1144="",0,IF(COUNTIF($G$2:$G1144,$G1144)=1,1,0))</f>
        <v>0</v>
      </c>
      <c r="J1144" s="63" t="str">
        <f t="shared" si="79"/>
        <v/>
      </c>
      <c r="K1144" s="63" t="str">
        <f>IF($H1144="","",COUNTIF($H$2:$H1144,"?*"))</f>
        <v/>
      </c>
    </row>
    <row r="1145" spans="1:11" x14ac:dyDescent="0.25">
      <c r="A1145" s="63" t="s">
        <v>1325</v>
      </c>
      <c r="B1145" s="63" t="s">
        <v>1316</v>
      </c>
      <c r="C1145" s="63" t="s">
        <v>556</v>
      </c>
      <c r="D1145" s="63" t="str">
        <f>IF('Barn - Front Rack'!P67="","",TRIM('Barn - Front Rack'!P67))</f>
        <v/>
      </c>
      <c r="E1145" s="64" t="str">
        <f>IF($D1145="","",'Barn - Front Rack'!Q67&amp;"")</f>
        <v/>
      </c>
      <c r="F1145" s="63">
        <f t="shared" si="80"/>
        <v>0</v>
      </c>
      <c r="G1145" s="64" t="str">
        <f t="shared" si="77"/>
        <v/>
      </c>
      <c r="H1145" s="64" t="str">
        <f t="shared" si="78"/>
        <v/>
      </c>
      <c r="I1145" s="63">
        <f>IF($G1145="",0,IF(COUNTIF($G$2:$G1145,$G1145)=1,1,0))</f>
        <v>0</v>
      </c>
      <c r="J1145" s="63" t="str">
        <f t="shared" si="79"/>
        <v/>
      </c>
      <c r="K1145" s="63" t="str">
        <f>IF($H1145="","",COUNTIF($H$2:$H1145,"?*"))</f>
        <v/>
      </c>
    </row>
    <row r="1146" spans="1:11" x14ac:dyDescent="0.25">
      <c r="A1146" s="63" t="s">
        <v>1325</v>
      </c>
      <c r="B1146" s="63" t="s">
        <v>1317</v>
      </c>
      <c r="C1146" s="63" t="s">
        <v>556</v>
      </c>
      <c r="D1146" s="63" t="str">
        <f>IF('Barn - Front Rack'!P68="","",TRIM('Barn - Front Rack'!P68))</f>
        <v/>
      </c>
      <c r="E1146" s="64" t="str">
        <f>IF($D1146="","",'Barn - Front Rack'!Q68&amp;"")</f>
        <v/>
      </c>
      <c r="F1146" s="63">
        <f t="shared" si="80"/>
        <v>0</v>
      </c>
      <c r="G1146" s="64" t="str">
        <f t="shared" si="77"/>
        <v/>
      </c>
      <c r="H1146" s="64" t="str">
        <f t="shared" si="78"/>
        <v/>
      </c>
      <c r="I1146" s="63">
        <f>IF($G1146="",0,IF(COUNTIF($G$2:$G1146,$G1146)=1,1,0))</f>
        <v>0</v>
      </c>
      <c r="J1146" s="63" t="str">
        <f t="shared" si="79"/>
        <v/>
      </c>
      <c r="K1146" s="63" t="str">
        <f>IF($H1146="","",COUNTIF($H$2:$H1146,"?*"))</f>
        <v/>
      </c>
    </row>
    <row r="1147" spans="1:11" x14ac:dyDescent="0.25">
      <c r="A1147" s="63" t="s">
        <v>1325</v>
      </c>
      <c r="B1147" s="63" t="s">
        <v>1318</v>
      </c>
      <c r="C1147" s="63" t="s">
        <v>556</v>
      </c>
      <c r="D1147" s="63" t="str">
        <f>IF('Barn - Front Rack'!P69="","",TRIM('Barn - Front Rack'!P69))</f>
        <v/>
      </c>
      <c r="E1147" s="64" t="str">
        <f>IF($D1147="","",'Barn - Front Rack'!Q69&amp;"")</f>
        <v/>
      </c>
      <c r="F1147" s="63">
        <f t="shared" si="80"/>
        <v>0</v>
      </c>
      <c r="G1147" s="64" t="str">
        <f t="shared" si="77"/>
        <v/>
      </c>
      <c r="H1147" s="64" t="str">
        <f t="shared" si="78"/>
        <v/>
      </c>
      <c r="I1147" s="63">
        <f>IF($G1147="",0,IF(COUNTIF($G$2:$G1147,$G1147)=1,1,0))</f>
        <v>0</v>
      </c>
      <c r="J1147" s="63" t="str">
        <f t="shared" si="79"/>
        <v/>
      </c>
      <c r="K1147" s="63" t="str">
        <f>IF($H1147="","",COUNTIF($H$2:$H1147,"?*"))</f>
        <v/>
      </c>
    </row>
    <row r="1148" spans="1:11" x14ac:dyDescent="0.25">
      <c r="A1148" s="63" t="s">
        <v>1325</v>
      </c>
      <c r="B1148" s="63" t="s">
        <v>1319</v>
      </c>
      <c r="C1148" s="63" t="s">
        <v>556</v>
      </c>
      <c r="D1148" s="63" t="str">
        <f>IF('Barn - Front Rack'!P70="","",TRIM('Barn - Front Rack'!P70))</f>
        <v/>
      </c>
      <c r="E1148" s="64" t="str">
        <f>IF($D1148="","",'Barn - Front Rack'!Q70&amp;"")</f>
        <v/>
      </c>
      <c r="F1148" s="63">
        <f t="shared" si="80"/>
        <v>0</v>
      </c>
      <c r="G1148" s="64" t="str">
        <f t="shared" si="77"/>
        <v/>
      </c>
      <c r="H1148" s="64" t="str">
        <f t="shared" si="78"/>
        <v/>
      </c>
      <c r="I1148" s="63">
        <f>IF($G1148="",0,IF(COUNTIF($G$2:$G1148,$G1148)=1,1,0))</f>
        <v>0</v>
      </c>
      <c r="J1148" s="63" t="str">
        <f t="shared" si="79"/>
        <v/>
      </c>
      <c r="K1148" s="63" t="str">
        <f>IF($H1148="","",COUNTIF($H$2:$H1148,"?*"))</f>
        <v/>
      </c>
    </row>
    <row r="1149" spans="1:11" x14ac:dyDescent="0.25">
      <c r="A1149" s="63" t="s">
        <v>1325</v>
      </c>
      <c r="B1149" s="63" t="s">
        <v>1320</v>
      </c>
      <c r="C1149" s="63" t="s">
        <v>556</v>
      </c>
      <c r="D1149" s="63" t="str">
        <f>IF('Barn - Front Rack'!P71="","",TRIM('Barn - Front Rack'!P71))</f>
        <v/>
      </c>
      <c r="E1149" s="64" t="str">
        <f>IF($D1149="","",'Barn - Front Rack'!Q71&amp;"")</f>
        <v/>
      </c>
      <c r="F1149" s="63">
        <f t="shared" si="80"/>
        <v>0</v>
      </c>
      <c r="G1149" s="64" t="str">
        <f t="shared" si="77"/>
        <v/>
      </c>
      <c r="H1149" s="64" t="str">
        <f t="shared" si="78"/>
        <v/>
      </c>
      <c r="I1149" s="63">
        <f>IF($G1149="",0,IF(COUNTIF($G$2:$G1149,$G1149)=1,1,0))</f>
        <v>0</v>
      </c>
      <c r="J1149" s="63" t="str">
        <f t="shared" si="79"/>
        <v/>
      </c>
      <c r="K1149" s="63" t="str">
        <f>IF($H1149="","",COUNTIF($H$2:$H1149,"?*"))</f>
        <v/>
      </c>
    </row>
    <row r="1150" spans="1:11" x14ac:dyDescent="0.25">
      <c r="A1150" s="63" t="s">
        <v>1325</v>
      </c>
      <c r="B1150" s="63" t="s">
        <v>1321</v>
      </c>
      <c r="C1150" s="63" t="s">
        <v>556</v>
      </c>
      <c r="D1150" s="63" t="str">
        <f>IF('Barn - Front Rack'!P72="","",TRIM('Barn - Front Rack'!P72))</f>
        <v/>
      </c>
      <c r="E1150" s="64" t="str">
        <f>IF($D1150="","",'Barn - Front Rack'!Q72&amp;"")</f>
        <v/>
      </c>
      <c r="F1150" s="63">
        <f t="shared" si="80"/>
        <v>0</v>
      </c>
      <c r="G1150" s="64" t="str">
        <f t="shared" si="77"/>
        <v/>
      </c>
      <c r="H1150" s="64" t="str">
        <f t="shared" si="78"/>
        <v/>
      </c>
      <c r="I1150" s="63">
        <f>IF($G1150="",0,IF(COUNTIF($G$2:$G1150,$G1150)=1,1,0))</f>
        <v>0</v>
      </c>
      <c r="J1150" s="63" t="str">
        <f t="shared" si="79"/>
        <v/>
      </c>
      <c r="K1150" s="63" t="str">
        <f>IF($H1150="","",COUNTIF($H$2:$H1150,"?*"))</f>
        <v/>
      </c>
    </row>
    <row r="1151" spans="1:11" x14ac:dyDescent="0.25">
      <c r="A1151" s="63" t="s">
        <v>1325</v>
      </c>
      <c r="B1151" s="63" t="s">
        <v>1322</v>
      </c>
      <c r="C1151" s="63" t="s">
        <v>556</v>
      </c>
      <c r="D1151" s="63" t="str">
        <f>IF('Barn - Front Rack'!P73="","",TRIM('Barn - Front Rack'!P73))</f>
        <v/>
      </c>
      <c r="E1151" s="64" t="str">
        <f>IF($D1151="","",'Barn - Front Rack'!Q73&amp;"")</f>
        <v/>
      </c>
      <c r="F1151" s="63">
        <f t="shared" si="80"/>
        <v>0</v>
      </c>
      <c r="G1151" s="64" t="str">
        <f t="shared" si="77"/>
        <v/>
      </c>
      <c r="H1151" s="64" t="str">
        <f t="shared" si="78"/>
        <v/>
      </c>
      <c r="I1151" s="63">
        <f>IF($G1151="",0,IF(COUNTIF($G$2:$G1151,$G1151)=1,1,0))</f>
        <v>0</v>
      </c>
      <c r="J1151" s="63" t="str">
        <f t="shared" si="79"/>
        <v/>
      </c>
      <c r="K1151" s="63" t="str">
        <f>IF($H1151="","",COUNTIF($H$2:$H1151,"?*"))</f>
        <v/>
      </c>
    </row>
    <row r="1152" spans="1:11" x14ac:dyDescent="0.25">
      <c r="A1152" s="63" t="s">
        <v>1325</v>
      </c>
      <c r="B1152" s="63" t="s">
        <v>1323</v>
      </c>
      <c r="C1152" s="63" t="s">
        <v>556</v>
      </c>
      <c r="D1152" s="63" t="str">
        <f>IF('Barn - Front Rack'!P74="","",TRIM('Barn - Front Rack'!P74))</f>
        <v/>
      </c>
      <c r="E1152" s="64" t="str">
        <f>IF($D1152="","",'Barn - Front Rack'!Q74&amp;"")</f>
        <v/>
      </c>
      <c r="F1152" s="63">
        <f t="shared" si="80"/>
        <v>0</v>
      </c>
      <c r="G1152" s="64" t="str">
        <f t="shared" si="77"/>
        <v/>
      </c>
      <c r="H1152" s="64" t="str">
        <f t="shared" si="78"/>
        <v/>
      </c>
      <c r="I1152" s="63">
        <f>IF($G1152="",0,IF(COUNTIF($G$2:$G1152,$G1152)=1,1,0))</f>
        <v>0</v>
      </c>
      <c r="J1152" s="63" t="str">
        <f t="shared" si="79"/>
        <v/>
      </c>
      <c r="K1152" s="63" t="str">
        <f>IF($H1152="","",COUNTIF($H$2:$H1152,"?*"))</f>
        <v/>
      </c>
    </row>
    <row r="1153" spans="1:11" x14ac:dyDescent="0.25">
      <c r="A1153" s="63" t="s">
        <v>1325</v>
      </c>
      <c r="B1153" s="63" t="s">
        <v>1324</v>
      </c>
      <c r="C1153" s="63" t="s">
        <v>556</v>
      </c>
      <c r="D1153" s="63" t="str">
        <f>IF('Barn - Front Rack'!P75="","",TRIM('Barn - Front Rack'!P75))</f>
        <v/>
      </c>
      <c r="E1153" s="64" t="str">
        <f>IF($D1153="","",'Barn - Front Rack'!Q75&amp;"")</f>
        <v/>
      </c>
      <c r="F1153" s="63">
        <f t="shared" si="80"/>
        <v>0</v>
      </c>
      <c r="G1153" s="64" t="str">
        <f t="shared" si="77"/>
        <v/>
      </c>
      <c r="H1153" s="64" t="str">
        <f t="shared" si="78"/>
        <v/>
      </c>
      <c r="I1153" s="63">
        <f>IF($G1153="",0,IF(COUNTIF($G$2:$G1153,$G1153)=1,1,0))</f>
        <v>0</v>
      </c>
      <c r="J1153" s="63" t="str">
        <f t="shared" si="79"/>
        <v/>
      </c>
      <c r="K1153" s="63" t="str">
        <f>IF($H1153="","",COUNTIF($H$2:$H1153,"?*"))</f>
        <v/>
      </c>
    </row>
    <row r="1154" spans="1:11" x14ac:dyDescent="0.25">
      <c r="A1154" s="63" t="s">
        <v>530</v>
      </c>
      <c r="B1154" s="63" t="s">
        <v>1326</v>
      </c>
      <c r="C1154" s="63" t="s">
        <v>1327</v>
      </c>
      <c r="D1154" s="63" t="str">
        <f>IF('Equipment by Location'!A11="","",TRIM('Equipment by Location'!A11))</f>
        <v>Bunn G3</v>
      </c>
      <c r="E1154" s="64" t="str">
        <f>IF($D1154="","",'Equipment by Location'!B11&amp;"")</f>
        <v>G300003239</v>
      </c>
      <c r="F1154" s="65">
        <f>IF($D1154="",0,IF(ISNUMBER('Equipment by Location'!C11),'Equipment by Location'!C11,1))</f>
        <v>1</v>
      </c>
      <c r="G1154" s="64" t="str">
        <f t="shared" ref="G1154:G1217" si="81">IF($D1154="","",IF(ISNUMBER(FIND("(",$D1154)),TRIM(LEFT($D1154,FIND("(",$D1154)-1)),$D1154))</f>
        <v>Bunn G3</v>
      </c>
      <c r="H1154" s="64" t="str">
        <f t="shared" ref="H1154:H1217" si="82">IF($D1154="","",IF(ISNUMBER(FIND("(",$D1154)),TRIM(SUBSTITUTE(MID($D1154,FIND("(",$D1154)+1,200),")","")),""))</f>
        <v/>
      </c>
      <c r="I1154" s="63">
        <f>IF($G1154="",0,IF(COUNTIF($G$2:$G1154,$G1154)=1,1,0))</f>
        <v>0</v>
      </c>
      <c r="J1154" s="63" t="str">
        <f t="shared" ref="J1154:J1217" si="83">IF($I1154=0,"",SUMPRODUCT(($I$2:$I$1513=1)*($G$2:$G$1513&lt;$G1154))+1)</f>
        <v/>
      </c>
      <c r="K1154" s="63" t="str">
        <f>IF($H1154="","",COUNTIF($H$2:$H1154,"?*"))</f>
        <v/>
      </c>
    </row>
    <row r="1155" spans="1:11" x14ac:dyDescent="0.25">
      <c r="A1155" s="63" t="s">
        <v>530</v>
      </c>
      <c r="B1155" s="63" t="s">
        <v>1328</v>
      </c>
      <c r="C1155" s="63" t="s">
        <v>1327</v>
      </c>
      <c r="D1155" s="63" t="str">
        <f>IF('Equipment by Location'!A12="","",TRIM('Equipment by Location'!A12))</f>
        <v>Bunn G2</v>
      </c>
      <c r="E1155" s="64" t="str">
        <f>IF($D1155="","",'Equipment by Location'!B12&amp;"")</f>
        <v>G200002189</v>
      </c>
      <c r="F1155" s="65">
        <f>IF($D1155="",0,IF(ISNUMBER('Equipment by Location'!C12),'Equipment by Location'!C12,1))</f>
        <v>1</v>
      </c>
      <c r="G1155" s="64" t="str">
        <f t="shared" si="81"/>
        <v>Bunn G2</v>
      </c>
      <c r="H1155" s="64" t="str">
        <f t="shared" si="82"/>
        <v/>
      </c>
      <c r="I1155" s="63">
        <f>IF($G1155="",0,IF(COUNTIF($G$2:$G1155,$G1155)=1,1,0))</f>
        <v>1</v>
      </c>
      <c r="J1155" s="63">
        <f t="shared" si="83"/>
        <v>12</v>
      </c>
      <c r="K1155" s="63" t="str">
        <f>IF($H1155="","",COUNTIF($H$2:$H1155,"?*"))</f>
        <v/>
      </c>
    </row>
    <row r="1156" spans="1:11" x14ac:dyDescent="0.25">
      <c r="A1156" s="63" t="s">
        <v>530</v>
      </c>
      <c r="B1156" s="63" t="s">
        <v>1329</v>
      </c>
      <c r="C1156" s="63" t="s">
        <v>1327</v>
      </c>
      <c r="D1156" s="63" t="str">
        <f>IF('Equipment by Location'!A13="","",TRIM('Equipment by Location'!A13))</f>
        <v>Fetco 1251 Plus</v>
      </c>
      <c r="E1156" s="64" t="str">
        <f>IF($D1156="","",'Equipment by Location'!B13&amp;"")</f>
        <v>12511B2300529007</v>
      </c>
      <c r="F1156" s="65">
        <f>IF($D1156="",0,IF(ISNUMBER('Equipment by Location'!C13),'Equipment by Location'!C13,1))</f>
        <v>1</v>
      </c>
      <c r="G1156" s="64" t="str">
        <f t="shared" si="81"/>
        <v>Fetco 1251 Plus</v>
      </c>
      <c r="H1156" s="64" t="str">
        <f t="shared" si="82"/>
        <v/>
      </c>
      <c r="I1156" s="63">
        <f>IF($G1156="",0,IF(COUNTIF($G$2:$G1156,$G1156)=1,1,0))</f>
        <v>0</v>
      </c>
      <c r="J1156" s="63" t="str">
        <f t="shared" si="83"/>
        <v/>
      </c>
      <c r="K1156" s="63" t="str">
        <f>IF($H1156="","",COUNTIF($H$2:$H1156,"?*"))</f>
        <v/>
      </c>
    </row>
    <row r="1157" spans="1:11" x14ac:dyDescent="0.25">
      <c r="A1157" s="63" t="s">
        <v>530</v>
      </c>
      <c r="B1157" s="63" t="s">
        <v>1330</v>
      </c>
      <c r="C1157" s="63" t="s">
        <v>1327</v>
      </c>
      <c r="D1157" s="63" t="str">
        <f>IF('Equipment by Location'!A14="","",TRIM('Equipment by Location'!A14))</f>
        <v>La Marzocco Wally</v>
      </c>
      <c r="E1157" s="64" t="str">
        <f>IF($D1157="","",'Equipment by Location'!B14&amp;"")</f>
        <v>WM001197</v>
      </c>
      <c r="F1157" s="65">
        <f>IF($D1157="",0,IF(ISNUMBER('Equipment by Location'!C14),'Equipment by Location'!C14,1))</f>
        <v>1</v>
      </c>
      <c r="G1157" s="64" t="str">
        <f t="shared" si="81"/>
        <v>La Marzocco Wally</v>
      </c>
      <c r="H1157" s="64" t="str">
        <f t="shared" si="82"/>
        <v/>
      </c>
      <c r="I1157" s="63">
        <f>IF($G1157="",0,IF(COUNTIF($G$2:$G1157,$G1157)=1,1,0))</f>
        <v>1</v>
      </c>
      <c r="J1157" s="63">
        <f t="shared" si="83"/>
        <v>74</v>
      </c>
      <c r="K1157" s="63" t="str">
        <f>IF($H1157="","",COUNTIF($H$2:$H1157,"?*"))</f>
        <v/>
      </c>
    </row>
    <row r="1158" spans="1:11" x14ac:dyDescent="0.25">
      <c r="A1158" s="63" t="s">
        <v>530</v>
      </c>
      <c r="B1158" s="63" t="s">
        <v>1331</v>
      </c>
      <c r="C1158" s="63" t="s">
        <v>1327</v>
      </c>
      <c r="D1158" s="63" t="str">
        <f>IF('Equipment by Location'!A15="","",TRIM('Equipment by Location'!A15))</f>
        <v>La Marzocco Strada XT</v>
      </c>
      <c r="E1158" s="64" t="str">
        <f>IF($D1158="","",'Equipment by Location'!B15&amp;"")</f>
        <v>SR001304</v>
      </c>
      <c r="F1158" s="65">
        <f>IF($D1158="",0,IF(ISNUMBER('Equipment by Location'!C15),'Equipment by Location'!C15,1))</f>
        <v>1</v>
      </c>
      <c r="G1158" s="64" t="str">
        <f t="shared" si="81"/>
        <v>La Marzocco Strada XT</v>
      </c>
      <c r="H1158" s="64" t="str">
        <f t="shared" si="82"/>
        <v/>
      </c>
      <c r="I1158" s="63">
        <f>IF($G1158="",0,IF(COUNTIF($G$2:$G1158,$G1158)=1,1,0))</f>
        <v>1</v>
      </c>
      <c r="J1158" s="63">
        <f t="shared" si="83"/>
        <v>72</v>
      </c>
      <c r="K1158" s="63" t="str">
        <f>IF($H1158="","",COUNTIF($H$2:$H1158,"?*"))</f>
        <v/>
      </c>
    </row>
    <row r="1159" spans="1:11" x14ac:dyDescent="0.25">
      <c r="A1159" s="63" t="s">
        <v>530</v>
      </c>
      <c r="B1159" s="63" t="s">
        <v>1332</v>
      </c>
      <c r="C1159" s="63" t="s">
        <v>1327</v>
      </c>
      <c r="D1159" s="63" t="str">
        <f>IF('Equipment by Location'!A16="","",TRIM('Equipment by Location'!A16))</f>
        <v>Mazzer Robur S E</v>
      </c>
      <c r="E1159" s="64" t="str">
        <f>IF($D1159="","",'Equipment by Location'!B16&amp;"")</f>
        <v>1928657</v>
      </c>
      <c r="F1159" s="65">
        <f>IF($D1159="",0,IF(ISNUMBER('Equipment by Location'!C16),'Equipment by Location'!C16,1))</f>
        <v>1</v>
      </c>
      <c r="G1159" s="64" t="str">
        <f t="shared" si="81"/>
        <v>Mazzer Robur S E</v>
      </c>
      <c r="H1159" s="64" t="str">
        <f t="shared" si="82"/>
        <v/>
      </c>
      <c r="I1159" s="63">
        <f>IF($G1159="",0,IF(COUNTIF($G$2:$G1159,$G1159)=1,1,0))</f>
        <v>1</v>
      </c>
      <c r="J1159" s="63">
        <f t="shared" si="83"/>
        <v>77</v>
      </c>
      <c r="K1159" s="63" t="str">
        <f>IF($H1159="","",COUNTIF($H$2:$H1159,"?*"))</f>
        <v/>
      </c>
    </row>
    <row r="1160" spans="1:11" x14ac:dyDescent="0.25">
      <c r="A1160" s="63" t="s">
        <v>530</v>
      </c>
      <c r="B1160" s="63" t="s">
        <v>1333</v>
      </c>
      <c r="C1160" s="63" t="s">
        <v>1327</v>
      </c>
      <c r="D1160" s="63" t="str">
        <f>IF('Equipment by Location'!A17="","",TRIM('Equipment by Location'!A17))</f>
        <v>Mazzer Robur S E</v>
      </c>
      <c r="E1160" s="64" t="str">
        <f>IF($D1160="","",'Equipment by Location'!B17&amp;"")</f>
        <v>2109963</v>
      </c>
      <c r="F1160" s="65">
        <f>IF($D1160="",0,IF(ISNUMBER('Equipment by Location'!C17),'Equipment by Location'!C17,1))</f>
        <v>1</v>
      </c>
      <c r="G1160" s="64" t="str">
        <f t="shared" si="81"/>
        <v>Mazzer Robur S E</v>
      </c>
      <c r="H1160" s="64" t="str">
        <f t="shared" si="82"/>
        <v/>
      </c>
      <c r="I1160" s="63">
        <f>IF($G1160="",0,IF(COUNTIF($G$2:$G1160,$G1160)=1,1,0))</f>
        <v>0</v>
      </c>
      <c r="J1160" s="63" t="str">
        <f t="shared" si="83"/>
        <v/>
      </c>
      <c r="K1160" s="63" t="str">
        <f>IF($H1160="","",COUNTIF($H$2:$H1160,"?*"))</f>
        <v/>
      </c>
    </row>
    <row r="1161" spans="1:11" x14ac:dyDescent="0.25">
      <c r="A1161" s="63" t="s">
        <v>530</v>
      </c>
      <c r="B1161" s="63" t="s">
        <v>1334</v>
      </c>
      <c r="C1161" s="63" t="s">
        <v>1327</v>
      </c>
      <c r="D1161" s="63" t="str">
        <f>IF('Equipment by Location'!A18="","",TRIM('Equipment by Location'!A18))</f>
        <v>La Marzocco KB90 ABR</v>
      </c>
      <c r="E1161" s="64" t="str">
        <f>IF($D1161="","",'Equipment by Location'!B18&amp;"")</f>
        <v>KB000276</v>
      </c>
      <c r="F1161" s="65">
        <f>IF($D1161="",0,IF(ISNUMBER('Equipment by Location'!C18),'Equipment by Location'!C18,1))</f>
        <v>1</v>
      </c>
      <c r="G1161" s="64" t="str">
        <f t="shared" si="81"/>
        <v>La Marzocco KB90 ABR</v>
      </c>
      <c r="H1161" s="64" t="str">
        <f t="shared" si="82"/>
        <v/>
      </c>
      <c r="I1161" s="63">
        <f>IF($G1161="",0,IF(COUNTIF($G$2:$G1161,$G1161)=1,1,0))</f>
        <v>1</v>
      </c>
      <c r="J1161" s="63">
        <f t="shared" si="83"/>
        <v>67</v>
      </c>
      <c r="K1161" s="63" t="str">
        <f>IF($H1161="","",COUNTIF($H$2:$H1161,"?*"))</f>
        <v/>
      </c>
    </row>
    <row r="1162" spans="1:11" x14ac:dyDescent="0.25">
      <c r="A1162" s="63" t="s">
        <v>530</v>
      </c>
      <c r="B1162" s="63" t="s">
        <v>1335</v>
      </c>
      <c r="C1162" s="63" t="s">
        <v>1327</v>
      </c>
      <c r="D1162" s="63" t="str">
        <f>IF('Equipment by Location'!A19="","",TRIM('Equipment by Location'!A19))</f>
        <v>Mazzer Super Jolly V Up Timer</v>
      </c>
      <c r="E1162" s="64" t="str">
        <f>IF($D1162="","",'Equipment by Location'!B19&amp;"")</f>
        <v>2403595</v>
      </c>
      <c r="F1162" s="65">
        <f>IF($D1162="",0,IF(ISNUMBER('Equipment by Location'!C19),'Equipment by Location'!C19,1))</f>
        <v>1</v>
      </c>
      <c r="G1162" s="64" t="str">
        <f t="shared" si="81"/>
        <v>Mazzer Super Jolly V Up Timer</v>
      </c>
      <c r="H1162" s="64" t="str">
        <f t="shared" si="82"/>
        <v/>
      </c>
      <c r="I1162" s="63">
        <f>IF($G1162="",0,IF(COUNTIF($G$2:$G1162,$G1162)=1,1,0))</f>
        <v>1</v>
      </c>
      <c r="J1162" s="63">
        <f t="shared" si="83"/>
        <v>80</v>
      </c>
      <c r="K1162" s="63" t="str">
        <f>IF($H1162="","",COUNTIF($H$2:$H1162,"?*"))</f>
        <v/>
      </c>
    </row>
    <row r="1163" spans="1:11" x14ac:dyDescent="0.25">
      <c r="A1163" s="63" t="s">
        <v>530</v>
      </c>
      <c r="B1163" s="63" t="s">
        <v>1336</v>
      </c>
      <c r="C1163" s="63" t="s">
        <v>1327</v>
      </c>
      <c r="D1163" s="63" t="str">
        <f>IF('Equipment by Location'!A20="","",TRIM('Equipment by Location'!A20))</f>
        <v/>
      </c>
      <c r="E1163" s="64" t="str">
        <f>IF($D1163="","",'Equipment by Location'!B20&amp;"")</f>
        <v/>
      </c>
      <c r="F1163" s="63">
        <f>IF($D1163="",0,IF(ISNUMBER('Equipment by Location'!C20),'Equipment by Location'!C20,1))</f>
        <v>0</v>
      </c>
      <c r="G1163" s="64" t="str">
        <f t="shared" si="81"/>
        <v/>
      </c>
      <c r="H1163" s="64" t="str">
        <f t="shared" si="82"/>
        <v/>
      </c>
      <c r="I1163" s="63">
        <f>IF($G1163="",0,IF(COUNTIF($G$2:$G1163,$G1163)=1,1,0))</f>
        <v>0</v>
      </c>
      <c r="J1163" s="63" t="str">
        <f t="shared" si="83"/>
        <v/>
      </c>
      <c r="K1163" s="63" t="str">
        <f>IF($H1163="","",COUNTIF($H$2:$H1163,"?*"))</f>
        <v/>
      </c>
    </row>
    <row r="1164" spans="1:11" x14ac:dyDescent="0.25">
      <c r="A1164" s="63" t="s">
        <v>530</v>
      </c>
      <c r="B1164" s="63" t="s">
        <v>1337</v>
      </c>
      <c r="C1164" s="63" t="s">
        <v>1327</v>
      </c>
      <c r="D1164" s="63" t="str">
        <f>IF('Equipment by Location'!A21="","",TRIM('Equipment by Location'!A21))</f>
        <v/>
      </c>
      <c r="E1164" s="64" t="str">
        <f>IF($D1164="","",'Equipment by Location'!B21&amp;"")</f>
        <v/>
      </c>
      <c r="F1164" s="63">
        <f>IF($D1164="",0,IF(ISNUMBER('Equipment by Location'!C21),'Equipment by Location'!C21,1))</f>
        <v>0</v>
      </c>
      <c r="G1164" s="64" t="str">
        <f t="shared" si="81"/>
        <v/>
      </c>
      <c r="H1164" s="64" t="str">
        <f t="shared" si="82"/>
        <v/>
      </c>
      <c r="I1164" s="63">
        <f>IF($G1164="",0,IF(COUNTIF($G$2:$G1164,$G1164)=1,1,0))</f>
        <v>0</v>
      </c>
      <c r="J1164" s="63" t="str">
        <f t="shared" si="83"/>
        <v/>
      </c>
      <c r="K1164" s="63" t="str">
        <f>IF($H1164="","",COUNTIF($H$2:$H1164,"?*"))</f>
        <v/>
      </c>
    </row>
    <row r="1165" spans="1:11" x14ac:dyDescent="0.25">
      <c r="A1165" s="63" t="s">
        <v>530</v>
      </c>
      <c r="B1165" s="63" t="s">
        <v>1338</v>
      </c>
      <c r="C1165" s="63" t="s">
        <v>1327</v>
      </c>
      <c r="D1165" s="63" t="str">
        <f>IF('Equipment by Location'!A22="","",TRIM('Equipment by Location'!A22))</f>
        <v/>
      </c>
      <c r="E1165" s="64" t="str">
        <f>IF($D1165="","",'Equipment by Location'!B22&amp;"")</f>
        <v/>
      </c>
      <c r="F1165" s="63">
        <f>IF($D1165="",0,IF(ISNUMBER('Equipment by Location'!C22),'Equipment by Location'!C22,1))</f>
        <v>0</v>
      </c>
      <c r="G1165" s="64" t="str">
        <f t="shared" si="81"/>
        <v/>
      </c>
      <c r="H1165" s="64" t="str">
        <f t="shared" si="82"/>
        <v/>
      </c>
      <c r="I1165" s="63">
        <f>IF($G1165="",0,IF(COUNTIF($G$2:$G1165,$G1165)=1,1,0))</f>
        <v>0</v>
      </c>
      <c r="J1165" s="63" t="str">
        <f t="shared" si="83"/>
        <v/>
      </c>
      <c r="K1165" s="63" t="str">
        <f>IF($H1165="","",COUNTIF($H$2:$H1165,"?*"))</f>
        <v/>
      </c>
    </row>
    <row r="1166" spans="1:11" x14ac:dyDescent="0.25">
      <c r="A1166" s="63" t="s">
        <v>530</v>
      </c>
      <c r="B1166" s="63" t="s">
        <v>1339</v>
      </c>
      <c r="C1166" s="63" t="s">
        <v>1327</v>
      </c>
      <c r="D1166" s="63" t="str">
        <f>IF('Equipment by Location'!A23="","",TRIM('Equipment by Location'!A23))</f>
        <v/>
      </c>
      <c r="E1166" s="64" t="str">
        <f>IF($D1166="","",'Equipment by Location'!B23&amp;"")</f>
        <v/>
      </c>
      <c r="F1166" s="63">
        <f>IF($D1166="",0,IF(ISNUMBER('Equipment by Location'!C23),'Equipment by Location'!C23,1))</f>
        <v>0</v>
      </c>
      <c r="G1166" s="64" t="str">
        <f t="shared" si="81"/>
        <v/>
      </c>
      <c r="H1166" s="64" t="str">
        <f t="shared" si="82"/>
        <v/>
      </c>
      <c r="I1166" s="63">
        <f>IF($G1166="",0,IF(COUNTIF($G$2:$G1166,$G1166)=1,1,0))</f>
        <v>0</v>
      </c>
      <c r="J1166" s="63" t="str">
        <f t="shared" si="83"/>
        <v/>
      </c>
      <c r="K1166" s="63" t="str">
        <f>IF($H1166="","",COUNTIF($H$2:$H1166,"?*"))</f>
        <v/>
      </c>
    </row>
    <row r="1167" spans="1:11" x14ac:dyDescent="0.25">
      <c r="A1167" s="63" t="s">
        <v>530</v>
      </c>
      <c r="B1167" s="63" t="s">
        <v>1340</v>
      </c>
      <c r="C1167" s="63" t="s">
        <v>1327</v>
      </c>
      <c r="D1167" s="63" t="str">
        <f>IF('Equipment by Location'!A24="","",TRIM('Equipment by Location'!A24))</f>
        <v/>
      </c>
      <c r="E1167" s="64" t="str">
        <f>IF($D1167="","",'Equipment by Location'!B24&amp;"")</f>
        <v/>
      </c>
      <c r="F1167" s="63">
        <f>IF($D1167="",0,IF(ISNUMBER('Equipment by Location'!C24),'Equipment by Location'!C24,1))</f>
        <v>0</v>
      </c>
      <c r="G1167" s="64" t="str">
        <f t="shared" si="81"/>
        <v/>
      </c>
      <c r="H1167" s="64" t="str">
        <f t="shared" si="82"/>
        <v/>
      </c>
      <c r="I1167" s="63">
        <f>IF($G1167="",0,IF(COUNTIF($G$2:$G1167,$G1167)=1,1,0))</f>
        <v>0</v>
      </c>
      <c r="J1167" s="63" t="str">
        <f t="shared" si="83"/>
        <v/>
      </c>
      <c r="K1167" s="63" t="str">
        <f>IF($H1167="","",COUNTIF($H$2:$H1167,"?*"))</f>
        <v/>
      </c>
    </row>
    <row r="1168" spans="1:11" x14ac:dyDescent="0.25">
      <c r="A1168" s="63" t="s">
        <v>530</v>
      </c>
      <c r="B1168" s="63" t="s">
        <v>1341</v>
      </c>
      <c r="C1168" s="63" t="s">
        <v>1327</v>
      </c>
      <c r="D1168" s="63" t="str">
        <f>IF('Equipment by Location'!A25="","",TRIM('Equipment by Location'!A25))</f>
        <v/>
      </c>
      <c r="E1168" s="64" t="str">
        <f>IF($D1168="","",'Equipment by Location'!B25&amp;"")</f>
        <v/>
      </c>
      <c r="F1168" s="63">
        <f>IF($D1168="",0,IF(ISNUMBER('Equipment by Location'!C25),'Equipment by Location'!C25,1))</f>
        <v>0</v>
      </c>
      <c r="G1168" s="64" t="str">
        <f t="shared" si="81"/>
        <v/>
      </c>
      <c r="H1168" s="64" t="str">
        <f t="shared" si="82"/>
        <v/>
      </c>
      <c r="I1168" s="63">
        <f>IF($G1168="",0,IF(COUNTIF($G$2:$G1168,$G1168)=1,1,0))</f>
        <v>0</v>
      </c>
      <c r="J1168" s="63" t="str">
        <f t="shared" si="83"/>
        <v/>
      </c>
      <c r="K1168" s="63" t="str">
        <f>IF($H1168="","",COUNTIF($H$2:$H1168,"?*"))</f>
        <v/>
      </c>
    </row>
    <row r="1169" spans="1:11" x14ac:dyDescent="0.25">
      <c r="A1169" s="63" t="s">
        <v>530</v>
      </c>
      <c r="B1169" s="63" t="s">
        <v>1342</v>
      </c>
      <c r="C1169" s="63" t="s">
        <v>1327</v>
      </c>
      <c r="D1169" s="63" t="str">
        <f>IF('Equipment by Location'!A26="","",TRIM('Equipment by Location'!A26))</f>
        <v/>
      </c>
      <c r="E1169" s="64" t="str">
        <f>IF($D1169="","",'Equipment by Location'!B26&amp;"")</f>
        <v/>
      </c>
      <c r="F1169" s="63">
        <f>IF($D1169="",0,IF(ISNUMBER('Equipment by Location'!C26),'Equipment by Location'!C26,1))</f>
        <v>0</v>
      </c>
      <c r="G1169" s="64" t="str">
        <f t="shared" si="81"/>
        <v/>
      </c>
      <c r="H1169" s="64" t="str">
        <f t="shared" si="82"/>
        <v/>
      </c>
      <c r="I1169" s="63">
        <f>IF($G1169="",0,IF(COUNTIF($G$2:$G1169,$G1169)=1,1,0))</f>
        <v>0</v>
      </c>
      <c r="J1169" s="63" t="str">
        <f t="shared" si="83"/>
        <v/>
      </c>
      <c r="K1169" s="63" t="str">
        <f>IF($H1169="","",COUNTIF($H$2:$H1169,"?*"))</f>
        <v/>
      </c>
    </row>
    <row r="1170" spans="1:11" x14ac:dyDescent="0.25">
      <c r="A1170" s="63" t="s">
        <v>530</v>
      </c>
      <c r="B1170" s="63" t="s">
        <v>1343</v>
      </c>
      <c r="C1170" s="63" t="s">
        <v>1327</v>
      </c>
      <c r="D1170" s="63" t="str">
        <f>IF('Equipment by Location'!A27="","",TRIM('Equipment by Location'!A27))</f>
        <v/>
      </c>
      <c r="E1170" s="64" t="str">
        <f>IF($D1170="","",'Equipment by Location'!B27&amp;"")</f>
        <v/>
      </c>
      <c r="F1170" s="63">
        <f>IF($D1170="",0,IF(ISNUMBER('Equipment by Location'!C27),'Equipment by Location'!C27,1))</f>
        <v>0</v>
      </c>
      <c r="G1170" s="64" t="str">
        <f t="shared" si="81"/>
        <v/>
      </c>
      <c r="H1170" s="64" t="str">
        <f t="shared" si="82"/>
        <v/>
      </c>
      <c r="I1170" s="63">
        <f>IF($G1170="",0,IF(COUNTIF($G$2:$G1170,$G1170)=1,1,0))</f>
        <v>0</v>
      </c>
      <c r="J1170" s="63" t="str">
        <f t="shared" si="83"/>
        <v/>
      </c>
      <c r="K1170" s="63" t="str">
        <f>IF($H1170="","",COUNTIF($H$2:$H1170,"?*"))</f>
        <v/>
      </c>
    </row>
    <row r="1171" spans="1:11" x14ac:dyDescent="0.25">
      <c r="A1171" s="63" t="s">
        <v>530</v>
      </c>
      <c r="B1171" s="63" t="s">
        <v>1344</v>
      </c>
      <c r="C1171" s="63" t="s">
        <v>1327</v>
      </c>
      <c r="D1171" s="63" t="str">
        <f>IF('Equipment by Location'!A28="","",TRIM('Equipment by Location'!A28))</f>
        <v/>
      </c>
      <c r="E1171" s="64" t="str">
        <f>IF($D1171="","",'Equipment by Location'!B28&amp;"")</f>
        <v/>
      </c>
      <c r="F1171" s="63">
        <f>IF($D1171="",0,IF(ISNUMBER('Equipment by Location'!C28),'Equipment by Location'!C28,1))</f>
        <v>0</v>
      </c>
      <c r="G1171" s="64" t="str">
        <f t="shared" si="81"/>
        <v/>
      </c>
      <c r="H1171" s="64" t="str">
        <f t="shared" si="82"/>
        <v/>
      </c>
      <c r="I1171" s="63">
        <f>IF($G1171="",0,IF(COUNTIF($G$2:$G1171,$G1171)=1,1,0))</f>
        <v>0</v>
      </c>
      <c r="J1171" s="63" t="str">
        <f t="shared" si="83"/>
        <v/>
      </c>
      <c r="K1171" s="63" t="str">
        <f>IF($H1171="","",COUNTIF($H$2:$H1171,"?*"))</f>
        <v/>
      </c>
    </row>
    <row r="1172" spans="1:11" x14ac:dyDescent="0.25">
      <c r="A1172" s="63" t="s">
        <v>530</v>
      </c>
      <c r="B1172" s="63" t="s">
        <v>1345</v>
      </c>
      <c r="C1172" s="63" t="s">
        <v>1327</v>
      </c>
      <c r="D1172" s="63" t="str">
        <f>IF('Equipment by Location'!A29="","",TRIM('Equipment by Location'!A29))</f>
        <v/>
      </c>
      <c r="E1172" s="64" t="str">
        <f>IF($D1172="","",'Equipment by Location'!B29&amp;"")</f>
        <v/>
      </c>
      <c r="F1172" s="63">
        <f>IF($D1172="",0,IF(ISNUMBER('Equipment by Location'!C29),'Equipment by Location'!C29,1))</f>
        <v>0</v>
      </c>
      <c r="G1172" s="64" t="str">
        <f t="shared" si="81"/>
        <v/>
      </c>
      <c r="H1172" s="64" t="str">
        <f t="shared" si="82"/>
        <v/>
      </c>
      <c r="I1172" s="63">
        <f>IF($G1172="",0,IF(COUNTIF($G$2:$G1172,$G1172)=1,1,0))</f>
        <v>0</v>
      </c>
      <c r="J1172" s="63" t="str">
        <f t="shared" si="83"/>
        <v/>
      </c>
      <c r="K1172" s="63" t="str">
        <f>IF($H1172="","",COUNTIF($H$2:$H1172,"?*"))</f>
        <v/>
      </c>
    </row>
    <row r="1173" spans="1:11" x14ac:dyDescent="0.25">
      <c r="A1173" s="63" t="s">
        <v>530</v>
      </c>
      <c r="B1173" s="63" t="s">
        <v>1346</v>
      </c>
      <c r="C1173" s="63" t="s">
        <v>1327</v>
      </c>
      <c r="D1173" s="63" t="str">
        <f>IF('Equipment by Location'!A30="","",TRIM('Equipment by Location'!A30))</f>
        <v/>
      </c>
      <c r="E1173" s="64" t="str">
        <f>IF($D1173="","",'Equipment by Location'!B30&amp;"")</f>
        <v/>
      </c>
      <c r="F1173" s="63">
        <f>IF($D1173="",0,IF(ISNUMBER('Equipment by Location'!C30),'Equipment by Location'!C30,1))</f>
        <v>0</v>
      </c>
      <c r="G1173" s="64" t="str">
        <f t="shared" si="81"/>
        <v/>
      </c>
      <c r="H1173" s="64" t="str">
        <f t="shared" si="82"/>
        <v/>
      </c>
      <c r="I1173" s="63">
        <f>IF($G1173="",0,IF(COUNTIF($G$2:$G1173,$G1173)=1,1,0))</f>
        <v>0</v>
      </c>
      <c r="J1173" s="63" t="str">
        <f t="shared" si="83"/>
        <v/>
      </c>
      <c r="K1173" s="63" t="str">
        <f>IF($H1173="","",COUNTIF($H$2:$H1173,"?*"))</f>
        <v/>
      </c>
    </row>
    <row r="1174" spans="1:11" x14ac:dyDescent="0.25">
      <c r="A1174" s="63" t="s">
        <v>530</v>
      </c>
      <c r="B1174" s="63" t="s">
        <v>1347</v>
      </c>
      <c r="C1174" s="63" t="s">
        <v>1327</v>
      </c>
      <c r="D1174" s="63" t="str">
        <f>IF('Equipment by Location'!A31="","",TRIM('Equipment by Location'!A31))</f>
        <v/>
      </c>
      <c r="E1174" s="64" t="str">
        <f>IF($D1174="","",'Equipment by Location'!B31&amp;"")</f>
        <v/>
      </c>
      <c r="F1174" s="63">
        <f>IF($D1174="",0,IF(ISNUMBER('Equipment by Location'!C31),'Equipment by Location'!C31,1))</f>
        <v>0</v>
      </c>
      <c r="G1174" s="64" t="str">
        <f t="shared" si="81"/>
        <v/>
      </c>
      <c r="H1174" s="64" t="str">
        <f t="shared" si="82"/>
        <v/>
      </c>
      <c r="I1174" s="63">
        <f>IF($G1174="",0,IF(COUNTIF($G$2:$G1174,$G1174)=1,1,0))</f>
        <v>0</v>
      </c>
      <c r="J1174" s="63" t="str">
        <f t="shared" si="83"/>
        <v/>
      </c>
      <c r="K1174" s="63" t="str">
        <f>IF($H1174="","",COUNTIF($H$2:$H1174,"?*"))</f>
        <v/>
      </c>
    </row>
    <row r="1175" spans="1:11" x14ac:dyDescent="0.25">
      <c r="A1175" s="63" t="s">
        <v>530</v>
      </c>
      <c r="B1175" s="63" t="s">
        <v>1348</v>
      </c>
      <c r="C1175" s="63" t="s">
        <v>1327</v>
      </c>
      <c r="D1175" s="63" t="str">
        <f>IF('Equipment by Location'!A32="","",TRIM('Equipment by Location'!A32))</f>
        <v/>
      </c>
      <c r="E1175" s="64" t="str">
        <f>IF($D1175="","",'Equipment by Location'!B32&amp;"")</f>
        <v/>
      </c>
      <c r="F1175" s="63">
        <f>IF($D1175="",0,IF(ISNUMBER('Equipment by Location'!C32),'Equipment by Location'!C32,1))</f>
        <v>0</v>
      </c>
      <c r="G1175" s="64" t="str">
        <f t="shared" si="81"/>
        <v/>
      </c>
      <c r="H1175" s="64" t="str">
        <f t="shared" si="82"/>
        <v/>
      </c>
      <c r="I1175" s="63">
        <f>IF($G1175="",0,IF(COUNTIF($G$2:$G1175,$G1175)=1,1,0))</f>
        <v>0</v>
      </c>
      <c r="J1175" s="63" t="str">
        <f t="shared" si="83"/>
        <v/>
      </c>
      <c r="K1175" s="63" t="str">
        <f>IF($H1175="","",COUNTIF($H$2:$H1175,"?*"))</f>
        <v/>
      </c>
    </row>
    <row r="1176" spans="1:11" x14ac:dyDescent="0.25">
      <c r="A1176" s="63" t="s">
        <v>530</v>
      </c>
      <c r="B1176" s="63" t="s">
        <v>1349</v>
      </c>
      <c r="C1176" s="63" t="s">
        <v>1327</v>
      </c>
      <c r="D1176" s="63" t="str">
        <f>IF('Equipment by Location'!A33="","",TRIM('Equipment by Location'!A33))</f>
        <v/>
      </c>
      <c r="E1176" s="64" t="str">
        <f>IF($D1176="","",'Equipment by Location'!B33&amp;"")</f>
        <v/>
      </c>
      <c r="F1176" s="63">
        <f>IF($D1176="",0,IF(ISNUMBER('Equipment by Location'!C33),'Equipment by Location'!C33,1))</f>
        <v>0</v>
      </c>
      <c r="G1176" s="64" t="str">
        <f t="shared" si="81"/>
        <v/>
      </c>
      <c r="H1176" s="64" t="str">
        <f t="shared" si="82"/>
        <v/>
      </c>
      <c r="I1176" s="63">
        <f>IF($G1176="",0,IF(COUNTIF($G$2:$G1176,$G1176)=1,1,0))</f>
        <v>0</v>
      </c>
      <c r="J1176" s="63" t="str">
        <f t="shared" si="83"/>
        <v/>
      </c>
      <c r="K1176" s="63" t="str">
        <f>IF($H1176="","",COUNTIF($H$2:$H1176,"?*"))</f>
        <v/>
      </c>
    </row>
    <row r="1177" spans="1:11" x14ac:dyDescent="0.25">
      <c r="A1177" s="63" t="s">
        <v>530</v>
      </c>
      <c r="B1177" s="63" t="s">
        <v>1350</v>
      </c>
      <c r="C1177" s="63" t="s">
        <v>1327</v>
      </c>
      <c r="D1177" s="63" t="str">
        <f>IF('Equipment by Location'!A34="","",TRIM('Equipment by Location'!A34))</f>
        <v/>
      </c>
      <c r="E1177" s="64" t="str">
        <f>IF($D1177="","",'Equipment by Location'!B34&amp;"")</f>
        <v/>
      </c>
      <c r="F1177" s="63">
        <f>IF($D1177="",0,IF(ISNUMBER('Equipment by Location'!C34),'Equipment by Location'!C34,1))</f>
        <v>0</v>
      </c>
      <c r="G1177" s="64" t="str">
        <f t="shared" si="81"/>
        <v/>
      </c>
      <c r="H1177" s="64" t="str">
        <f t="shared" si="82"/>
        <v/>
      </c>
      <c r="I1177" s="63">
        <f>IF($G1177="",0,IF(COUNTIF($G$2:$G1177,$G1177)=1,1,0))</f>
        <v>0</v>
      </c>
      <c r="J1177" s="63" t="str">
        <f t="shared" si="83"/>
        <v/>
      </c>
      <c r="K1177" s="63" t="str">
        <f>IF($H1177="","",COUNTIF($H$2:$H1177,"?*"))</f>
        <v/>
      </c>
    </row>
    <row r="1178" spans="1:11" x14ac:dyDescent="0.25">
      <c r="A1178" s="63" t="s">
        <v>530</v>
      </c>
      <c r="B1178" s="63" t="s">
        <v>1351</v>
      </c>
      <c r="C1178" s="63" t="s">
        <v>1327</v>
      </c>
      <c r="D1178" s="63" t="str">
        <f>IF('Equipment by Location'!A35="","",TRIM('Equipment by Location'!A35))</f>
        <v/>
      </c>
      <c r="E1178" s="64" t="str">
        <f>IF($D1178="","",'Equipment by Location'!B35&amp;"")</f>
        <v/>
      </c>
      <c r="F1178" s="63">
        <f>IF($D1178="",0,IF(ISNUMBER('Equipment by Location'!C35),'Equipment by Location'!C35,1))</f>
        <v>0</v>
      </c>
      <c r="G1178" s="64" t="str">
        <f t="shared" si="81"/>
        <v/>
      </c>
      <c r="H1178" s="64" t="str">
        <f t="shared" si="82"/>
        <v/>
      </c>
      <c r="I1178" s="63">
        <f>IF($G1178="",0,IF(COUNTIF($G$2:$G1178,$G1178)=1,1,0))</f>
        <v>0</v>
      </c>
      <c r="J1178" s="63" t="str">
        <f t="shared" si="83"/>
        <v/>
      </c>
      <c r="K1178" s="63" t="str">
        <f>IF($H1178="","",COUNTIF($H$2:$H1178,"?*"))</f>
        <v/>
      </c>
    </row>
    <row r="1179" spans="1:11" x14ac:dyDescent="0.25">
      <c r="A1179" s="63" t="s">
        <v>530</v>
      </c>
      <c r="B1179" s="63" t="s">
        <v>1352</v>
      </c>
      <c r="C1179" s="63" t="s">
        <v>1327</v>
      </c>
      <c r="D1179" s="63" t="str">
        <f>IF('Equipment by Location'!A36="","",TRIM('Equipment by Location'!A36))</f>
        <v/>
      </c>
      <c r="E1179" s="64" t="str">
        <f>IF($D1179="","",'Equipment by Location'!B36&amp;"")</f>
        <v/>
      </c>
      <c r="F1179" s="63">
        <f>IF($D1179="",0,IF(ISNUMBER('Equipment by Location'!C36),'Equipment by Location'!C36,1))</f>
        <v>0</v>
      </c>
      <c r="G1179" s="64" t="str">
        <f t="shared" si="81"/>
        <v/>
      </c>
      <c r="H1179" s="64" t="str">
        <f t="shared" si="82"/>
        <v/>
      </c>
      <c r="I1179" s="63">
        <f>IF($G1179="",0,IF(COUNTIF($G$2:$G1179,$G1179)=1,1,0))</f>
        <v>0</v>
      </c>
      <c r="J1179" s="63" t="str">
        <f t="shared" si="83"/>
        <v/>
      </c>
      <c r="K1179" s="63" t="str">
        <f>IF($H1179="","",COUNTIF($H$2:$H1179,"?*"))</f>
        <v/>
      </c>
    </row>
    <row r="1180" spans="1:11" x14ac:dyDescent="0.25">
      <c r="A1180" s="63" t="s">
        <v>530</v>
      </c>
      <c r="B1180" s="63" t="s">
        <v>1353</v>
      </c>
      <c r="C1180" s="63" t="s">
        <v>1327</v>
      </c>
      <c r="D1180" s="63" t="str">
        <f>IF('Equipment by Location'!A37="","",TRIM('Equipment by Location'!A37))</f>
        <v/>
      </c>
      <c r="E1180" s="64" t="str">
        <f>IF($D1180="","",'Equipment by Location'!B37&amp;"")</f>
        <v/>
      </c>
      <c r="F1180" s="63">
        <f>IF($D1180="",0,IF(ISNUMBER('Equipment by Location'!C37),'Equipment by Location'!C37,1))</f>
        <v>0</v>
      </c>
      <c r="G1180" s="64" t="str">
        <f t="shared" si="81"/>
        <v/>
      </c>
      <c r="H1180" s="64" t="str">
        <f t="shared" si="82"/>
        <v/>
      </c>
      <c r="I1180" s="63">
        <f>IF($G1180="",0,IF(COUNTIF($G$2:$G1180,$G1180)=1,1,0))</f>
        <v>0</v>
      </c>
      <c r="J1180" s="63" t="str">
        <f t="shared" si="83"/>
        <v/>
      </c>
      <c r="K1180" s="63" t="str">
        <f>IF($H1180="","",COUNTIF($H$2:$H1180,"?*"))</f>
        <v/>
      </c>
    </row>
    <row r="1181" spans="1:11" x14ac:dyDescent="0.25">
      <c r="A1181" s="63" t="s">
        <v>530</v>
      </c>
      <c r="B1181" s="63" t="s">
        <v>1354</v>
      </c>
      <c r="C1181" s="63" t="s">
        <v>1327</v>
      </c>
      <c r="D1181" s="63" t="str">
        <f>IF('Equipment by Location'!A38="","",TRIM('Equipment by Location'!A38))</f>
        <v/>
      </c>
      <c r="E1181" s="64" t="str">
        <f>IF($D1181="","",'Equipment by Location'!B38&amp;"")</f>
        <v/>
      </c>
      <c r="F1181" s="63">
        <f>IF($D1181="",0,IF(ISNUMBER('Equipment by Location'!C38),'Equipment by Location'!C38,1))</f>
        <v>0</v>
      </c>
      <c r="G1181" s="64" t="str">
        <f t="shared" si="81"/>
        <v/>
      </c>
      <c r="H1181" s="64" t="str">
        <f t="shared" si="82"/>
        <v/>
      </c>
      <c r="I1181" s="63">
        <f>IF($G1181="",0,IF(COUNTIF($G$2:$G1181,$G1181)=1,1,0))</f>
        <v>0</v>
      </c>
      <c r="J1181" s="63" t="str">
        <f t="shared" si="83"/>
        <v/>
      </c>
      <c r="K1181" s="63" t="str">
        <f>IF($H1181="","",COUNTIF($H$2:$H1181,"?*"))</f>
        <v/>
      </c>
    </row>
    <row r="1182" spans="1:11" x14ac:dyDescent="0.25">
      <c r="A1182" s="63" t="s">
        <v>530</v>
      </c>
      <c r="B1182" s="63" t="s">
        <v>1355</v>
      </c>
      <c r="C1182" s="63" t="s">
        <v>1327</v>
      </c>
      <c r="D1182" s="63" t="str">
        <f>IF('Equipment by Location'!A39="","",TRIM('Equipment by Location'!A39))</f>
        <v/>
      </c>
      <c r="E1182" s="64" t="str">
        <f>IF($D1182="","",'Equipment by Location'!B39&amp;"")</f>
        <v/>
      </c>
      <c r="F1182" s="63">
        <f>IF($D1182="",0,IF(ISNUMBER('Equipment by Location'!C39),'Equipment by Location'!C39,1))</f>
        <v>0</v>
      </c>
      <c r="G1182" s="64" t="str">
        <f t="shared" si="81"/>
        <v/>
      </c>
      <c r="H1182" s="64" t="str">
        <f t="shared" si="82"/>
        <v/>
      </c>
      <c r="I1182" s="63">
        <f>IF($G1182="",0,IF(COUNTIF($G$2:$G1182,$G1182)=1,1,0))</f>
        <v>0</v>
      </c>
      <c r="J1182" s="63" t="str">
        <f t="shared" si="83"/>
        <v/>
      </c>
      <c r="K1182" s="63" t="str">
        <f>IF($H1182="","",COUNTIF($H$2:$H1182,"?*"))</f>
        <v/>
      </c>
    </row>
    <row r="1183" spans="1:11" x14ac:dyDescent="0.25">
      <c r="A1183" s="63" t="s">
        <v>530</v>
      </c>
      <c r="B1183" s="63" t="s">
        <v>1356</v>
      </c>
      <c r="C1183" s="63" t="s">
        <v>1327</v>
      </c>
      <c r="D1183" s="63" t="str">
        <f>IF('Equipment by Location'!A40="","",TRIM('Equipment by Location'!A40))</f>
        <v/>
      </c>
      <c r="E1183" s="64" t="str">
        <f>IF($D1183="","",'Equipment by Location'!B40&amp;"")</f>
        <v/>
      </c>
      <c r="F1183" s="63">
        <f>IF($D1183="",0,IF(ISNUMBER('Equipment by Location'!C40),'Equipment by Location'!C40,1))</f>
        <v>0</v>
      </c>
      <c r="G1183" s="64" t="str">
        <f t="shared" si="81"/>
        <v/>
      </c>
      <c r="H1183" s="64" t="str">
        <f t="shared" si="82"/>
        <v/>
      </c>
      <c r="I1183" s="63">
        <f>IF($G1183="",0,IF(COUNTIF($G$2:$G1183,$G1183)=1,1,0))</f>
        <v>0</v>
      </c>
      <c r="J1183" s="63" t="str">
        <f t="shared" si="83"/>
        <v/>
      </c>
      <c r="K1183" s="63" t="str">
        <f>IF($H1183="","",COUNTIF($H$2:$H1183,"?*"))</f>
        <v/>
      </c>
    </row>
    <row r="1184" spans="1:11" x14ac:dyDescent="0.25">
      <c r="A1184" s="63" t="s">
        <v>530</v>
      </c>
      <c r="B1184" s="63" t="s">
        <v>1357</v>
      </c>
      <c r="C1184" s="63" t="s">
        <v>1327</v>
      </c>
      <c r="D1184" s="63" t="str">
        <f>IF('Equipment by Location'!A41="","",TRIM('Equipment by Location'!A41))</f>
        <v/>
      </c>
      <c r="E1184" s="64" t="str">
        <f>IF($D1184="","",'Equipment by Location'!B41&amp;"")</f>
        <v/>
      </c>
      <c r="F1184" s="63">
        <f>IF($D1184="",0,IF(ISNUMBER('Equipment by Location'!C41),'Equipment by Location'!C41,1))</f>
        <v>0</v>
      </c>
      <c r="G1184" s="64" t="str">
        <f t="shared" si="81"/>
        <v/>
      </c>
      <c r="H1184" s="64" t="str">
        <f t="shared" si="82"/>
        <v/>
      </c>
      <c r="I1184" s="63">
        <f>IF($G1184="",0,IF(COUNTIF($G$2:$G1184,$G1184)=1,1,0))</f>
        <v>0</v>
      </c>
      <c r="J1184" s="63" t="str">
        <f t="shared" si="83"/>
        <v/>
      </c>
      <c r="K1184" s="63" t="str">
        <f>IF($H1184="","",COUNTIF($H$2:$H1184,"?*"))</f>
        <v/>
      </c>
    </row>
    <row r="1185" spans="1:11" x14ac:dyDescent="0.25">
      <c r="A1185" s="63" t="s">
        <v>530</v>
      </c>
      <c r="B1185" s="63" t="s">
        <v>1358</v>
      </c>
      <c r="C1185" s="63" t="s">
        <v>1327</v>
      </c>
      <c r="D1185" s="63" t="str">
        <f>IF('Equipment by Location'!A42="","",TRIM('Equipment by Location'!A42))</f>
        <v/>
      </c>
      <c r="E1185" s="64" t="str">
        <f>IF($D1185="","",'Equipment by Location'!B42&amp;"")</f>
        <v/>
      </c>
      <c r="F1185" s="63">
        <f>IF($D1185="",0,IF(ISNUMBER('Equipment by Location'!C42),'Equipment by Location'!C42,1))</f>
        <v>0</v>
      </c>
      <c r="G1185" s="64" t="str">
        <f t="shared" si="81"/>
        <v/>
      </c>
      <c r="H1185" s="64" t="str">
        <f t="shared" si="82"/>
        <v/>
      </c>
      <c r="I1185" s="63">
        <f>IF($G1185="",0,IF(COUNTIF($G$2:$G1185,$G1185)=1,1,0))</f>
        <v>0</v>
      </c>
      <c r="J1185" s="63" t="str">
        <f t="shared" si="83"/>
        <v/>
      </c>
      <c r="K1185" s="63" t="str">
        <f>IF($H1185="","",COUNTIF($H$2:$H1185,"?*"))</f>
        <v/>
      </c>
    </row>
    <row r="1186" spans="1:11" x14ac:dyDescent="0.25">
      <c r="A1186" s="63" t="s">
        <v>530</v>
      </c>
      <c r="B1186" s="63" t="s">
        <v>1359</v>
      </c>
      <c r="C1186" s="63" t="s">
        <v>1327</v>
      </c>
      <c r="D1186" s="63" t="str">
        <f>IF('Equipment by Location'!A43="","",TRIM('Equipment by Location'!A43))</f>
        <v/>
      </c>
      <c r="E1186" s="64" t="str">
        <f>IF($D1186="","",'Equipment by Location'!B43&amp;"")</f>
        <v/>
      </c>
      <c r="F1186" s="63">
        <f>IF($D1186="",0,IF(ISNUMBER('Equipment by Location'!C43),'Equipment by Location'!C43,1))</f>
        <v>0</v>
      </c>
      <c r="G1186" s="64" t="str">
        <f t="shared" si="81"/>
        <v/>
      </c>
      <c r="H1186" s="64" t="str">
        <f t="shared" si="82"/>
        <v/>
      </c>
      <c r="I1186" s="63">
        <f>IF($G1186="",0,IF(COUNTIF($G$2:$G1186,$G1186)=1,1,0))</f>
        <v>0</v>
      </c>
      <c r="J1186" s="63" t="str">
        <f t="shared" si="83"/>
        <v/>
      </c>
      <c r="K1186" s="63" t="str">
        <f>IF($H1186="","",COUNTIF($H$2:$H1186,"?*"))</f>
        <v/>
      </c>
    </row>
    <row r="1187" spans="1:11" x14ac:dyDescent="0.25">
      <c r="A1187" s="63" t="s">
        <v>530</v>
      </c>
      <c r="B1187" s="63" t="s">
        <v>1360</v>
      </c>
      <c r="C1187" s="63" t="s">
        <v>1327</v>
      </c>
      <c r="D1187" s="63" t="str">
        <f>IF('Equipment by Location'!A44="","",TRIM('Equipment by Location'!A44))</f>
        <v/>
      </c>
      <c r="E1187" s="64" t="str">
        <f>IF($D1187="","",'Equipment by Location'!B44&amp;"")</f>
        <v/>
      </c>
      <c r="F1187" s="63">
        <f>IF($D1187="",0,IF(ISNUMBER('Equipment by Location'!C44),'Equipment by Location'!C44,1))</f>
        <v>0</v>
      </c>
      <c r="G1187" s="64" t="str">
        <f t="shared" si="81"/>
        <v/>
      </c>
      <c r="H1187" s="64" t="str">
        <f t="shared" si="82"/>
        <v/>
      </c>
      <c r="I1187" s="63">
        <f>IF($G1187="",0,IF(COUNTIF($G$2:$G1187,$G1187)=1,1,0))</f>
        <v>0</v>
      </c>
      <c r="J1187" s="63" t="str">
        <f t="shared" si="83"/>
        <v/>
      </c>
      <c r="K1187" s="63" t="str">
        <f>IF($H1187="","",COUNTIF($H$2:$H1187,"?*"))</f>
        <v/>
      </c>
    </row>
    <row r="1188" spans="1:11" x14ac:dyDescent="0.25">
      <c r="A1188" s="63" t="s">
        <v>530</v>
      </c>
      <c r="B1188" s="63" t="s">
        <v>1361</v>
      </c>
      <c r="C1188" s="63" t="s">
        <v>1327</v>
      </c>
      <c r="D1188" s="63" t="str">
        <f>IF('Equipment by Location'!A45="","",TRIM('Equipment by Location'!A45))</f>
        <v/>
      </c>
      <c r="E1188" s="64" t="str">
        <f>IF($D1188="","",'Equipment by Location'!B45&amp;"")</f>
        <v/>
      </c>
      <c r="F1188" s="63">
        <f>IF($D1188="",0,IF(ISNUMBER('Equipment by Location'!C45),'Equipment by Location'!C45,1))</f>
        <v>0</v>
      </c>
      <c r="G1188" s="64" t="str">
        <f t="shared" si="81"/>
        <v/>
      </c>
      <c r="H1188" s="64" t="str">
        <f t="shared" si="82"/>
        <v/>
      </c>
      <c r="I1188" s="63">
        <f>IF($G1188="",0,IF(COUNTIF($G$2:$G1188,$G1188)=1,1,0))</f>
        <v>0</v>
      </c>
      <c r="J1188" s="63" t="str">
        <f t="shared" si="83"/>
        <v/>
      </c>
      <c r="K1188" s="63" t="str">
        <f>IF($H1188="","",COUNTIF($H$2:$H1188,"?*"))</f>
        <v/>
      </c>
    </row>
    <row r="1189" spans="1:11" x14ac:dyDescent="0.25">
      <c r="A1189" s="63" t="s">
        <v>530</v>
      </c>
      <c r="B1189" s="63" t="s">
        <v>1362</v>
      </c>
      <c r="C1189" s="63" t="s">
        <v>1327</v>
      </c>
      <c r="D1189" s="63" t="str">
        <f>IF('Equipment by Location'!A46="","",TRIM('Equipment by Location'!A46))</f>
        <v/>
      </c>
      <c r="E1189" s="64" t="str">
        <f>IF($D1189="","",'Equipment by Location'!B46&amp;"")</f>
        <v/>
      </c>
      <c r="F1189" s="63">
        <f>IF($D1189="",0,IF(ISNUMBER('Equipment by Location'!C46),'Equipment by Location'!C46,1))</f>
        <v>0</v>
      </c>
      <c r="G1189" s="64" t="str">
        <f t="shared" si="81"/>
        <v/>
      </c>
      <c r="H1189" s="64" t="str">
        <f t="shared" si="82"/>
        <v/>
      </c>
      <c r="I1189" s="63">
        <f>IF($G1189="",0,IF(COUNTIF($G$2:$G1189,$G1189)=1,1,0))</f>
        <v>0</v>
      </c>
      <c r="J1189" s="63" t="str">
        <f t="shared" si="83"/>
        <v/>
      </c>
      <c r="K1189" s="63" t="str">
        <f>IF($H1189="","",COUNTIF($H$2:$H1189,"?*"))</f>
        <v/>
      </c>
    </row>
    <row r="1190" spans="1:11" x14ac:dyDescent="0.25">
      <c r="A1190" s="63" t="s">
        <v>530</v>
      </c>
      <c r="B1190" s="63" t="s">
        <v>1363</v>
      </c>
      <c r="C1190" s="63" t="s">
        <v>1327</v>
      </c>
      <c r="D1190" s="63" t="str">
        <f>IF('Equipment by Location'!A47="","",TRIM('Equipment by Location'!A47))</f>
        <v/>
      </c>
      <c r="E1190" s="64" t="str">
        <f>IF($D1190="","",'Equipment by Location'!B47&amp;"")</f>
        <v/>
      </c>
      <c r="F1190" s="63">
        <f>IF($D1190="",0,IF(ISNUMBER('Equipment by Location'!C47),'Equipment by Location'!C47,1))</f>
        <v>0</v>
      </c>
      <c r="G1190" s="64" t="str">
        <f t="shared" si="81"/>
        <v/>
      </c>
      <c r="H1190" s="64" t="str">
        <f t="shared" si="82"/>
        <v/>
      </c>
      <c r="I1190" s="63">
        <f>IF($G1190="",0,IF(COUNTIF($G$2:$G1190,$G1190)=1,1,0))</f>
        <v>0</v>
      </c>
      <c r="J1190" s="63" t="str">
        <f t="shared" si="83"/>
        <v/>
      </c>
      <c r="K1190" s="63" t="str">
        <f>IF($H1190="","",COUNTIF($H$2:$H1190,"?*"))</f>
        <v/>
      </c>
    </row>
    <row r="1191" spans="1:11" x14ac:dyDescent="0.25">
      <c r="A1191" s="63" t="s">
        <v>530</v>
      </c>
      <c r="B1191" s="63" t="s">
        <v>1364</v>
      </c>
      <c r="C1191" s="63" t="s">
        <v>1327</v>
      </c>
      <c r="D1191" s="63" t="str">
        <f>IF('Equipment by Location'!A48="","",TRIM('Equipment by Location'!A48))</f>
        <v/>
      </c>
      <c r="E1191" s="64" t="str">
        <f>IF($D1191="","",'Equipment by Location'!B48&amp;"")</f>
        <v/>
      </c>
      <c r="F1191" s="63">
        <f>IF($D1191="",0,IF(ISNUMBER('Equipment by Location'!C48),'Equipment by Location'!C48,1))</f>
        <v>0</v>
      </c>
      <c r="G1191" s="64" t="str">
        <f t="shared" si="81"/>
        <v/>
      </c>
      <c r="H1191" s="64" t="str">
        <f t="shared" si="82"/>
        <v/>
      </c>
      <c r="I1191" s="63">
        <f>IF($G1191="",0,IF(COUNTIF($G$2:$G1191,$G1191)=1,1,0))</f>
        <v>0</v>
      </c>
      <c r="J1191" s="63" t="str">
        <f t="shared" si="83"/>
        <v/>
      </c>
      <c r="K1191" s="63" t="str">
        <f>IF($H1191="","",COUNTIF($H$2:$H1191,"?*"))</f>
        <v/>
      </c>
    </row>
    <row r="1192" spans="1:11" x14ac:dyDescent="0.25">
      <c r="A1192" s="63" t="s">
        <v>530</v>
      </c>
      <c r="B1192" s="63" t="s">
        <v>1365</v>
      </c>
      <c r="C1192" s="63" t="s">
        <v>1327</v>
      </c>
      <c r="D1192" s="63" t="str">
        <f>IF('Equipment by Location'!A49="","",TRIM('Equipment by Location'!A49))</f>
        <v/>
      </c>
      <c r="E1192" s="64" t="str">
        <f>IF($D1192="","",'Equipment by Location'!B49&amp;"")</f>
        <v/>
      </c>
      <c r="F1192" s="63">
        <f>IF($D1192="",0,IF(ISNUMBER('Equipment by Location'!C49),'Equipment by Location'!C49,1))</f>
        <v>0</v>
      </c>
      <c r="G1192" s="64" t="str">
        <f t="shared" si="81"/>
        <v/>
      </c>
      <c r="H1192" s="64" t="str">
        <f t="shared" si="82"/>
        <v/>
      </c>
      <c r="I1192" s="63">
        <f>IF($G1192="",0,IF(COUNTIF($G$2:$G1192,$G1192)=1,1,0))</f>
        <v>0</v>
      </c>
      <c r="J1192" s="63" t="str">
        <f t="shared" si="83"/>
        <v/>
      </c>
      <c r="K1192" s="63" t="str">
        <f>IF($H1192="","",COUNTIF($H$2:$H1192,"?*"))</f>
        <v/>
      </c>
    </row>
    <row r="1193" spans="1:11" x14ac:dyDescent="0.25">
      <c r="A1193" s="63" t="s">
        <v>530</v>
      </c>
      <c r="B1193" s="63" t="s">
        <v>1366</v>
      </c>
      <c r="C1193" s="63" t="s">
        <v>1327</v>
      </c>
      <c r="D1193" s="63" t="str">
        <f>IF('Equipment by Location'!A50="","",TRIM('Equipment by Location'!A50))</f>
        <v/>
      </c>
      <c r="E1193" s="64" t="str">
        <f>IF($D1193="","",'Equipment by Location'!B50&amp;"")</f>
        <v/>
      </c>
      <c r="F1193" s="63">
        <f>IF($D1193="",0,IF(ISNUMBER('Equipment by Location'!C50),'Equipment by Location'!C50,1))</f>
        <v>0</v>
      </c>
      <c r="G1193" s="64" t="str">
        <f t="shared" si="81"/>
        <v/>
      </c>
      <c r="H1193" s="64" t="str">
        <f t="shared" si="82"/>
        <v/>
      </c>
      <c r="I1193" s="63">
        <f>IF($G1193="",0,IF(COUNTIF($G$2:$G1193,$G1193)=1,1,0))</f>
        <v>0</v>
      </c>
      <c r="J1193" s="63" t="str">
        <f t="shared" si="83"/>
        <v/>
      </c>
      <c r="K1193" s="63" t="str">
        <f>IF($H1193="","",COUNTIF($H$2:$H1193,"?*"))</f>
        <v/>
      </c>
    </row>
    <row r="1194" spans="1:11" x14ac:dyDescent="0.25">
      <c r="A1194" s="63" t="s">
        <v>531</v>
      </c>
      <c r="B1194" s="63" t="s">
        <v>1326</v>
      </c>
      <c r="C1194" s="63" t="s">
        <v>1327</v>
      </c>
      <c r="D1194" s="63" t="str">
        <f>IF('Equipment by Location'!E11="","",TRIM('Equipment by Location'!E11))</f>
        <v>Bunn H5X 220V</v>
      </c>
      <c r="E1194" s="64" t="str">
        <f>IF($D1194="","",'Equipment by Location'!F11&amp;"")</f>
        <v>HX00125853</v>
      </c>
      <c r="F1194" s="65">
        <f>IF($D1194="",0,IF(ISNUMBER('Equipment by Location'!G11),'Equipment by Location'!G11,1))</f>
        <v>1</v>
      </c>
      <c r="G1194" s="64" t="str">
        <f t="shared" si="81"/>
        <v>Bunn H5X 220V</v>
      </c>
      <c r="H1194" s="64" t="str">
        <f t="shared" si="82"/>
        <v/>
      </c>
      <c r="I1194" s="63">
        <f>IF($G1194="",0,IF(COUNTIF($G$2:$G1194,$G1194)=1,1,0))</f>
        <v>1</v>
      </c>
      <c r="J1194" s="63">
        <f t="shared" si="83"/>
        <v>19</v>
      </c>
      <c r="K1194" s="63" t="str">
        <f>IF($H1194="","",COUNTIF($H$2:$H1194,"?*"))</f>
        <v/>
      </c>
    </row>
    <row r="1195" spans="1:11" x14ac:dyDescent="0.25">
      <c r="A1195" s="63" t="s">
        <v>531</v>
      </c>
      <c r="B1195" s="63" t="s">
        <v>1328</v>
      </c>
      <c r="C1195" s="63" t="s">
        <v>1327</v>
      </c>
      <c r="D1195" s="63" t="str">
        <f>IF('Equipment by Location'!E12="","",TRIM('Equipment by Location'!E12))</f>
        <v>Bunn ITCB</v>
      </c>
      <c r="E1195" s="64" t="str">
        <f>IF($D1195="","",'Equipment by Location'!F12&amp;"")</f>
        <v>ITCB143274</v>
      </c>
      <c r="F1195" s="65">
        <f>IF($D1195="",0,IF(ISNUMBER('Equipment by Location'!G12),'Equipment by Location'!G12,1))</f>
        <v>1</v>
      </c>
      <c r="G1195" s="64" t="str">
        <f t="shared" si="81"/>
        <v>Bunn ITCB</v>
      </c>
      <c r="H1195" s="64" t="str">
        <f t="shared" si="82"/>
        <v/>
      </c>
      <c r="I1195" s="63">
        <f>IF($G1195="",0,IF(COUNTIF($G$2:$G1195,$G1195)=1,1,0))</f>
        <v>0</v>
      </c>
      <c r="J1195" s="63" t="str">
        <f t="shared" si="83"/>
        <v/>
      </c>
      <c r="K1195" s="63" t="str">
        <f>IF($H1195="","",COUNTIF($H$2:$H1195,"?*"))</f>
        <v/>
      </c>
    </row>
    <row r="1196" spans="1:11" x14ac:dyDescent="0.25">
      <c r="A1196" s="63" t="s">
        <v>531</v>
      </c>
      <c r="B1196" s="63" t="s">
        <v>1329</v>
      </c>
      <c r="C1196" s="63" t="s">
        <v>1327</v>
      </c>
      <c r="D1196" s="63" t="str">
        <f>IF('Equipment by Location'!E13="","",TRIM('Equipment by Location'!E13))</f>
        <v>Rancilio Classe 5 Compact 120v</v>
      </c>
      <c r="E1196" s="64" t="str">
        <f>IF($D1196="","",'Equipment by Location'!F13&amp;"")</f>
        <v>10410928</v>
      </c>
      <c r="F1196" s="65">
        <f>IF($D1196="",0,IF(ISNUMBER('Equipment by Location'!G13),'Equipment by Location'!G13,1))</f>
        <v>1</v>
      </c>
      <c r="G1196" s="64" t="str">
        <f t="shared" si="81"/>
        <v>Rancilio Classe 5 Compact 120v</v>
      </c>
      <c r="H1196" s="64" t="str">
        <f t="shared" si="82"/>
        <v/>
      </c>
      <c r="I1196" s="63">
        <f>IF($G1196="",0,IF(COUNTIF($G$2:$G1196,$G1196)=1,1,0))</f>
        <v>1</v>
      </c>
      <c r="J1196" s="63">
        <f t="shared" si="83"/>
        <v>81</v>
      </c>
      <c r="K1196" s="63" t="str">
        <f>IF($H1196="","",COUNTIF($H$2:$H1196,"?*"))</f>
        <v/>
      </c>
    </row>
    <row r="1197" spans="1:11" x14ac:dyDescent="0.25">
      <c r="A1197" s="63" t="s">
        <v>531</v>
      </c>
      <c r="B1197" s="63" t="s">
        <v>1330</v>
      </c>
      <c r="C1197" s="63" t="s">
        <v>1327</v>
      </c>
      <c r="D1197" s="63" t="str">
        <f>IF('Equipment by Location'!E14="","",TRIM('Equipment by Location'!E14))</f>
        <v>Bunn CWTF-APS</v>
      </c>
      <c r="E1197" s="64" t="str">
        <f>IF($D1197="","",'Equipment by Location'!F14&amp;"")</f>
        <v>CWTF547351</v>
      </c>
      <c r="F1197" s="65">
        <f>IF($D1197="",0,IF(ISNUMBER('Equipment by Location'!G14),'Equipment by Location'!G14,1))</f>
        <v>1</v>
      </c>
      <c r="G1197" s="64" t="str">
        <f t="shared" si="81"/>
        <v>Bunn CWTF-APS</v>
      </c>
      <c r="H1197" s="64" t="str">
        <f t="shared" si="82"/>
        <v/>
      </c>
      <c r="I1197" s="63">
        <f>IF($G1197="",0,IF(COUNTIF($G$2:$G1197,$G1197)=1,1,0))</f>
        <v>1</v>
      </c>
      <c r="J1197" s="63">
        <f t="shared" si="83"/>
        <v>7</v>
      </c>
      <c r="K1197" s="63" t="str">
        <f>IF($H1197="","",COUNTIF($H$2:$H1197,"?*"))</f>
        <v/>
      </c>
    </row>
    <row r="1198" spans="1:11" x14ac:dyDescent="0.25">
      <c r="A1198" s="63" t="s">
        <v>531</v>
      </c>
      <c r="B1198" s="63" t="s">
        <v>1331</v>
      </c>
      <c r="C1198" s="63" t="s">
        <v>1327</v>
      </c>
      <c r="D1198" s="63" t="str">
        <f>IF('Equipment by Location'!E15="","",TRIM('Equipment by Location'!E15))</f>
        <v>Eversys e'4s ST X-Wide</v>
      </c>
      <c r="E1198" s="64" t="str">
        <f>IF($D1198="","",'Equipment by Location'!F15&amp;"")</f>
        <v>0116600022255E0004</v>
      </c>
      <c r="F1198" s="65">
        <f>IF($D1198="",0,IF(ISNUMBER('Equipment by Location'!G15),'Equipment by Location'!G15,1))</f>
        <v>1</v>
      </c>
      <c r="G1198" s="64" t="str">
        <f t="shared" si="81"/>
        <v>Eversys e'4s ST X-Wide</v>
      </c>
      <c r="H1198" s="64" t="str">
        <f t="shared" si="82"/>
        <v/>
      </c>
      <c r="I1198" s="63">
        <f>IF($G1198="",0,IF(COUNTIF($G$2:$G1198,$G1198)=1,1,0))</f>
        <v>0</v>
      </c>
      <c r="J1198" s="63" t="str">
        <f t="shared" si="83"/>
        <v/>
      </c>
      <c r="K1198" s="63" t="str">
        <f>IF($H1198="","",COUNTIF($H$2:$H1198,"?*"))</f>
        <v/>
      </c>
    </row>
    <row r="1199" spans="1:11" x14ac:dyDescent="0.25">
      <c r="A1199" s="63" t="s">
        <v>531</v>
      </c>
      <c r="B1199" s="63" t="s">
        <v>1332</v>
      </c>
      <c r="C1199" s="63" t="s">
        <v>1327</v>
      </c>
      <c r="D1199" s="63" t="str">
        <f>IF('Equipment by Location'!E16="","",TRIM('Equipment by Location'!E16))</f>
        <v>La Marzocco Strada 2EP</v>
      </c>
      <c r="E1199" s="64" t="str">
        <f>IF($D1199="","",'Equipment by Location'!F16&amp;"")</f>
        <v>ST004299</v>
      </c>
      <c r="F1199" s="65">
        <f>IF($D1199="",0,IF(ISNUMBER('Equipment by Location'!G16),'Equipment by Location'!G16,1))</f>
        <v>1</v>
      </c>
      <c r="G1199" s="64" t="str">
        <f t="shared" si="81"/>
        <v>La Marzocco Strada 2EP</v>
      </c>
      <c r="H1199" s="64" t="str">
        <f t="shared" si="82"/>
        <v/>
      </c>
      <c r="I1199" s="63">
        <f>IF($G1199="",0,IF(COUNTIF($G$2:$G1199,$G1199)=1,1,0))</f>
        <v>1</v>
      </c>
      <c r="J1199" s="63">
        <f t="shared" si="83"/>
        <v>70</v>
      </c>
      <c r="K1199" s="63" t="str">
        <f>IF($H1199="","",COUNTIF($H$2:$H1199,"?*"))</f>
        <v/>
      </c>
    </row>
    <row r="1200" spans="1:11" x14ac:dyDescent="0.25">
      <c r="A1200" s="63" t="s">
        <v>531</v>
      </c>
      <c r="B1200" s="63" t="s">
        <v>1333</v>
      </c>
      <c r="C1200" s="63" t="s">
        <v>1327</v>
      </c>
      <c r="D1200" s="63" t="str">
        <f>IF('Equipment by Location'!E17="","",TRIM('Equipment by Location'!E17))</f>
        <v>Eversys Shotmaster CT</v>
      </c>
      <c r="E1200" s="64" t="str">
        <f>IF($D1200="","",'Equipment by Location'!F17&amp;"")</f>
        <v>0115390026159E0001</v>
      </c>
      <c r="F1200" s="65">
        <f>IF($D1200="",0,IF(ISNUMBER('Equipment by Location'!G17),'Equipment by Location'!G17,1))</f>
        <v>1</v>
      </c>
      <c r="G1200" s="64" t="str">
        <f t="shared" si="81"/>
        <v>Eversys Shotmaster CT</v>
      </c>
      <c r="H1200" s="64" t="str">
        <f t="shared" si="82"/>
        <v/>
      </c>
      <c r="I1200" s="63">
        <f>IF($G1200="",0,IF(COUNTIF($G$2:$G1200,$G1200)=1,1,0))</f>
        <v>1</v>
      </c>
      <c r="J1200" s="63">
        <f t="shared" si="83"/>
        <v>44</v>
      </c>
      <c r="K1200" s="63" t="str">
        <f>IF($H1200="","",COUNTIF($H$2:$H1200,"?*"))</f>
        <v/>
      </c>
    </row>
    <row r="1201" spans="1:11" x14ac:dyDescent="0.25">
      <c r="A1201" s="63" t="s">
        <v>531</v>
      </c>
      <c r="B1201" s="63" t="s">
        <v>1334</v>
      </c>
      <c r="C1201" s="63" t="s">
        <v>1327</v>
      </c>
      <c r="D1201" s="63" t="str">
        <f>IF('Equipment by Location'!E18="","",TRIM('Equipment by Location'!E18))</f>
        <v>Eversys Shotmaster CT</v>
      </c>
      <c r="E1201" s="64" t="str">
        <f>IF($D1201="","",'Equipment by Location'!F18&amp;"")</f>
        <v>0115390026159E0002</v>
      </c>
      <c r="F1201" s="65">
        <f>IF($D1201="",0,IF(ISNUMBER('Equipment by Location'!G18),'Equipment by Location'!G18,1))</f>
        <v>1</v>
      </c>
      <c r="G1201" s="64" t="str">
        <f t="shared" si="81"/>
        <v>Eversys Shotmaster CT</v>
      </c>
      <c r="H1201" s="64" t="str">
        <f t="shared" si="82"/>
        <v/>
      </c>
      <c r="I1201" s="63">
        <f>IF($G1201="",0,IF(COUNTIF($G$2:$G1201,$G1201)=1,1,0))</f>
        <v>0</v>
      </c>
      <c r="J1201" s="63" t="str">
        <f t="shared" si="83"/>
        <v/>
      </c>
      <c r="K1201" s="63" t="str">
        <f>IF($H1201="","",COUNTIF($H$2:$H1201,"?*"))</f>
        <v/>
      </c>
    </row>
    <row r="1202" spans="1:11" x14ac:dyDescent="0.25">
      <c r="A1202" s="63" t="s">
        <v>531</v>
      </c>
      <c r="B1202" s="63" t="s">
        <v>1335</v>
      </c>
      <c r="C1202" s="63" t="s">
        <v>1327</v>
      </c>
      <c r="D1202" s="63" t="str">
        <f>IF('Equipment by Location'!E19="","",TRIM('Equipment by Location'!E19))</f>
        <v/>
      </c>
      <c r="E1202" s="64" t="str">
        <f>IF($D1202="","",'Equipment by Location'!F19&amp;"")</f>
        <v/>
      </c>
      <c r="F1202" s="65">
        <f>IF($D1202="",0,IF(ISNUMBER('Equipment by Location'!G19),'Equipment by Location'!G19,1))</f>
        <v>0</v>
      </c>
      <c r="G1202" s="64" t="str">
        <f t="shared" si="81"/>
        <v/>
      </c>
      <c r="H1202" s="64" t="str">
        <f t="shared" si="82"/>
        <v/>
      </c>
      <c r="I1202" s="63">
        <f>IF($G1202="",0,IF(COUNTIF($G$2:$G1202,$G1202)=1,1,0))</f>
        <v>0</v>
      </c>
      <c r="J1202" s="63" t="str">
        <f t="shared" si="83"/>
        <v/>
      </c>
      <c r="K1202" s="63" t="str">
        <f>IF($H1202="","",COUNTIF($H$2:$H1202,"?*"))</f>
        <v/>
      </c>
    </row>
    <row r="1203" spans="1:11" x14ac:dyDescent="0.25">
      <c r="A1203" s="63" t="s">
        <v>531</v>
      </c>
      <c r="B1203" s="63" t="s">
        <v>1336</v>
      </c>
      <c r="C1203" s="63" t="s">
        <v>1327</v>
      </c>
      <c r="D1203" s="63" t="str">
        <f>IF('Equipment by Location'!E20="","",TRIM('Equipment by Location'!E20))</f>
        <v/>
      </c>
      <c r="E1203" s="64" t="str">
        <f>IF($D1203="","",'Equipment by Location'!F20&amp;"")</f>
        <v/>
      </c>
      <c r="F1203" s="65">
        <f>IF($D1203="",0,IF(ISNUMBER('Equipment by Location'!G20),'Equipment by Location'!G20,1))</f>
        <v>0</v>
      </c>
      <c r="G1203" s="64" t="str">
        <f t="shared" si="81"/>
        <v/>
      </c>
      <c r="H1203" s="64" t="str">
        <f t="shared" si="82"/>
        <v/>
      </c>
      <c r="I1203" s="63">
        <f>IF($G1203="",0,IF(COUNTIF($G$2:$G1203,$G1203)=1,1,0))</f>
        <v>0</v>
      </c>
      <c r="J1203" s="63" t="str">
        <f t="shared" si="83"/>
        <v/>
      </c>
      <c r="K1203" s="63" t="str">
        <f>IF($H1203="","",COUNTIF($H$2:$H1203,"?*"))</f>
        <v/>
      </c>
    </row>
    <row r="1204" spans="1:11" x14ac:dyDescent="0.25">
      <c r="A1204" s="63" t="s">
        <v>531</v>
      </c>
      <c r="B1204" s="63" t="s">
        <v>1337</v>
      </c>
      <c r="C1204" s="63" t="s">
        <v>1327</v>
      </c>
      <c r="D1204" s="63" t="str">
        <f>IF('Equipment by Location'!E21="","",TRIM('Equipment by Location'!E21))</f>
        <v/>
      </c>
      <c r="E1204" s="64" t="str">
        <f>IF($D1204="","",'Equipment by Location'!F21&amp;"")</f>
        <v/>
      </c>
      <c r="F1204" s="65">
        <f>IF($D1204="",0,IF(ISNUMBER('Equipment by Location'!G21),'Equipment by Location'!G21,1))</f>
        <v>0</v>
      </c>
      <c r="G1204" s="64" t="str">
        <f t="shared" si="81"/>
        <v/>
      </c>
      <c r="H1204" s="64" t="str">
        <f t="shared" si="82"/>
        <v/>
      </c>
      <c r="I1204" s="63">
        <f>IF($G1204="",0,IF(COUNTIF($G$2:$G1204,$G1204)=1,1,0))</f>
        <v>0</v>
      </c>
      <c r="J1204" s="63" t="str">
        <f t="shared" si="83"/>
        <v/>
      </c>
      <c r="K1204" s="63" t="str">
        <f>IF($H1204="","",COUNTIF($H$2:$H1204,"?*"))</f>
        <v/>
      </c>
    </row>
    <row r="1205" spans="1:11" x14ac:dyDescent="0.25">
      <c r="A1205" s="63" t="s">
        <v>531</v>
      </c>
      <c r="B1205" s="63" t="s">
        <v>1338</v>
      </c>
      <c r="C1205" s="63" t="s">
        <v>1327</v>
      </c>
      <c r="D1205" s="63" t="str">
        <f>IF('Equipment by Location'!E22="","",TRIM('Equipment by Location'!E22))</f>
        <v/>
      </c>
      <c r="E1205" s="64" t="str">
        <f>IF($D1205="","",'Equipment by Location'!F22&amp;"")</f>
        <v/>
      </c>
      <c r="F1205" s="65">
        <f>IF($D1205="",0,IF(ISNUMBER('Equipment by Location'!G22),'Equipment by Location'!G22,1))</f>
        <v>0</v>
      </c>
      <c r="G1205" s="64" t="str">
        <f t="shared" si="81"/>
        <v/>
      </c>
      <c r="H1205" s="64" t="str">
        <f t="shared" si="82"/>
        <v/>
      </c>
      <c r="I1205" s="63">
        <f>IF($G1205="",0,IF(COUNTIF($G$2:$G1205,$G1205)=1,1,0))</f>
        <v>0</v>
      </c>
      <c r="J1205" s="63" t="str">
        <f t="shared" si="83"/>
        <v/>
      </c>
      <c r="K1205" s="63" t="str">
        <f>IF($H1205="","",COUNTIF($H$2:$H1205,"?*"))</f>
        <v/>
      </c>
    </row>
    <row r="1206" spans="1:11" x14ac:dyDescent="0.25">
      <c r="A1206" s="63" t="s">
        <v>531</v>
      </c>
      <c r="B1206" s="63" t="s">
        <v>1339</v>
      </c>
      <c r="C1206" s="63" t="s">
        <v>1327</v>
      </c>
      <c r="D1206" s="63" t="str">
        <f>IF('Equipment by Location'!E23="","",TRIM('Equipment by Location'!E23))</f>
        <v/>
      </c>
      <c r="E1206" s="64" t="str">
        <f>IF($D1206="","",'Equipment by Location'!F23&amp;"")</f>
        <v/>
      </c>
      <c r="F1206" s="63">
        <f>IF($D1206="",0,IF(ISNUMBER('Equipment by Location'!G23),'Equipment by Location'!G23,1))</f>
        <v>0</v>
      </c>
      <c r="G1206" s="64" t="str">
        <f t="shared" si="81"/>
        <v/>
      </c>
      <c r="H1206" s="64" t="str">
        <f t="shared" si="82"/>
        <v/>
      </c>
      <c r="I1206" s="63">
        <f>IF($G1206="",0,IF(COUNTIF($G$2:$G1206,$G1206)=1,1,0))</f>
        <v>0</v>
      </c>
      <c r="J1206" s="63" t="str">
        <f t="shared" si="83"/>
        <v/>
      </c>
      <c r="K1206" s="63" t="str">
        <f>IF($H1206="","",COUNTIF($H$2:$H1206,"?*"))</f>
        <v/>
      </c>
    </row>
    <row r="1207" spans="1:11" x14ac:dyDescent="0.25">
      <c r="A1207" s="63" t="s">
        <v>531</v>
      </c>
      <c r="B1207" s="63" t="s">
        <v>1340</v>
      </c>
      <c r="C1207" s="63" t="s">
        <v>1327</v>
      </c>
      <c r="D1207" s="63" t="str">
        <f>IF('Equipment by Location'!E24="","",TRIM('Equipment by Location'!E24))</f>
        <v/>
      </c>
      <c r="E1207" s="64" t="str">
        <f>IF($D1207="","",'Equipment by Location'!F24&amp;"")</f>
        <v/>
      </c>
      <c r="F1207" s="63">
        <f>IF($D1207="",0,IF(ISNUMBER('Equipment by Location'!G24),'Equipment by Location'!G24,1))</f>
        <v>0</v>
      </c>
      <c r="G1207" s="64" t="str">
        <f t="shared" si="81"/>
        <v/>
      </c>
      <c r="H1207" s="64" t="str">
        <f t="shared" si="82"/>
        <v/>
      </c>
      <c r="I1207" s="63">
        <f>IF($G1207="",0,IF(COUNTIF($G$2:$G1207,$G1207)=1,1,0))</f>
        <v>0</v>
      </c>
      <c r="J1207" s="63" t="str">
        <f t="shared" si="83"/>
        <v/>
      </c>
      <c r="K1207" s="63" t="str">
        <f>IF($H1207="","",COUNTIF($H$2:$H1207,"?*"))</f>
        <v/>
      </c>
    </row>
    <row r="1208" spans="1:11" x14ac:dyDescent="0.25">
      <c r="A1208" s="63" t="s">
        <v>531</v>
      </c>
      <c r="B1208" s="63" t="s">
        <v>1341</v>
      </c>
      <c r="C1208" s="63" t="s">
        <v>1327</v>
      </c>
      <c r="D1208" s="63" t="str">
        <f>IF('Equipment by Location'!E25="","",TRIM('Equipment by Location'!E25))</f>
        <v/>
      </c>
      <c r="E1208" s="64" t="str">
        <f>IF($D1208="","",'Equipment by Location'!F25&amp;"")</f>
        <v/>
      </c>
      <c r="F1208" s="63">
        <f>IF($D1208="",0,IF(ISNUMBER('Equipment by Location'!G25),'Equipment by Location'!G25,1))</f>
        <v>0</v>
      </c>
      <c r="G1208" s="64" t="str">
        <f t="shared" si="81"/>
        <v/>
      </c>
      <c r="H1208" s="64" t="str">
        <f t="shared" si="82"/>
        <v/>
      </c>
      <c r="I1208" s="63">
        <f>IF($G1208="",0,IF(COUNTIF($G$2:$G1208,$G1208)=1,1,0))</f>
        <v>0</v>
      </c>
      <c r="J1208" s="63" t="str">
        <f t="shared" si="83"/>
        <v/>
      </c>
      <c r="K1208" s="63" t="str">
        <f>IF($H1208="","",COUNTIF($H$2:$H1208,"?*"))</f>
        <v/>
      </c>
    </row>
    <row r="1209" spans="1:11" x14ac:dyDescent="0.25">
      <c r="A1209" s="63" t="s">
        <v>531</v>
      </c>
      <c r="B1209" s="63" t="s">
        <v>1342</v>
      </c>
      <c r="C1209" s="63" t="s">
        <v>1327</v>
      </c>
      <c r="D1209" s="63" t="str">
        <f>IF('Equipment by Location'!E26="","",TRIM('Equipment by Location'!E26))</f>
        <v/>
      </c>
      <c r="E1209" s="64" t="str">
        <f>IF($D1209="","",'Equipment by Location'!F26&amp;"")</f>
        <v/>
      </c>
      <c r="F1209" s="63">
        <f>IF($D1209="",0,IF(ISNUMBER('Equipment by Location'!G26),'Equipment by Location'!G26,1))</f>
        <v>0</v>
      </c>
      <c r="G1209" s="64" t="str">
        <f t="shared" si="81"/>
        <v/>
      </c>
      <c r="H1209" s="64" t="str">
        <f t="shared" si="82"/>
        <v/>
      </c>
      <c r="I1209" s="63">
        <f>IF($G1209="",0,IF(COUNTIF($G$2:$G1209,$G1209)=1,1,0))</f>
        <v>0</v>
      </c>
      <c r="J1209" s="63" t="str">
        <f t="shared" si="83"/>
        <v/>
      </c>
      <c r="K1209" s="63" t="str">
        <f>IF($H1209="","",COUNTIF($H$2:$H1209,"?*"))</f>
        <v/>
      </c>
    </row>
    <row r="1210" spans="1:11" x14ac:dyDescent="0.25">
      <c r="A1210" s="63" t="s">
        <v>531</v>
      </c>
      <c r="B1210" s="63" t="s">
        <v>1343</v>
      </c>
      <c r="C1210" s="63" t="s">
        <v>1327</v>
      </c>
      <c r="D1210" s="63" t="str">
        <f>IF('Equipment by Location'!E27="","",TRIM('Equipment by Location'!E27))</f>
        <v/>
      </c>
      <c r="E1210" s="64" t="str">
        <f>IF($D1210="","",'Equipment by Location'!F27&amp;"")</f>
        <v/>
      </c>
      <c r="F1210" s="63">
        <f>IF($D1210="",0,IF(ISNUMBER('Equipment by Location'!G27),'Equipment by Location'!G27,1))</f>
        <v>0</v>
      </c>
      <c r="G1210" s="64" t="str">
        <f t="shared" si="81"/>
        <v/>
      </c>
      <c r="H1210" s="64" t="str">
        <f t="shared" si="82"/>
        <v/>
      </c>
      <c r="I1210" s="63">
        <f>IF($G1210="",0,IF(COUNTIF($G$2:$G1210,$G1210)=1,1,0))</f>
        <v>0</v>
      </c>
      <c r="J1210" s="63" t="str">
        <f t="shared" si="83"/>
        <v/>
      </c>
      <c r="K1210" s="63" t="str">
        <f>IF($H1210="","",COUNTIF($H$2:$H1210,"?*"))</f>
        <v/>
      </c>
    </row>
    <row r="1211" spans="1:11" x14ac:dyDescent="0.25">
      <c r="A1211" s="63" t="s">
        <v>531</v>
      </c>
      <c r="B1211" s="63" t="s">
        <v>1344</v>
      </c>
      <c r="C1211" s="63" t="s">
        <v>1327</v>
      </c>
      <c r="D1211" s="63" t="str">
        <f>IF('Equipment by Location'!E28="","",TRIM('Equipment by Location'!E28))</f>
        <v/>
      </c>
      <c r="E1211" s="64" t="str">
        <f>IF($D1211="","",'Equipment by Location'!F28&amp;"")</f>
        <v/>
      </c>
      <c r="F1211" s="63">
        <f>IF($D1211="",0,IF(ISNUMBER('Equipment by Location'!G28),'Equipment by Location'!G28,1))</f>
        <v>0</v>
      </c>
      <c r="G1211" s="64" t="str">
        <f t="shared" si="81"/>
        <v/>
      </c>
      <c r="H1211" s="64" t="str">
        <f t="shared" si="82"/>
        <v/>
      </c>
      <c r="I1211" s="63">
        <f>IF($G1211="",0,IF(COUNTIF($G$2:$G1211,$G1211)=1,1,0))</f>
        <v>0</v>
      </c>
      <c r="J1211" s="63" t="str">
        <f t="shared" si="83"/>
        <v/>
      </c>
      <c r="K1211" s="63" t="str">
        <f>IF($H1211="","",COUNTIF($H$2:$H1211,"?*"))</f>
        <v/>
      </c>
    </row>
    <row r="1212" spans="1:11" x14ac:dyDescent="0.25">
      <c r="A1212" s="63" t="s">
        <v>531</v>
      </c>
      <c r="B1212" s="63" t="s">
        <v>1345</v>
      </c>
      <c r="C1212" s="63" t="s">
        <v>1327</v>
      </c>
      <c r="D1212" s="63" t="str">
        <f>IF('Equipment by Location'!E29="","",TRIM('Equipment by Location'!E29))</f>
        <v/>
      </c>
      <c r="E1212" s="64" t="str">
        <f>IF($D1212="","",'Equipment by Location'!F29&amp;"")</f>
        <v/>
      </c>
      <c r="F1212" s="63">
        <f>IF($D1212="",0,IF(ISNUMBER('Equipment by Location'!G29),'Equipment by Location'!G29,1))</f>
        <v>0</v>
      </c>
      <c r="G1212" s="64" t="str">
        <f t="shared" si="81"/>
        <v/>
      </c>
      <c r="H1212" s="64" t="str">
        <f t="shared" si="82"/>
        <v/>
      </c>
      <c r="I1212" s="63">
        <f>IF($G1212="",0,IF(COUNTIF($G$2:$G1212,$G1212)=1,1,0))</f>
        <v>0</v>
      </c>
      <c r="J1212" s="63" t="str">
        <f t="shared" si="83"/>
        <v/>
      </c>
      <c r="K1212" s="63" t="str">
        <f>IF($H1212="","",COUNTIF($H$2:$H1212,"?*"))</f>
        <v/>
      </c>
    </row>
    <row r="1213" spans="1:11" x14ac:dyDescent="0.25">
      <c r="A1213" s="63" t="s">
        <v>531</v>
      </c>
      <c r="B1213" s="63" t="s">
        <v>1346</v>
      </c>
      <c r="C1213" s="63" t="s">
        <v>1327</v>
      </c>
      <c r="D1213" s="63" t="str">
        <f>IF('Equipment by Location'!E30="","",TRIM('Equipment by Location'!E30))</f>
        <v/>
      </c>
      <c r="E1213" s="64" t="str">
        <f>IF($D1213="","",'Equipment by Location'!F30&amp;"")</f>
        <v/>
      </c>
      <c r="F1213" s="63">
        <f>IF($D1213="",0,IF(ISNUMBER('Equipment by Location'!G30),'Equipment by Location'!G30,1))</f>
        <v>0</v>
      </c>
      <c r="G1213" s="64" t="str">
        <f t="shared" si="81"/>
        <v/>
      </c>
      <c r="H1213" s="64" t="str">
        <f t="shared" si="82"/>
        <v/>
      </c>
      <c r="I1213" s="63">
        <f>IF($G1213="",0,IF(COUNTIF($G$2:$G1213,$G1213)=1,1,0))</f>
        <v>0</v>
      </c>
      <c r="J1213" s="63" t="str">
        <f t="shared" si="83"/>
        <v/>
      </c>
      <c r="K1213" s="63" t="str">
        <f>IF($H1213="","",COUNTIF($H$2:$H1213,"?*"))</f>
        <v/>
      </c>
    </row>
    <row r="1214" spans="1:11" x14ac:dyDescent="0.25">
      <c r="A1214" s="63" t="s">
        <v>531</v>
      </c>
      <c r="B1214" s="63" t="s">
        <v>1347</v>
      </c>
      <c r="C1214" s="63" t="s">
        <v>1327</v>
      </c>
      <c r="D1214" s="63" t="str">
        <f>IF('Equipment by Location'!E31="","",TRIM('Equipment by Location'!E31))</f>
        <v/>
      </c>
      <c r="E1214" s="64" t="str">
        <f>IF($D1214="","",'Equipment by Location'!F31&amp;"")</f>
        <v/>
      </c>
      <c r="F1214" s="63">
        <f>IF($D1214="",0,IF(ISNUMBER('Equipment by Location'!G31),'Equipment by Location'!G31,1))</f>
        <v>0</v>
      </c>
      <c r="G1214" s="64" t="str">
        <f t="shared" si="81"/>
        <v/>
      </c>
      <c r="H1214" s="64" t="str">
        <f t="shared" si="82"/>
        <v/>
      </c>
      <c r="I1214" s="63">
        <f>IF($G1214="",0,IF(COUNTIF($G$2:$G1214,$G1214)=1,1,0))</f>
        <v>0</v>
      </c>
      <c r="J1214" s="63" t="str">
        <f t="shared" si="83"/>
        <v/>
      </c>
      <c r="K1214" s="63" t="str">
        <f>IF($H1214="","",COUNTIF($H$2:$H1214,"?*"))</f>
        <v/>
      </c>
    </row>
    <row r="1215" spans="1:11" x14ac:dyDescent="0.25">
      <c r="A1215" s="63" t="s">
        <v>531</v>
      </c>
      <c r="B1215" s="63" t="s">
        <v>1348</v>
      </c>
      <c r="C1215" s="63" t="s">
        <v>1327</v>
      </c>
      <c r="D1215" s="63" t="str">
        <f>IF('Equipment by Location'!E32="","",TRIM('Equipment by Location'!E32))</f>
        <v/>
      </c>
      <c r="E1215" s="64" t="str">
        <f>IF($D1215="","",'Equipment by Location'!F32&amp;"")</f>
        <v/>
      </c>
      <c r="F1215" s="63">
        <f>IF($D1215="",0,IF(ISNUMBER('Equipment by Location'!G32),'Equipment by Location'!G32,1))</f>
        <v>0</v>
      </c>
      <c r="G1215" s="64" t="str">
        <f t="shared" si="81"/>
        <v/>
      </c>
      <c r="H1215" s="64" t="str">
        <f t="shared" si="82"/>
        <v/>
      </c>
      <c r="I1215" s="63">
        <f>IF($G1215="",0,IF(COUNTIF($G$2:$G1215,$G1215)=1,1,0))</f>
        <v>0</v>
      </c>
      <c r="J1215" s="63" t="str">
        <f t="shared" si="83"/>
        <v/>
      </c>
      <c r="K1215" s="63" t="str">
        <f>IF($H1215="","",COUNTIF($H$2:$H1215,"?*"))</f>
        <v/>
      </c>
    </row>
    <row r="1216" spans="1:11" x14ac:dyDescent="0.25">
      <c r="A1216" s="63" t="s">
        <v>531</v>
      </c>
      <c r="B1216" s="63" t="s">
        <v>1349</v>
      </c>
      <c r="C1216" s="63" t="s">
        <v>1327</v>
      </c>
      <c r="D1216" s="63" t="str">
        <f>IF('Equipment by Location'!E33="","",TRIM('Equipment by Location'!E33))</f>
        <v/>
      </c>
      <c r="E1216" s="64" t="str">
        <f>IF($D1216="","",'Equipment by Location'!F33&amp;"")</f>
        <v/>
      </c>
      <c r="F1216" s="63">
        <f>IF($D1216="",0,IF(ISNUMBER('Equipment by Location'!G33),'Equipment by Location'!G33,1))</f>
        <v>0</v>
      </c>
      <c r="G1216" s="64" t="str">
        <f t="shared" si="81"/>
        <v/>
      </c>
      <c r="H1216" s="64" t="str">
        <f t="shared" si="82"/>
        <v/>
      </c>
      <c r="I1216" s="63">
        <f>IF($G1216="",0,IF(COUNTIF($G$2:$G1216,$G1216)=1,1,0))</f>
        <v>0</v>
      </c>
      <c r="J1216" s="63" t="str">
        <f t="shared" si="83"/>
        <v/>
      </c>
      <c r="K1216" s="63" t="str">
        <f>IF($H1216="","",COUNTIF($H$2:$H1216,"?*"))</f>
        <v/>
      </c>
    </row>
    <row r="1217" spans="1:11" x14ac:dyDescent="0.25">
      <c r="A1217" s="63" t="s">
        <v>531</v>
      </c>
      <c r="B1217" s="63" t="s">
        <v>1350</v>
      </c>
      <c r="C1217" s="63" t="s">
        <v>1327</v>
      </c>
      <c r="D1217" s="63" t="str">
        <f>IF('Equipment by Location'!E34="","",TRIM('Equipment by Location'!E34))</f>
        <v/>
      </c>
      <c r="E1217" s="64" t="str">
        <f>IF($D1217="","",'Equipment by Location'!F34&amp;"")</f>
        <v/>
      </c>
      <c r="F1217" s="63">
        <f>IF($D1217="",0,IF(ISNUMBER('Equipment by Location'!G34),'Equipment by Location'!G34,1))</f>
        <v>0</v>
      </c>
      <c r="G1217" s="64" t="str">
        <f t="shared" si="81"/>
        <v/>
      </c>
      <c r="H1217" s="64" t="str">
        <f t="shared" si="82"/>
        <v/>
      </c>
      <c r="I1217" s="63">
        <f>IF($G1217="",0,IF(COUNTIF($G$2:$G1217,$G1217)=1,1,0))</f>
        <v>0</v>
      </c>
      <c r="J1217" s="63" t="str">
        <f t="shared" si="83"/>
        <v/>
      </c>
      <c r="K1217" s="63" t="str">
        <f>IF($H1217="","",COUNTIF($H$2:$H1217,"?*"))</f>
        <v/>
      </c>
    </row>
    <row r="1218" spans="1:11" x14ac:dyDescent="0.25">
      <c r="A1218" s="63" t="s">
        <v>531</v>
      </c>
      <c r="B1218" s="63" t="s">
        <v>1351</v>
      </c>
      <c r="C1218" s="63" t="s">
        <v>1327</v>
      </c>
      <c r="D1218" s="63" t="str">
        <f>IF('Equipment by Location'!E35="","",TRIM('Equipment by Location'!E35))</f>
        <v/>
      </c>
      <c r="E1218" s="64" t="str">
        <f>IF($D1218="","",'Equipment by Location'!F35&amp;"")</f>
        <v/>
      </c>
      <c r="F1218" s="63">
        <f>IF($D1218="",0,IF(ISNUMBER('Equipment by Location'!G35),'Equipment by Location'!G35,1))</f>
        <v>0</v>
      </c>
      <c r="G1218" s="64" t="str">
        <f t="shared" ref="G1218:G1281" si="84">IF($D1218="","",IF(ISNUMBER(FIND("(",$D1218)),TRIM(LEFT($D1218,FIND("(",$D1218)-1)),$D1218))</f>
        <v/>
      </c>
      <c r="H1218" s="64" t="str">
        <f t="shared" ref="H1218:H1281" si="85">IF($D1218="","",IF(ISNUMBER(FIND("(",$D1218)),TRIM(SUBSTITUTE(MID($D1218,FIND("(",$D1218)+1,200),")","")),""))</f>
        <v/>
      </c>
      <c r="I1218" s="63">
        <f>IF($G1218="",0,IF(COUNTIF($G$2:$G1218,$G1218)=1,1,0))</f>
        <v>0</v>
      </c>
      <c r="J1218" s="63" t="str">
        <f t="shared" ref="J1218:J1281" si="86">IF($I1218=0,"",SUMPRODUCT(($I$2:$I$1513=1)*($G$2:$G$1513&lt;$G1218))+1)</f>
        <v/>
      </c>
      <c r="K1218" s="63" t="str">
        <f>IF($H1218="","",COUNTIF($H$2:$H1218,"?*"))</f>
        <v/>
      </c>
    </row>
    <row r="1219" spans="1:11" x14ac:dyDescent="0.25">
      <c r="A1219" s="63" t="s">
        <v>531</v>
      </c>
      <c r="B1219" s="63" t="s">
        <v>1352</v>
      </c>
      <c r="C1219" s="63" t="s">
        <v>1327</v>
      </c>
      <c r="D1219" s="63" t="str">
        <f>IF('Equipment by Location'!E36="","",TRIM('Equipment by Location'!E36))</f>
        <v/>
      </c>
      <c r="E1219" s="64" t="str">
        <f>IF($D1219="","",'Equipment by Location'!F36&amp;"")</f>
        <v/>
      </c>
      <c r="F1219" s="63">
        <f>IF($D1219="",0,IF(ISNUMBER('Equipment by Location'!G36),'Equipment by Location'!G36,1))</f>
        <v>0</v>
      </c>
      <c r="G1219" s="64" t="str">
        <f t="shared" si="84"/>
        <v/>
      </c>
      <c r="H1219" s="64" t="str">
        <f t="shared" si="85"/>
        <v/>
      </c>
      <c r="I1219" s="63">
        <f>IF($G1219="",0,IF(COUNTIF($G$2:$G1219,$G1219)=1,1,0))</f>
        <v>0</v>
      </c>
      <c r="J1219" s="63" t="str">
        <f t="shared" si="86"/>
        <v/>
      </c>
      <c r="K1219" s="63" t="str">
        <f>IF($H1219="","",COUNTIF($H$2:$H1219,"?*"))</f>
        <v/>
      </c>
    </row>
    <row r="1220" spans="1:11" x14ac:dyDescent="0.25">
      <c r="A1220" s="63" t="s">
        <v>531</v>
      </c>
      <c r="B1220" s="63" t="s">
        <v>1353</v>
      </c>
      <c r="C1220" s="63" t="s">
        <v>1327</v>
      </c>
      <c r="D1220" s="63" t="str">
        <f>IF('Equipment by Location'!E37="","",TRIM('Equipment by Location'!E37))</f>
        <v/>
      </c>
      <c r="E1220" s="64" t="str">
        <f>IF($D1220="","",'Equipment by Location'!F37&amp;"")</f>
        <v/>
      </c>
      <c r="F1220" s="63">
        <f>IF($D1220="",0,IF(ISNUMBER('Equipment by Location'!G37),'Equipment by Location'!G37,1))</f>
        <v>0</v>
      </c>
      <c r="G1220" s="64" t="str">
        <f t="shared" si="84"/>
        <v/>
      </c>
      <c r="H1220" s="64" t="str">
        <f t="shared" si="85"/>
        <v/>
      </c>
      <c r="I1220" s="63">
        <f>IF($G1220="",0,IF(COUNTIF($G$2:$G1220,$G1220)=1,1,0))</f>
        <v>0</v>
      </c>
      <c r="J1220" s="63" t="str">
        <f t="shared" si="86"/>
        <v/>
      </c>
      <c r="K1220" s="63" t="str">
        <f>IF($H1220="","",COUNTIF($H$2:$H1220,"?*"))</f>
        <v/>
      </c>
    </row>
    <row r="1221" spans="1:11" x14ac:dyDescent="0.25">
      <c r="A1221" s="63" t="s">
        <v>531</v>
      </c>
      <c r="B1221" s="63" t="s">
        <v>1354</v>
      </c>
      <c r="C1221" s="63" t="s">
        <v>1327</v>
      </c>
      <c r="D1221" s="63" t="str">
        <f>IF('Equipment by Location'!E38="","",TRIM('Equipment by Location'!E38))</f>
        <v/>
      </c>
      <c r="E1221" s="64" t="str">
        <f>IF($D1221="","",'Equipment by Location'!F38&amp;"")</f>
        <v/>
      </c>
      <c r="F1221" s="63">
        <f>IF($D1221="",0,IF(ISNUMBER('Equipment by Location'!G38),'Equipment by Location'!G38,1))</f>
        <v>0</v>
      </c>
      <c r="G1221" s="64" t="str">
        <f t="shared" si="84"/>
        <v/>
      </c>
      <c r="H1221" s="64" t="str">
        <f t="shared" si="85"/>
        <v/>
      </c>
      <c r="I1221" s="63">
        <f>IF($G1221="",0,IF(COUNTIF($G$2:$G1221,$G1221)=1,1,0))</f>
        <v>0</v>
      </c>
      <c r="J1221" s="63" t="str">
        <f t="shared" si="86"/>
        <v/>
      </c>
      <c r="K1221" s="63" t="str">
        <f>IF($H1221="","",COUNTIF($H$2:$H1221,"?*"))</f>
        <v/>
      </c>
    </row>
    <row r="1222" spans="1:11" x14ac:dyDescent="0.25">
      <c r="A1222" s="63" t="s">
        <v>531</v>
      </c>
      <c r="B1222" s="63" t="s">
        <v>1355</v>
      </c>
      <c r="C1222" s="63" t="s">
        <v>1327</v>
      </c>
      <c r="D1222" s="63" t="str">
        <f>IF('Equipment by Location'!E39="","",TRIM('Equipment by Location'!E39))</f>
        <v/>
      </c>
      <c r="E1222" s="64" t="str">
        <f>IF($D1222="","",'Equipment by Location'!F39&amp;"")</f>
        <v/>
      </c>
      <c r="F1222" s="63">
        <f>IF($D1222="",0,IF(ISNUMBER('Equipment by Location'!G39),'Equipment by Location'!G39,1))</f>
        <v>0</v>
      </c>
      <c r="G1222" s="64" t="str">
        <f t="shared" si="84"/>
        <v/>
      </c>
      <c r="H1222" s="64" t="str">
        <f t="shared" si="85"/>
        <v/>
      </c>
      <c r="I1222" s="63">
        <f>IF($G1222="",0,IF(COUNTIF($G$2:$G1222,$G1222)=1,1,0))</f>
        <v>0</v>
      </c>
      <c r="J1222" s="63" t="str">
        <f t="shared" si="86"/>
        <v/>
      </c>
      <c r="K1222" s="63" t="str">
        <f>IF($H1222="","",COUNTIF($H$2:$H1222,"?*"))</f>
        <v/>
      </c>
    </row>
    <row r="1223" spans="1:11" x14ac:dyDescent="0.25">
      <c r="A1223" s="63" t="s">
        <v>531</v>
      </c>
      <c r="B1223" s="63" t="s">
        <v>1356</v>
      </c>
      <c r="C1223" s="63" t="s">
        <v>1327</v>
      </c>
      <c r="D1223" s="63" t="str">
        <f>IF('Equipment by Location'!E40="","",TRIM('Equipment by Location'!E40))</f>
        <v/>
      </c>
      <c r="E1223" s="64" t="str">
        <f>IF($D1223="","",'Equipment by Location'!F40&amp;"")</f>
        <v/>
      </c>
      <c r="F1223" s="63">
        <f>IF($D1223="",0,IF(ISNUMBER('Equipment by Location'!G40),'Equipment by Location'!G40,1))</f>
        <v>0</v>
      </c>
      <c r="G1223" s="64" t="str">
        <f t="shared" si="84"/>
        <v/>
      </c>
      <c r="H1223" s="64" t="str">
        <f t="shared" si="85"/>
        <v/>
      </c>
      <c r="I1223" s="63">
        <f>IF($G1223="",0,IF(COUNTIF($G$2:$G1223,$G1223)=1,1,0))</f>
        <v>0</v>
      </c>
      <c r="J1223" s="63" t="str">
        <f t="shared" si="86"/>
        <v/>
      </c>
      <c r="K1223" s="63" t="str">
        <f>IF($H1223="","",COUNTIF($H$2:$H1223,"?*"))</f>
        <v/>
      </c>
    </row>
    <row r="1224" spans="1:11" x14ac:dyDescent="0.25">
      <c r="A1224" s="63" t="s">
        <v>531</v>
      </c>
      <c r="B1224" s="63" t="s">
        <v>1357</v>
      </c>
      <c r="C1224" s="63" t="s">
        <v>1327</v>
      </c>
      <c r="D1224" s="63" t="str">
        <f>IF('Equipment by Location'!E41="","",TRIM('Equipment by Location'!E41))</f>
        <v/>
      </c>
      <c r="E1224" s="64" t="str">
        <f>IF($D1224="","",'Equipment by Location'!F41&amp;"")</f>
        <v/>
      </c>
      <c r="F1224" s="63">
        <f>IF($D1224="",0,IF(ISNUMBER('Equipment by Location'!G41),'Equipment by Location'!G41,1))</f>
        <v>0</v>
      </c>
      <c r="G1224" s="64" t="str">
        <f t="shared" si="84"/>
        <v/>
      </c>
      <c r="H1224" s="64" t="str">
        <f t="shared" si="85"/>
        <v/>
      </c>
      <c r="I1224" s="63">
        <f>IF($G1224="",0,IF(COUNTIF($G$2:$G1224,$G1224)=1,1,0))</f>
        <v>0</v>
      </c>
      <c r="J1224" s="63" t="str">
        <f t="shared" si="86"/>
        <v/>
      </c>
      <c r="K1224" s="63" t="str">
        <f>IF($H1224="","",COUNTIF($H$2:$H1224,"?*"))</f>
        <v/>
      </c>
    </row>
    <row r="1225" spans="1:11" x14ac:dyDescent="0.25">
      <c r="A1225" s="63" t="s">
        <v>531</v>
      </c>
      <c r="B1225" s="63" t="s">
        <v>1358</v>
      </c>
      <c r="C1225" s="63" t="s">
        <v>1327</v>
      </c>
      <c r="D1225" s="63" t="str">
        <f>IF('Equipment by Location'!E42="","",TRIM('Equipment by Location'!E42))</f>
        <v/>
      </c>
      <c r="E1225" s="64" t="str">
        <f>IF($D1225="","",'Equipment by Location'!F42&amp;"")</f>
        <v/>
      </c>
      <c r="F1225" s="63">
        <f>IF($D1225="",0,IF(ISNUMBER('Equipment by Location'!G42),'Equipment by Location'!G42,1))</f>
        <v>0</v>
      </c>
      <c r="G1225" s="64" t="str">
        <f t="shared" si="84"/>
        <v/>
      </c>
      <c r="H1225" s="64" t="str">
        <f t="shared" si="85"/>
        <v/>
      </c>
      <c r="I1225" s="63">
        <f>IF($G1225="",0,IF(COUNTIF($G$2:$G1225,$G1225)=1,1,0))</f>
        <v>0</v>
      </c>
      <c r="J1225" s="63" t="str">
        <f t="shared" si="86"/>
        <v/>
      </c>
      <c r="K1225" s="63" t="str">
        <f>IF($H1225="","",COUNTIF($H$2:$H1225,"?*"))</f>
        <v/>
      </c>
    </row>
    <row r="1226" spans="1:11" x14ac:dyDescent="0.25">
      <c r="A1226" s="63" t="s">
        <v>531</v>
      </c>
      <c r="B1226" s="63" t="s">
        <v>1359</v>
      </c>
      <c r="C1226" s="63" t="s">
        <v>1327</v>
      </c>
      <c r="D1226" s="63" t="str">
        <f>IF('Equipment by Location'!E43="","",TRIM('Equipment by Location'!E43))</f>
        <v/>
      </c>
      <c r="E1226" s="64" t="str">
        <f>IF($D1226="","",'Equipment by Location'!F43&amp;"")</f>
        <v/>
      </c>
      <c r="F1226" s="63">
        <f>IF($D1226="",0,IF(ISNUMBER('Equipment by Location'!G43),'Equipment by Location'!G43,1))</f>
        <v>0</v>
      </c>
      <c r="G1226" s="64" t="str">
        <f t="shared" si="84"/>
        <v/>
      </c>
      <c r="H1226" s="64" t="str">
        <f t="shared" si="85"/>
        <v/>
      </c>
      <c r="I1226" s="63">
        <f>IF($G1226="",0,IF(COUNTIF($G$2:$G1226,$G1226)=1,1,0))</f>
        <v>0</v>
      </c>
      <c r="J1226" s="63" t="str">
        <f t="shared" si="86"/>
        <v/>
      </c>
      <c r="K1226" s="63" t="str">
        <f>IF($H1226="","",COUNTIF($H$2:$H1226,"?*"))</f>
        <v/>
      </c>
    </row>
    <row r="1227" spans="1:11" x14ac:dyDescent="0.25">
      <c r="A1227" s="63" t="s">
        <v>531</v>
      </c>
      <c r="B1227" s="63" t="s">
        <v>1360</v>
      </c>
      <c r="C1227" s="63" t="s">
        <v>1327</v>
      </c>
      <c r="D1227" s="63" t="str">
        <f>IF('Equipment by Location'!E44="","",TRIM('Equipment by Location'!E44))</f>
        <v/>
      </c>
      <c r="E1227" s="64" t="str">
        <f>IF($D1227="","",'Equipment by Location'!F44&amp;"")</f>
        <v/>
      </c>
      <c r="F1227" s="63">
        <f>IF($D1227="",0,IF(ISNUMBER('Equipment by Location'!G44),'Equipment by Location'!G44,1))</f>
        <v>0</v>
      </c>
      <c r="G1227" s="64" t="str">
        <f t="shared" si="84"/>
        <v/>
      </c>
      <c r="H1227" s="64" t="str">
        <f t="shared" si="85"/>
        <v/>
      </c>
      <c r="I1227" s="63">
        <f>IF($G1227="",0,IF(COUNTIF($G$2:$G1227,$G1227)=1,1,0))</f>
        <v>0</v>
      </c>
      <c r="J1227" s="63" t="str">
        <f t="shared" si="86"/>
        <v/>
      </c>
      <c r="K1227" s="63" t="str">
        <f>IF($H1227="","",COUNTIF($H$2:$H1227,"?*"))</f>
        <v/>
      </c>
    </row>
    <row r="1228" spans="1:11" x14ac:dyDescent="0.25">
      <c r="A1228" s="63" t="s">
        <v>531</v>
      </c>
      <c r="B1228" s="63" t="s">
        <v>1361</v>
      </c>
      <c r="C1228" s="63" t="s">
        <v>1327</v>
      </c>
      <c r="D1228" s="63" t="str">
        <f>IF('Equipment by Location'!E45="","",TRIM('Equipment by Location'!E45))</f>
        <v/>
      </c>
      <c r="E1228" s="64" t="str">
        <f>IF($D1228="","",'Equipment by Location'!F45&amp;"")</f>
        <v/>
      </c>
      <c r="F1228" s="63">
        <f>IF($D1228="",0,IF(ISNUMBER('Equipment by Location'!G45),'Equipment by Location'!G45,1))</f>
        <v>0</v>
      </c>
      <c r="G1228" s="64" t="str">
        <f t="shared" si="84"/>
        <v/>
      </c>
      <c r="H1228" s="64" t="str">
        <f t="shared" si="85"/>
        <v/>
      </c>
      <c r="I1228" s="63">
        <f>IF($G1228="",0,IF(COUNTIF($G$2:$G1228,$G1228)=1,1,0))</f>
        <v>0</v>
      </c>
      <c r="J1228" s="63" t="str">
        <f t="shared" si="86"/>
        <v/>
      </c>
      <c r="K1228" s="63" t="str">
        <f>IF($H1228="","",COUNTIF($H$2:$H1228,"?*"))</f>
        <v/>
      </c>
    </row>
    <row r="1229" spans="1:11" x14ac:dyDescent="0.25">
      <c r="A1229" s="63" t="s">
        <v>531</v>
      </c>
      <c r="B1229" s="63" t="s">
        <v>1362</v>
      </c>
      <c r="C1229" s="63" t="s">
        <v>1327</v>
      </c>
      <c r="D1229" s="63" t="str">
        <f>IF('Equipment by Location'!E46="","",TRIM('Equipment by Location'!E46))</f>
        <v/>
      </c>
      <c r="E1229" s="64" t="str">
        <f>IF($D1229="","",'Equipment by Location'!F46&amp;"")</f>
        <v/>
      </c>
      <c r="F1229" s="63">
        <f>IF($D1229="",0,IF(ISNUMBER('Equipment by Location'!G46),'Equipment by Location'!G46,1))</f>
        <v>0</v>
      </c>
      <c r="G1229" s="64" t="str">
        <f t="shared" si="84"/>
        <v/>
      </c>
      <c r="H1229" s="64" t="str">
        <f t="shared" si="85"/>
        <v/>
      </c>
      <c r="I1229" s="63">
        <f>IF($G1229="",0,IF(COUNTIF($G$2:$G1229,$G1229)=1,1,0))</f>
        <v>0</v>
      </c>
      <c r="J1229" s="63" t="str">
        <f t="shared" si="86"/>
        <v/>
      </c>
      <c r="K1229" s="63" t="str">
        <f>IF($H1229="","",COUNTIF($H$2:$H1229,"?*"))</f>
        <v/>
      </c>
    </row>
    <row r="1230" spans="1:11" x14ac:dyDescent="0.25">
      <c r="A1230" s="63" t="s">
        <v>531</v>
      </c>
      <c r="B1230" s="63" t="s">
        <v>1363</v>
      </c>
      <c r="C1230" s="63" t="s">
        <v>1327</v>
      </c>
      <c r="D1230" s="63" t="str">
        <f>IF('Equipment by Location'!E47="","",TRIM('Equipment by Location'!E47))</f>
        <v/>
      </c>
      <c r="E1230" s="64" t="str">
        <f>IF($D1230="","",'Equipment by Location'!F47&amp;"")</f>
        <v/>
      </c>
      <c r="F1230" s="63">
        <f>IF($D1230="",0,IF(ISNUMBER('Equipment by Location'!G47),'Equipment by Location'!G47,1))</f>
        <v>0</v>
      </c>
      <c r="G1230" s="64" t="str">
        <f t="shared" si="84"/>
        <v/>
      </c>
      <c r="H1230" s="64" t="str">
        <f t="shared" si="85"/>
        <v/>
      </c>
      <c r="I1230" s="63">
        <f>IF($G1230="",0,IF(COUNTIF($G$2:$G1230,$G1230)=1,1,0))</f>
        <v>0</v>
      </c>
      <c r="J1230" s="63" t="str">
        <f t="shared" si="86"/>
        <v/>
      </c>
      <c r="K1230" s="63" t="str">
        <f>IF($H1230="","",COUNTIF($H$2:$H1230,"?*"))</f>
        <v/>
      </c>
    </row>
    <row r="1231" spans="1:11" x14ac:dyDescent="0.25">
      <c r="A1231" s="63" t="s">
        <v>531</v>
      </c>
      <c r="B1231" s="63" t="s">
        <v>1364</v>
      </c>
      <c r="C1231" s="63" t="s">
        <v>1327</v>
      </c>
      <c r="D1231" s="63" t="str">
        <f>IF('Equipment by Location'!E48="","",TRIM('Equipment by Location'!E48))</f>
        <v/>
      </c>
      <c r="E1231" s="64" t="str">
        <f>IF($D1231="","",'Equipment by Location'!F48&amp;"")</f>
        <v/>
      </c>
      <c r="F1231" s="63">
        <f>IF($D1231="",0,IF(ISNUMBER('Equipment by Location'!G48),'Equipment by Location'!G48,1))</f>
        <v>0</v>
      </c>
      <c r="G1231" s="64" t="str">
        <f t="shared" si="84"/>
        <v/>
      </c>
      <c r="H1231" s="64" t="str">
        <f t="shared" si="85"/>
        <v/>
      </c>
      <c r="I1231" s="63">
        <f>IF($G1231="",0,IF(COUNTIF($G$2:$G1231,$G1231)=1,1,0))</f>
        <v>0</v>
      </c>
      <c r="J1231" s="63" t="str">
        <f t="shared" si="86"/>
        <v/>
      </c>
      <c r="K1231" s="63" t="str">
        <f>IF($H1231="","",COUNTIF($H$2:$H1231,"?*"))</f>
        <v/>
      </c>
    </row>
    <row r="1232" spans="1:11" x14ac:dyDescent="0.25">
      <c r="A1232" s="63" t="s">
        <v>531</v>
      </c>
      <c r="B1232" s="63" t="s">
        <v>1365</v>
      </c>
      <c r="C1232" s="63" t="s">
        <v>1327</v>
      </c>
      <c r="D1232" s="63" t="str">
        <f>IF('Equipment by Location'!E49="","",TRIM('Equipment by Location'!E49))</f>
        <v/>
      </c>
      <c r="E1232" s="64" t="str">
        <f>IF($D1232="","",'Equipment by Location'!F49&amp;"")</f>
        <v/>
      </c>
      <c r="F1232" s="63">
        <f>IF($D1232="",0,IF(ISNUMBER('Equipment by Location'!G49),'Equipment by Location'!G49,1))</f>
        <v>0</v>
      </c>
      <c r="G1232" s="64" t="str">
        <f t="shared" si="84"/>
        <v/>
      </c>
      <c r="H1232" s="64" t="str">
        <f t="shared" si="85"/>
        <v/>
      </c>
      <c r="I1232" s="63">
        <f>IF($G1232="",0,IF(COUNTIF($G$2:$G1232,$G1232)=1,1,0))</f>
        <v>0</v>
      </c>
      <c r="J1232" s="63" t="str">
        <f t="shared" si="86"/>
        <v/>
      </c>
      <c r="K1232" s="63" t="str">
        <f>IF($H1232="","",COUNTIF($H$2:$H1232,"?*"))</f>
        <v/>
      </c>
    </row>
    <row r="1233" spans="1:11" x14ac:dyDescent="0.25">
      <c r="A1233" s="63" t="s">
        <v>531</v>
      </c>
      <c r="B1233" s="63" t="s">
        <v>1366</v>
      </c>
      <c r="C1233" s="63" t="s">
        <v>1327</v>
      </c>
      <c r="D1233" s="63" t="str">
        <f>IF('Equipment by Location'!E50="","",TRIM('Equipment by Location'!E50))</f>
        <v/>
      </c>
      <c r="E1233" s="64" t="str">
        <f>IF($D1233="","",'Equipment by Location'!F50&amp;"")</f>
        <v/>
      </c>
      <c r="F1233" s="63">
        <f>IF($D1233="",0,IF(ISNUMBER('Equipment by Location'!G50),'Equipment by Location'!G50,1))</f>
        <v>0</v>
      </c>
      <c r="G1233" s="64" t="str">
        <f t="shared" si="84"/>
        <v/>
      </c>
      <c r="H1233" s="64" t="str">
        <f t="shared" si="85"/>
        <v/>
      </c>
      <c r="I1233" s="63">
        <f>IF($G1233="",0,IF(COUNTIF($G$2:$G1233,$G1233)=1,1,0))</f>
        <v>0</v>
      </c>
      <c r="J1233" s="63" t="str">
        <f t="shared" si="86"/>
        <v/>
      </c>
      <c r="K1233" s="63" t="str">
        <f>IF($H1233="","",COUNTIF($H$2:$H1233,"?*"))</f>
        <v/>
      </c>
    </row>
    <row r="1234" spans="1:11" x14ac:dyDescent="0.25">
      <c r="A1234" s="63" t="s">
        <v>532</v>
      </c>
      <c r="B1234" s="63" t="s">
        <v>1326</v>
      </c>
      <c r="C1234" s="63" t="s">
        <v>1327</v>
      </c>
      <c r="D1234" s="63" t="str">
        <f>IF('Equipment by Location'!I11="","",TRIM('Equipment by Location'!I11))</f>
        <v>Fetco 62H</v>
      </c>
      <c r="E1234" s="64" t="str">
        <f>IF($D1234="","",'Equipment by Location'!J11&amp;"")</f>
        <v>05804303A</v>
      </c>
      <c r="F1234" s="65">
        <f>IF($D1234="",0,IF(ISNUMBER('Equipment by Location'!K11),'Equipment by Location'!K11,1))</f>
        <v>1</v>
      </c>
      <c r="G1234" s="64" t="str">
        <f t="shared" si="84"/>
        <v>Fetco 62H</v>
      </c>
      <c r="H1234" s="64" t="str">
        <f t="shared" si="85"/>
        <v/>
      </c>
      <c r="I1234" s="63">
        <f>IF($G1234="",0,IF(COUNTIF($G$2:$G1234,$G1234)=1,1,0))</f>
        <v>0</v>
      </c>
      <c r="J1234" s="63" t="str">
        <f t="shared" si="86"/>
        <v/>
      </c>
      <c r="K1234" s="63" t="str">
        <f>IF($H1234="","",COUNTIF($H$2:$H1234,"?*"))</f>
        <v/>
      </c>
    </row>
    <row r="1235" spans="1:11" x14ac:dyDescent="0.25">
      <c r="A1235" s="63" t="s">
        <v>532</v>
      </c>
      <c r="B1235" s="63" t="s">
        <v>1328</v>
      </c>
      <c r="C1235" s="63" t="s">
        <v>1327</v>
      </c>
      <c r="D1235" s="63" t="str">
        <f>IF('Equipment by Location'!I12="","",TRIM('Equipment by Location'!I12))</f>
        <v>Bunn ITCB</v>
      </c>
      <c r="E1235" s="64" t="str">
        <f>IF($D1235="","",'Equipment by Location'!J12&amp;"")</f>
        <v>ITCB104656</v>
      </c>
      <c r="F1235" s="65">
        <f>IF($D1235="",0,IF(ISNUMBER('Equipment by Location'!K12),'Equipment by Location'!K12,1))</f>
        <v>1</v>
      </c>
      <c r="G1235" s="64" t="str">
        <f t="shared" si="84"/>
        <v>Bunn ITCB</v>
      </c>
      <c r="H1235" s="64" t="str">
        <f t="shared" si="85"/>
        <v/>
      </c>
      <c r="I1235" s="63">
        <f>IF($G1235="",0,IF(COUNTIF($G$2:$G1235,$G1235)=1,1,0))</f>
        <v>0</v>
      </c>
      <c r="J1235" s="63" t="str">
        <f t="shared" si="86"/>
        <v/>
      </c>
      <c r="K1235" s="63" t="str">
        <f>IF($H1235="","",COUNTIF($H$2:$H1235,"?*"))</f>
        <v/>
      </c>
    </row>
    <row r="1236" spans="1:11" x14ac:dyDescent="0.25">
      <c r="A1236" s="63" t="s">
        <v>532</v>
      </c>
      <c r="B1236" s="63" t="s">
        <v>1329</v>
      </c>
      <c r="C1236" s="63" t="s">
        <v>1327</v>
      </c>
      <c r="D1236" s="63" t="str">
        <f>IF('Equipment by Location'!I13="","",TRIM('Equipment by Location'!I13))</f>
        <v>Ditting KR1403</v>
      </c>
      <c r="E1236" s="64" t="str">
        <f>IF($D1236="","",'Equipment by Location'!J13&amp;"")</f>
        <v>25838</v>
      </c>
      <c r="F1236" s="65">
        <f>IF($D1236="",0,IF(ISNUMBER('Equipment by Location'!K13),'Equipment by Location'!K13,1))</f>
        <v>1</v>
      </c>
      <c r="G1236" s="64" t="str">
        <f t="shared" si="84"/>
        <v>Ditting KR1403</v>
      </c>
      <c r="H1236" s="64" t="str">
        <f t="shared" si="85"/>
        <v/>
      </c>
      <c r="I1236" s="63">
        <f>IF($G1236="",0,IF(COUNTIF($G$2:$G1236,$G1236)=1,1,0))</f>
        <v>1</v>
      </c>
      <c r="J1236" s="63">
        <f t="shared" si="86"/>
        <v>37</v>
      </c>
      <c r="K1236" s="63" t="str">
        <f>IF($H1236="","",COUNTIF($H$2:$H1236,"?*"))</f>
        <v/>
      </c>
    </row>
    <row r="1237" spans="1:11" x14ac:dyDescent="0.25">
      <c r="A1237" s="63" t="s">
        <v>532</v>
      </c>
      <c r="B1237" s="63" t="s">
        <v>1330</v>
      </c>
      <c r="C1237" s="63" t="s">
        <v>1327</v>
      </c>
      <c r="D1237" s="63" t="str">
        <f>IF('Equipment by Location'!I14="","",TRIM('Equipment by Location'!I14))</f>
        <v>Ditting KR1403</v>
      </c>
      <c r="E1237" s="64" t="str">
        <f>IF($D1237="","",'Equipment by Location'!J14&amp;"")</f>
        <v>14466</v>
      </c>
      <c r="F1237" s="65">
        <f>IF($D1237="",0,IF(ISNUMBER('Equipment by Location'!K14),'Equipment by Location'!K14,1))</f>
        <v>1</v>
      </c>
      <c r="G1237" s="64" t="str">
        <f t="shared" si="84"/>
        <v>Ditting KR1403</v>
      </c>
      <c r="H1237" s="64" t="str">
        <f t="shared" si="85"/>
        <v/>
      </c>
      <c r="I1237" s="63">
        <f>IF($G1237="",0,IF(COUNTIF($G$2:$G1237,$G1237)=1,1,0))</f>
        <v>0</v>
      </c>
      <c r="J1237" s="63" t="str">
        <f t="shared" si="86"/>
        <v/>
      </c>
      <c r="K1237" s="63" t="str">
        <f>IF($H1237="","",COUNTIF($H$2:$H1237,"?*"))</f>
        <v/>
      </c>
    </row>
    <row r="1238" spans="1:11" x14ac:dyDescent="0.25">
      <c r="A1238" s="63" t="s">
        <v>532</v>
      </c>
      <c r="B1238" s="63" t="s">
        <v>1331</v>
      </c>
      <c r="C1238" s="63" t="s">
        <v>1327</v>
      </c>
      <c r="D1238" s="63" t="str">
        <f>IF('Equipment by Location'!I15="","",TRIM('Equipment by Location'!I15))</f>
        <v>Ditting KR1403</v>
      </c>
      <c r="E1238" s="64" t="str">
        <f>IF($D1238="","",'Equipment by Location'!J15&amp;"")</f>
        <v>1063</v>
      </c>
      <c r="F1238" s="65">
        <f>IF($D1238="",0,IF(ISNUMBER('Equipment by Location'!K15),'Equipment by Location'!K15,1))</f>
        <v>1</v>
      </c>
      <c r="G1238" s="64" t="str">
        <f t="shared" si="84"/>
        <v>Ditting KR1403</v>
      </c>
      <c r="H1238" s="64" t="str">
        <f t="shared" si="85"/>
        <v/>
      </c>
      <c r="I1238" s="63">
        <f>IF($G1238="",0,IF(COUNTIF($G$2:$G1238,$G1238)=1,1,0))</f>
        <v>0</v>
      </c>
      <c r="J1238" s="63" t="str">
        <f t="shared" si="86"/>
        <v/>
      </c>
      <c r="K1238" s="63" t="str">
        <f>IF($H1238="","",COUNTIF($H$2:$H1238,"?*"))</f>
        <v/>
      </c>
    </row>
    <row r="1239" spans="1:11" x14ac:dyDescent="0.25">
      <c r="A1239" s="63" t="s">
        <v>532</v>
      </c>
      <c r="B1239" s="63" t="s">
        <v>1332</v>
      </c>
      <c r="C1239" s="63" t="s">
        <v>1327</v>
      </c>
      <c r="D1239" s="63" t="str">
        <f>IF('Equipment by Location'!I16="","",TRIM('Equipment by Location'!I16))</f>
        <v>Ditting KR1403</v>
      </c>
      <c r="E1239" s="64" t="str">
        <f>IF($D1239="","",'Equipment by Location'!J16&amp;"")</f>
        <v>1168</v>
      </c>
      <c r="F1239" s="65">
        <f>IF($D1239="",0,IF(ISNUMBER('Equipment by Location'!K16),'Equipment by Location'!K16,1))</f>
        <v>1</v>
      </c>
      <c r="G1239" s="64" t="str">
        <f t="shared" si="84"/>
        <v>Ditting KR1403</v>
      </c>
      <c r="H1239" s="64" t="str">
        <f t="shared" si="85"/>
        <v/>
      </c>
      <c r="I1239" s="63">
        <f>IF($G1239="",0,IF(COUNTIF($G$2:$G1239,$G1239)=1,1,0))</f>
        <v>0</v>
      </c>
      <c r="J1239" s="63" t="str">
        <f t="shared" si="86"/>
        <v/>
      </c>
      <c r="K1239" s="63" t="str">
        <f>IF($H1239="","",COUNTIF($H$2:$H1239,"?*"))</f>
        <v/>
      </c>
    </row>
    <row r="1240" spans="1:11" x14ac:dyDescent="0.25">
      <c r="A1240" s="63" t="s">
        <v>532</v>
      </c>
      <c r="B1240" s="63" t="s">
        <v>1333</v>
      </c>
      <c r="C1240" s="63" t="s">
        <v>1327</v>
      </c>
      <c r="D1240" s="63" t="str">
        <f>IF('Equipment by Location'!I17="","",TRIM('Equipment by Location'!I17))</f>
        <v>Ditting KR1403</v>
      </c>
      <c r="E1240" s="64" t="str">
        <f>IF($D1240="","",'Equipment by Location'!J17&amp;"")</f>
        <v>1067</v>
      </c>
      <c r="F1240" s="65">
        <f>IF($D1240="",0,IF(ISNUMBER('Equipment by Location'!K17),'Equipment by Location'!K17,1))</f>
        <v>1</v>
      </c>
      <c r="G1240" s="64" t="str">
        <f t="shared" si="84"/>
        <v>Ditting KR1403</v>
      </c>
      <c r="H1240" s="64" t="str">
        <f t="shared" si="85"/>
        <v/>
      </c>
      <c r="I1240" s="63">
        <f>IF($G1240="",0,IF(COUNTIF($G$2:$G1240,$G1240)=1,1,0))</f>
        <v>0</v>
      </c>
      <c r="J1240" s="63" t="str">
        <f t="shared" si="86"/>
        <v/>
      </c>
      <c r="K1240" s="63" t="str">
        <f>IF($H1240="","",COUNTIF($H$2:$H1240,"?*"))</f>
        <v/>
      </c>
    </row>
    <row r="1241" spans="1:11" x14ac:dyDescent="0.25">
      <c r="A1241" s="63" t="s">
        <v>532</v>
      </c>
      <c r="B1241" s="63" t="s">
        <v>1334</v>
      </c>
      <c r="C1241" s="63" t="s">
        <v>1327</v>
      </c>
      <c r="D1241" s="63" t="str">
        <f>IF('Equipment by Location'!I18="","",TRIM('Equipment by Location'!I18))</f>
        <v>Ditting KR1403</v>
      </c>
      <c r="E1241" s="64" t="str">
        <f>IF($D1241="","",'Equipment by Location'!J18&amp;"")</f>
        <v>24724</v>
      </c>
      <c r="F1241" s="65">
        <f>IF($D1241="",0,IF(ISNUMBER('Equipment by Location'!K18),'Equipment by Location'!K18,1))</f>
        <v>1</v>
      </c>
      <c r="G1241" s="64" t="str">
        <f t="shared" si="84"/>
        <v>Ditting KR1403</v>
      </c>
      <c r="H1241" s="64" t="str">
        <f t="shared" si="85"/>
        <v/>
      </c>
      <c r="I1241" s="63">
        <f>IF($G1241="",0,IF(COUNTIF($G$2:$G1241,$G1241)=1,1,0))</f>
        <v>0</v>
      </c>
      <c r="J1241" s="63" t="str">
        <f t="shared" si="86"/>
        <v/>
      </c>
      <c r="K1241" s="63" t="str">
        <f>IF($H1241="","",COUNTIF($H$2:$H1241,"?*"))</f>
        <v/>
      </c>
    </row>
    <row r="1242" spans="1:11" x14ac:dyDescent="0.25">
      <c r="A1242" s="63" t="s">
        <v>532</v>
      </c>
      <c r="B1242" s="63" t="s">
        <v>1335</v>
      </c>
      <c r="C1242" s="63" t="s">
        <v>1327</v>
      </c>
      <c r="D1242" s="63" t="str">
        <f>IF('Equipment by Location'!I19="","",TRIM('Equipment by Location'!I19))</f>
        <v>Ditting KR1403</v>
      </c>
      <c r="E1242" s="64" t="str">
        <f>IF($D1242="","",'Equipment by Location'!J19&amp;"")</f>
        <v>1172</v>
      </c>
      <c r="F1242" s="65">
        <f>IF($D1242="",0,IF(ISNUMBER('Equipment by Location'!K19),'Equipment by Location'!K19,1))</f>
        <v>1</v>
      </c>
      <c r="G1242" s="64" t="str">
        <f t="shared" si="84"/>
        <v>Ditting KR1403</v>
      </c>
      <c r="H1242" s="64" t="str">
        <f t="shared" si="85"/>
        <v/>
      </c>
      <c r="I1242" s="63">
        <f>IF($G1242="",0,IF(COUNTIF($G$2:$G1242,$G1242)=1,1,0))</f>
        <v>0</v>
      </c>
      <c r="J1242" s="63" t="str">
        <f t="shared" si="86"/>
        <v/>
      </c>
      <c r="K1242" s="63" t="str">
        <f>IF($H1242="","",COUNTIF($H$2:$H1242,"?*"))</f>
        <v/>
      </c>
    </row>
    <row r="1243" spans="1:11" x14ac:dyDescent="0.25">
      <c r="A1243" s="63" t="s">
        <v>532</v>
      </c>
      <c r="B1243" s="63" t="s">
        <v>1336</v>
      </c>
      <c r="C1243" s="63" t="s">
        <v>1327</v>
      </c>
      <c r="D1243" s="63" t="str">
        <f>IF('Equipment by Location'!I20="","",TRIM('Equipment by Location'!I20))</f>
        <v>Bunn G3</v>
      </c>
      <c r="E1243" s="64" t="str">
        <f>IF($D1243="","",'Equipment by Location'!J20&amp;"")</f>
        <v>G300057356</v>
      </c>
      <c r="F1243" s="65">
        <f>IF($D1243="",0,IF(ISNUMBER('Equipment by Location'!K20),'Equipment by Location'!K20,1))</f>
        <v>1</v>
      </c>
      <c r="G1243" s="64" t="str">
        <f t="shared" si="84"/>
        <v>Bunn G3</v>
      </c>
      <c r="H1243" s="64" t="str">
        <f t="shared" si="85"/>
        <v/>
      </c>
      <c r="I1243" s="63">
        <f>IF($G1243="",0,IF(COUNTIF($G$2:$G1243,$G1243)=1,1,0))</f>
        <v>0</v>
      </c>
      <c r="J1243" s="63" t="str">
        <f t="shared" si="86"/>
        <v/>
      </c>
      <c r="K1243" s="63" t="str">
        <f>IF($H1243="","",COUNTIF($H$2:$H1243,"?*"))</f>
        <v/>
      </c>
    </row>
    <row r="1244" spans="1:11" x14ac:dyDescent="0.25">
      <c r="A1244" s="63" t="s">
        <v>532</v>
      </c>
      <c r="B1244" s="63" t="s">
        <v>1337</v>
      </c>
      <c r="C1244" s="63" t="s">
        <v>1327</v>
      </c>
      <c r="D1244" s="63" t="str">
        <f>IF('Equipment by Location'!I21="","",TRIM('Equipment by Location'!I21))</f>
        <v>Eversys e'4m</v>
      </c>
      <c r="E1244" s="64" t="str">
        <f>IF($D1244="","",'Equipment by Location'!J21&amp;"")</f>
        <v>0110710023346E0004</v>
      </c>
      <c r="F1244" s="65">
        <f>IF($D1244="",0,IF(ISNUMBER('Equipment by Location'!K21),'Equipment by Location'!K21,1))</f>
        <v>1</v>
      </c>
      <c r="G1244" s="64" t="str">
        <f t="shared" si="84"/>
        <v>Eversys e'4m</v>
      </c>
      <c r="H1244" s="64" t="str">
        <f t="shared" si="85"/>
        <v/>
      </c>
      <c r="I1244" s="63">
        <f>IF($G1244="",0,IF(COUNTIF($G$2:$G1244,$G1244)=1,1,0))</f>
        <v>0</v>
      </c>
      <c r="J1244" s="63" t="str">
        <f t="shared" si="86"/>
        <v/>
      </c>
      <c r="K1244" s="63" t="str">
        <f>IF($H1244="","",COUNTIF($H$2:$H1244,"?*"))</f>
        <v/>
      </c>
    </row>
    <row r="1245" spans="1:11" x14ac:dyDescent="0.25">
      <c r="A1245" s="63" t="s">
        <v>532</v>
      </c>
      <c r="B1245" s="63" t="s">
        <v>1338</v>
      </c>
      <c r="C1245" s="63" t="s">
        <v>1327</v>
      </c>
      <c r="D1245" s="63" t="str">
        <f>IF('Equipment by Location'!I22="","",TRIM('Equipment by Location'!I22))</f>
        <v>Eversys Shotmaster S/Pro</v>
      </c>
      <c r="E1245" s="64" t="str">
        <f>IF($D1245="","",'Equipment by Location'!J22&amp;"")</f>
        <v>0116650021340E0001</v>
      </c>
      <c r="F1245" s="65">
        <f>IF($D1245="",0,IF(ISNUMBER('Equipment by Location'!K22),'Equipment by Location'!K22,1))</f>
        <v>1</v>
      </c>
      <c r="G1245" s="64" t="str">
        <f t="shared" si="84"/>
        <v>Eversys Shotmaster S/Pro</v>
      </c>
      <c r="H1245" s="64" t="str">
        <f t="shared" si="85"/>
        <v/>
      </c>
      <c r="I1245" s="63">
        <f>IF($G1245="",0,IF(COUNTIF($G$2:$G1245,$G1245)=1,1,0))</f>
        <v>1</v>
      </c>
      <c r="J1245" s="63">
        <f t="shared" si="86"/>
        <v>45</v>
      </c>
      <c r="K1245" s="63" t="str">
        <f>IF($H1245="","",COUNTIF($H$2:$H1245,"?*"))</f>
        <v/>
      </c>
    </row>
    <row r="1246" spans="1:11" x14ac:dyDescent="0.25">
      <c r="A1246" s="63" t="s">
        <v>532</v>
      </c>
      <c r="B1246" s="63" t="s">
        <v>1339</v>
      </c>
      <c r="C1246" s="63" t="s">
        <v>1327</v>
      </c>
      <c r="D1246" s="63" t="str">
        <f>IF('Equipment by Location'!I23="","",TRIM('Equipment by Location'!I23))</f>
        <v/>
      </c>
      <c r="E1246" s="64" t="str">
        <f>IF($D1246="","",'Equipment by Location'!J23&amp;"")</f>
        <v/>
      </c>
      <c r="F1246" s="63">
        <f>IF($D1246="",0,IF(ISNUMBER('Equipment by Location'!K23),'Equipment by Location'!K23,1))</f>
        <v>0</v>
      </c>
      <c r="G1246" s="64" t="str">
        <f t="shared" si="84"/>
        <v/>
      </c>
      <c r="H1246" s="64" t="str">
        <f t="shared" si="85"/>
        <v/>
      </c>
      <c r="I1246" s="63">
        <f>IF($G1246="",0,IF(COUNTIF($G$2:$G1246,$G1246)=1,1,0))</f>
        <v>0</v>
      </c>
      <c r="J1246" s="63" t="str">
        <f t="shared" si="86"/>
        <v/>
      </c>
      <c r="K1246" s="63" t="str">
        <f>IF($H1246="","",COUNTIF($H$2:$H1246,"?*"))</f>
        <v/>
      </c>
    </row>
    <row r="1247" spans="1:11" x14ac:dyDescent="0.25">
      <c r="A1247" s="63" t="s">
        <v>532</v>
      </c>
      <c r="B1247" s="63" t="s">
        <v>1340</v>
      </c>
      <c r="C1247" s="63" t="s">
        <v>1327</v>
      </c>
      <c r="D1247" s="63" t="str">
        <f>IF('Equipment by Location'!I24="","",TRIM('Equipment by Location'!I24))</f>
        <v/>
      </c>
      <c r="E1247" s="64" t="str">
        <f>IF($D1247="","",'Equipment by Location'!J24&amp;"")</f>
        <v/>
      </c>
      <c r="F1247" s="63">
        <f>IF($D1247="",0,IF(ISNUMBER('Equipment by Location'!K24),'Equipment by Location'!K24,1))</f>
        <v>0</v>
      </c>
      <c r="G1247" s="64" t="str">
        <f t="shared" si="84"/>
        <v/>
      </c>
      <c r="H1247" s="64" t="str">
        <f t="shared" si="85"/>
        <v/>
      </c>
      <c r="I1247" s="63">
        <f>IF($G1247="",0,IF(COUNTIF($G$2:$G1247,$G1247)=1,1,0))</f>
        <v>0</v>
      </c>
      <c r="J1247" s="63" t="str">
        <f t="shared" si="86"/>
        <v/>
      </c>
      <c r="K1247" s="63" t="str">
        <f>IF($H1247="","",COUNTIF($H$2:$H1247,"?*"))</f>
        <v/>
      </c>
    </row>
    <row r="1248" spans="1:11" x14ac:dyDescent="0.25">
      <c r="A1248" s="63" t="s">
        <v>532</v>
      </c>
      <c r="B1248" s="63" t="s">
        <v>1341</v>
      </c>
      <c r="C1248" s="63" t="s">
        <v>1327</v>
      </c>
      <c r="D1248" s="63" t="str">
        <f>IF('Equipment by Location'!I25="","",TRIM('Equipment by Location'!I25))</f>
        <v/>
      </c>
      <c r="E1248" s="64" t="str">
        <f>IF($D1248="","",'Equipment by Location'!J25&amp;"")</f>
        <v/>
      </c>
      <c r="F1248" s="63">
        <f>IF($D1248="",0,IF(ISNUMBER('Equipment by Location'!K25),'Equipment by Location'!K25,1))</f>
        <v>0</v>
      </c>
      <c r="G1248" s="64" t="str">
        <f t="shared" si="84"/>
        <v/>
      </c>
      <c r="H1248" s="64" t="str">
        <f t="shared" si="85"/>
        <v/>
      </c>
      <c r="I1248" s="63">
        <f>IF($G1248="",0,IF(COUNTIF($G$2:$G1248,$G1248)=1,1,0))</f>
        <v>0</v>
      </c>
      <c r="J1248" s="63" t="str">
        <f t="shared" si="86"/>
        <v/>
      </c>
      <c r="K1248" s="63" t="str">
        <f>IF($H1248="","",COUNTIF($H$2:$H1248,"?*"))</f>
        <v/>
      </c>
    </row>
    <row r="1249" spans="1:11" x14ac:dyDescent="0.25">
      <c r="A1249" s="63" t="s">
        <v>532</v>
      </c>
      <c r="B1249" s="63" t="s">
        <v>1342</v>
      </c>
      <c r="C1249" s="63" t="s">
        <v>1327</v>
      </c>
      <c r="D1249" s="63" t="str">
        <f>IF('Equipment by Location'!I26="","",TRIM('Equipment by Location'!I26))</f>
        <v/>
      </c>
      <c r="E1249" s="64" t="str">
        <f>IF($D1249="","",'Equipment by Location'!J26&amp;"")</f>
        <v/>
      </c>
      <c r="F1249" s="63">
        <f>IF($D1249="",0,IF(ISNUMBER('Equipment by Location'!K26),'Equipment by Location'!K26,1))</f>
        <v>0</v>
      </c>
      <c r="G1249" s="64" t="str">
        <f t="shared" si="84"/>
        <v/>
      </c>
      <c r="H1249" s="64" t="str">
        <f t="shared" si="85"/>
        <v/>
      </c>
      <c r="I1249" s="63">
        <f>IF($G1249="",0,IF(COUNTIF($G$2:$G1249,$G1249)=1,1,0))</f>
        <v>0</v>
      </c>
      <c r="J1249" s="63" t="str">
        <f t="shared" si="86"/>
        <v/>
      </c>
      <c r="K1249" s="63" t="str">
        <f>IF($H1249="","",COUNTIF($H$2:$H1249,"?*"))</f>
        <v/>
      </c>
    </row>
    <row r="1250" spans="1:11" x14ac:dyDescent="0.25">
      <c r="A1250" s="63" t="s">
        <v>532</v>
      </c>
      <c r="B1250" s="63" t="s">
        <v>1343</v>
      </c>
      <c r="C1250" s="63" t="s">
        <v>1327</v>
      </c>
      <c r="D1250" s="63" t="str">
        <f>IF('Equipment by Location'!I27="","",TRIM('Equipment by Location'!I27))</f>
        <v/>
      </c>
      <c r="E1250" s="64" t="str">
        <f>IF($D1250="","",'Equipment by Location'!J27&amp;"")</f>
        <v/>
      </c>
      <c r="F1250" s="63">
        <f>IF($D1250="",0,IF(ISNUMBER('Equipment by Location'!K27),'Equipment by Location'!K27,1))</f>
        <v>0</v>
      </c>
      <c r="G1250" s="64" t="str">
        <f t="shared" si="84"/>
        <v/>
      </c>
      <c r="H1250" s="64" t="str">
        <f t="shared" si="85"/>
        <v/>
      </c>
      <c r="I1250" s="63">
        <f>IF($G1250="",0,IF(COUNTIF($G$2:$G1250,$G1250)=1,1,0))</f>
        <v>0</v>
      </c>
      <c r="J1250" s="63" t="str">
        <f t="shared" si="86"/>
        <v/>
      </c>
      <c r="K1250" s="63" t="str">
        <f>IF($H1250="","",COUNTIF($H$2:$H1250,"?*"))</f>
        <v/>
      </c>
    </row>
    <row r="1251" spans="1:11" x14ac:dyDescent="0.25">
      <c r="A1251" s="63" t="s">
        <v>532</v>
      </c>
      <c r="B1251" s="63" t="s">
        <v>1344</v>
      </c>
      <c r="C1251" s="63" t="s">
        <v>1327</v>
      </c>
      <c r="D1251" s="63" t="str">
        <f>IF('Equipment by Location'!I28="","",TRIM('Equipment by Location'!I28))</f>
        <v/>
      </c>
      <c r="E1251" s="64" t="str">
        <f>IF($D1251="","",'Equipment by Location'!J28&amp;"")</f>
        <v/>
      </c>
      <c r="F1251" s="63">
        <f>IF($D1251="",0,IF(ISNUMBER('Equipment by Location'!K28),'Equipment by Location'!K28,1))</f>
        <v>0</v>
      </c>
      <c r="G1251" s="64" t="str">
        <f t="shared" si="84"/>
        <v/>
      </c>
      <c r="H1251" s="64" t="str">
        <f t="shared" si="85"/>
        <v/>
      </c>
      <c r="I1251" s="63">
        <f>IF($G1251="",0,IF(COUNTIF($G$2:$G1251,$G1251)=1,1,0))</f>
        <v>0</v>
      </c>
      <c r="J1251" s="63" t="str">
        <f t="shared" si="86"/>
        <v/>
      </c>
      <c r="K1251" s="63" t="str">
        <f>IF($H1251="","",COUNTIF($H$2:$H1251,"?*"))</f>
        <v/>
      </c>
    </row>
    <row r="1252" spans="1:11" x14ac:dyDescent="0.25">
      <c r="A1252" s="63" t="s">
        <v>532</v>
      </c>
      <c r="B1252" s="63" t="s">
        <v>1345</v>
      </c>
      <c r="C1252" s="63" t="s">
        <v>1327</v>
      </c>
      <c r="D1252" s="63" t="str">
        <f>IF('Equipment by Location'!I29="","",TRIM('Equipment by Location'!I29))</f>
        <v/>
      </c>
      <c r="E1252" s="64" t="str">
        <f>IF($D1252="","",'Equipment by Location'!J29&amp;"")</f>
        <v/>
      </c>
      <c r="F1252" s="63">
        <f>IF($D1252="",0,IF(ISNUMBER('Equipment by Location'!K29),'Equipment by Location'!K29,1))</f>
        <v>0</v>
      </c>
      <c r="G1252" s="64" t="str">
        <f t="shared" si="84"/>
        <v/>
      </c>
      <c r="H1252" s="64" t="str">
        <f t="shared" si="85"/>
        <v/>
      </c>
      <c r="I1252" s="63">
        <f>IF($G1252="",0,IF(COUNTIF($G$2:$G1252,$G1252)=1,1,0))</f>
        <v>0</v>
      </c>
      <c r="J1252" s="63" t="str">
        <f t="shared" si="86"/>
        <v/>
      </c>
      <c r="K1252" s="63" t="str">
        <f>IF($H1252="","",COUNTIF($H$2:$H1252,"?*"))</f>
        <v/>
      </c>
    </row>
    <row r="1253" spans="1:11" x14ac:dyDescent="0.25">
      <c r="A1253" s="63" t="s">
        <v>532</v>
      </c>
      <c r="B1253" s="63" t="s">
        <v>1346</v>
      </c>
      <c r="C1253" s="63" t="s">
        <v>1327</v>
      </c>
      <c r="D1253" s="63" t="str">
        <f>IF('Equipment by Location'!I30="","",TRIM('Equipment by Location'!I30))</f>
        <v/>
      </c>
      <c r="E1253" s="64" t="str">
        <f>IF($D1253="","",'Equipment by Location'!J30&amp;"")</f>
        <v/>
      </c>
      <c r="F1253" s="63">
        <f>IF($D1253="",0,IF(ISNUMBER('Equipment by Location'!K30),'Equipment by Location'!K30,1))</f>
        <v>0</v>
      </c>
      <c r="G1253" s="64" t="str">
        <f t="shared" si="84"/>
        <v/>
      </c>
      <c r="H1253" s="64" t="str">
        <f t="shared" si="85"/>
        <v/>
      </c>
      <c r="I1253" s="63">
        <f>IF($G1253="",0,IF(COUNTIF($G$2:$G1253,$G1253)=1,1,0))</f>
        <v>0</v>
      </c>
      <c r="J1253" s="63" t="str">
        <f t="shared" si="86"/>
        <v/>
      </c>
      <c r="K1253" s="63" t="str">
        <f>IF($H1253="","",COUNTIF($H$2:$H1253,"?*"))</f>
        <v/>
      </c>
    </row>
    <row r="1254" spans="1:11" x14ac:dyDescent="0.25">
      <c r="A1254" s="63" t="s">
        <v>532</v>
      </c>
      <c r="B1254" s="63" t="s">
        <v>1347</v>
      </c>
      <c r="C1254" s="63" t="s">
        <v>1327</v>
      </c>
      <c r="D1254" s="63" t="str">
        <f>IF('Equipment by Location'!I31="","",TRIM('Equipment by Location'!I31))</f>
        <v/>
      </c>
      <c r="E1254" s="64" t="str">
        <f>IF($D1254="","",'Equipment by Location'!J31&amp;"")</f>
        <v/>
      </c>
      <c r="F1254" s="63">
        <f>IF($D1254="",0,IF(ISNUMBER('Equipment by Location'!K31),'Equipment by Location'!K31,1))</f>
        <v>0</v>
      </c>
      <c r="G1254" s="64" t="str">
        <f t="shared" si="84"/>
        <v/>
      </c>
      <c r="H1254" s="64" t="str">
        <f t="shared" si="85"/>
        <v/>
      </c>
      <c r="I1254" s="63">
        <f>IF($G1254="",0,IF(COUNTIF($G$2:$G1254,$G1254)=1,1,0))</f>
        <v>0</v>
      </c>
      <c r="J1254" s="63" t="str">
        <f t="shared" si="86"/>
        <v/>
      </c>
      <c r="K1254" s="63" t="str">
        <f>IF($H1254="","",COUNTIF($H$2:$H1254,"?*"))</f>
        <v/>
      </c>
    </row>
    <row r="1255" spans="1:11" x14ac:dyDescent="0.25">
      <c r="A1255" s="63" t="s">
        <v>532</v>
      </c>
      <c r="B1255" s="63" t="s">
        <v>1348</v>
      </c>
      <c r="C1255" s="63" t="s">
        <v>1327</v>
      </c>
      <c r="D1255" s="63" t="str">
        <f>IF('Equipment by Location'!I32="","",TRIM('Equipment by Location'!I32))</f>
        <v/>
      </c>
      <c r="E1255" s="64" t="str">
        <f>IF($D1255="","",'Equipment by Location'!J32&amp;"")</f>
        <v/>
      </c>
      <c r="F1255" s="63">
        <f>IF($D1255="",0,IF(ISNUMBER('Equipment by Location'!K32),'Equipment by Location'!K32,1))</f>
        <v>0</v>
      </c>
      <c r="G1255" s="64" t="str">
        <f t="shared" si="84"/>
        <v/>
      </c>
      <c r="H1255" s="64" t="str">
        <f t="shared" si="85"/>
        <v/>
      </c>
      <c r="I1255" s="63">
        <f>IF($G1255="",0,IF(COUNTIF($G$2:$G1255,$G1255)=1,1,0))</f>
        <v>0</v>
      </c>
      <c r="J1255" s="63" t="str">
        <f t="shared" si="86"/>
        <v/>
      </c>
      <c r="K1255" s="63" t="str">
        <f>IF($H1255="","",COUNTIF($H$2:$H1255,"?*"))</f>
        <v/>
      </c>
    </row>
    <row r="1256" spans="1:11" x14ac:dyDescent="0.25">
      <c r="A1256" s="63" t="s">
        <v>532</v>
      </c>
      <c r="B1256" s="63" t="s">
        <v>1349</v>
      </c>
      <c r="C1256" s="63" t="s">
        <v>1327</v>
      </c>
      <c r="D1256" s="63" t="str">
        <f>IF('Equipment by Location'!I33="","",TRIM('Equipment by Location'!I33))</f>
        <v/>
      </c>
      <c r="E1256" s="64" t="str">
        <f>IF($D1256="","",'Equipment by Location'!J33&amp;"")</f>
        <v/>
      </c>
      <c r="F1256" s="63">
        <f>IF($D1256="",0,IF(ISNUMBER('Equipment by Location'!K33),'Equipment by Location'!K33,1))</f>
        <v>0</v>
      </c>
      <c r="G1256" s="64" t="str">
        <f t="shared" si="84"/>
        <v/>
      </c>
      <c r="H1256" s="64" t="str">
        <f t="shared" si="85"/>
        <v/>
      </c>
      <c r="I1256" s="63">
        <f>IF($G1256="",0,IF(COUNTIF($G$2:$G1256,$G1256)=1,1,0))</f>
        <v>0</v>
      </c>
      <c r="J1256" s="63" t="str">
        <f t="shared" si="86"/>
        <v/>
      </c>
      <c r="K1256" s="63" t="str">
        <f>IF($H1256="","",COUNTIF($H$2:$H1256,"?*"))</f>
        <v/>
      </c>
    </row>
    <row r="1257" spans="1:11" x14ac:dyDescent="0.25">
      <c r="A1257" s="63" t="s">
        <v>532</v>
      </c>
      <c r="B1257" s="63" t="s">
        <v>1350</v>
      </c>
      <c r="C1257" s="63" t="s">
        <v>1327</v>
      </c>
      <c r="D1257" s="63" t="str">
        <f>IF('Equipment by Location'!I34="","",TRIM('Equipment by Location'!I34))</f>
        <v/>
      </c>
      <c r="E1257" s="64" t="str">
        <f>IF($D1257="","",'Equipment by Location'!J34&amp;"")</f>
        <v/>
      </c>
      <c r="F1257" s="63">
        <f>IF($D1257="",0,IF(ISNUMBER('Equipment by Location'!K34),'Equipment by Location'!K34,1))</f>
        <v>0</v>
      </c>
      <c r="G1257" s="64" t="str">
        <f t="shared" si="84"/>
        <v/>
      </c>
      <c r="H1257" s="64" t="str">
        <f t="shared" si="85"/>
        <v/>
      </c>
      <c r="I1257" s="63">
        <f>IF($G1257="",0,IF(COUNTIF($G$2:$G1257,$G1257)=1,1,0))</f>
        <v>0</v>
      </c>
      <c r="J1257" s="63" t="str">
        <f t="shared" si="86"/>
        <v/>
      </c>
      <c r="K1257" s="63" t="str">
        <f>IF($H1257="","",COUNTIF($H$2:$H1257,"?*"))</f>
        <v/>
      </c>
    </row>
    <row r="1258" spans="1:11" x14ac:dyDescent="0.25">
      <c r="A1258" s="63" t="s">
        <v>532</v>
      </c>
      <c r="B1258" s="63" t="s">
        <v>1351</v>
      </c>
      <c r="C1258" s="63" t="s">
        <v>1327</v>
      </c>
      <c r="D1258" s="63" t="str">
        <f>IF('Equipment by Location'!I35="","",TRIM('Equipment by Location'!I35))</f>
        <v/>
      </c>
      <c r="E1258" s="64" t="str">
        <f>IF($D1258="","",'Equipment by Location'!J35&amp;"")</f>
        <v/>
      </c>
      <c r="F1258" s="63">
        <f>IF($D1258="",0,IF(ISNUMBER('Equipment by Location'!K35),'Equipment by Location'!K35,1))</f>
        <v>0</v>
      </c>
      <c r="G1258" s="64" t="str">
        <f t="shared" si="84"/>
        <v/>
      </c>
      <c r="H1258" s="64" t="str">
        <f t="shared" si="85"/>
        <v/>
      </c>
      <c r="I1258" s="63">
        <f>IF($G1258="",0,IF(COUNTIF($G$2:$G1258,$G1258)=1,1,0))</f>
        <v>0</v>
      </c>
      <c r="J1258" s="63" t="str">
        <f t="shared" si="86"/>
        <v/>
      </c>
      <c r="K1258" s="63" t="str">
        <f>IF($H1258="","",COUNTIF($H$2:$H1258,"?*"))</f>
        <v/>
      </c>
    </row>
    <row r="1259" spans="1:11" x14ac:dyDescent="0.25">
      <c r="A1259" s="63" t="s">
        <v>532</v>
      </c>
      <c r="B1259" s="63" t="s">
        <v>1352</v>
      </c>
      <c r="C1259" s="63" t="s">
        <v>1327</v>
      </c>
      <c r="D1259" s="63" t="str">
        <f>IF('Equipment by Location'!I36="","",TRIM('Equipment by Location'!I36))</f>
        <v/>
      </c>
      <c r="E1259" s="64" t="str">
        <f>IF($D1259="","",'Equipment by Location'!J36&amp;"")</f>
        <v/>
      </c>
      <c r="F1259" s="63">
        <f>IF($D1259="",0,IF(ISNUMBER('Equipment by Location'!K36),'Equipment by Location'!K36,1))</f>
        <v>0</v>
      </c>
      <c r="G1259" s="64" t="str">
        <f t="shared" si="84"/>
        <v/>
      </c>
      <c r="H1259" s="64" t="str">
        <f t="shared" si="85"/>
        <v/>
      </c>
      <c r="I1259" s="63">
        <f>IF($G1259="",0,IF(COUNTIF($G$2:$G1259,$G1259)=1,1,0))</f>
        <v>0</v>
      </c>
      <c r="J1259" s="63" t="str">
        <f t="shared" si="86"/>
        <v/>
      </c>
      <c r="K1259" s="63" t="str">
        <f>IF($H1259="","",COUNTIF($H$2:$H1259,"?*"))</f>
        <v/>
      </c>
    </row>
    <row r="1260" spans="1:11" x14ac:dyDescent="0.25">
      <c r="A1260" s="63" t="s">
        <v>532</v>
      </c>
      <c r="B1260" s="63" t="s">
        <v>1353</v>
      </c>
      <c r="C1260" s="63" t="s">
        <v>1327</v>
      </c>
      <c r="D1260" s="63" t="str">
        <f>IF('Equipment by Location'!I37="","",TRIM('Equipment by Location'!I37))</f>
        <v/>
      </c>
      <c r="E1260" s="64" t="str">
        <f>IF($D1260="","",'Equipment by Location'!J37&amp;"")</f>
        <v/>
      </c>
      <c r="F1260" s="63">
        <f>IF($D1260="",0,IF(ISNUMBER('Equipment by Location'!K37),'Equipment by Location'!K37,1))</f>
        <v>0</v>
      </c>
      <c r="G1260" s="64" t="str">
        <f t="shared" si="84"/>
        <v/>
      </c>
      <c r="H1260" s="64" t="str">
        <f t="shared" si="85"/>
        <v/>
      </c>
      <c r="I1260" s="63">
        <f>IF($G1260="",0,IF(COUNTIF($G$2:$G1260,$G1260)=1,1,0))</f>
        <v>0</v>
      </c>
      <c r="J1260" s="63" t="str">
        <f t="shared" si="86"/>
        <v/>
      </c>
      <c r="K1260" s="63" t="str">
        <f>IF($H1260="","",COUNTIF($H$2:$H1260,"?*"))</f>
        <v/>
      </c>
    </row>
    <row r="1261" spans="1:11" x14ac:dyDescent="0.25">
      <c r="A1261" s="63" t="s">
        <v>532</v>
      </c>
      <c r="B1261" s="63" t="s">
        <v>1354</v>
      </c>
      <c r="C1261" s="63" t="s">
        <v>1327</v>
      </c>
      <c r="D1261" s="63" t="str">
        <f>IF('Equipment by Location'!I38="","",TRIM('Equipment by Location'!I38))</f>
        <v/>
      </c>
      <c r="E1261" s="64" t="str">
        <f>IF($D1261="","",'Equipment by Location'!J38&amp;"")</f>
        <v/>
      </c>
      <c r="F1261" s="63">
        <f>IF($D1261="",0,IF(ISNUMBER('Equipment by Location'!K38),'Equipment by Location'!K38,1))</f>
        <v>0</v>
      </c>
      <c r="G1261" s="64" t="str">
        <f t="shared" si="84"/>
        <v/>
      </c>
      <c r="H1261" s="64" t="str">
        <f t="shared" si="85"/>
        <v/>
      </c>
      <c r="I1261" s="63">
        <f>IF($G1261="",0,IF(COUNTIF($G$2:$G1261,$G1261)=1,1,0))</f>
        <v>0</v>
      </c>
      <c r="J1261" s="63" t="str">
        <f t="shared" si="86"/>
        <v/>
      </c>
      <c r="K1261" s="63" t="str">
        <f>IF($H1261="","",COUNTIF($H$2:$H1261,"?*"))</f>
        <v/>
      </c>
    </row>
    <row r="1262" spans="1:11" x14ac:dyDescent="0.25">
      <c r="A1262" s="63" t="s">
        <v>532</v>
      </c>
      <c r="B1262" s="63" t="s">
        <v>1355</v>
      </c>
      <c r="C1262" s="63" t="s">
        <v>1327</v>
      </c>
      <c r="D1262" s="63" t="str">
        <f>IF('Equipment by Location'!I39="","",TRIM('Equipment by Location'!I39))</f>
        <v/>
      </c>
      <c r="E1262" s="64" t="str">
        <f>IF($D1262="","",'Equipment by Location'!J39&amp;"")</f>
        <v/>
      </c>
      <c r="F1262" s="63">
        <f>IF($D1262="",0,IF(ISNUMBER('Equipment by Location'!K39),'Equipment by Location'!K39,1))</f>
        <v>0</v>
      </c>
      <c r="G1262" s="64" t="str">
        <f t="shared" si="84"/>
        <v/>
      </c>
      <c r="H1262" s="64" t="str">
        <f t="shared" si="85"/>
        <v/>
      </c>
      <c r="I1262" s="63">
        <f>IF($G1262="",0,IF(COUNTIF($G$2:$G1262,$G1262)=1,1,0))</f>
        <v>0</v>
      </c>
      <c r="J1262" s="63" t="str">
        <f t="shared" si="86"/>
        <v/>
      </c>
      <c r="K1262" s="63" t="str">
        <f>IF($H1262="","",COUNTIF($H$2:$H1262,"?*"))</f>
        <v/>
      </c>
    </row>
    <row r="1263" spans="1:11" x14ac:dyDescent="0.25">
      <c r="A1263" s="63" t="s">
        <v>532</v>
      </c>
      <c r="B1263" s="63" t="s">
        <v>1356</v>
      </c>
      <c r="C1263" s="63" t="s">
        <v>1327</v>
      </c>
      <c r="D1263" s="63" t="str">
        <f>IF('Equipment by Location'!I40="","",TRIM('Equipment by Location'!I40))</f>
        <v/>
      </c>
      <c r="E1263" s="64" t="str">
        <f>IF($D1263="","",'Equipment by Location'!J40&amp;"")</f>
        <v/>
      </c>
      <c r="F1263" s="63">
        <f>IF($D1263="",0,IF(ISNUMBER('Equipment by Location'!K40),'Equipment by Location'!K40,1))</f>
        <v>0</v>
      </c>
      <c r="G1263" s="64" t="str">
        <f t="shared" si="84"/>
        <v/>
      </c>
      <c r="H1263" s="64" t="str">
        <f t="shared" si="85"/>
        <v/>
      </c>
      <c r="I1263" s="63">
        <f>IF($G1263="",0,IF(COUNTIF($G$2:$G1263,$G1263)=1,1,0))</f>
        <v>0</v>
      </c>
      <c r="J1263" s="63" t="str">
        <f t="shared" si="86"/>
        <v/>
      </c>
      <c r="K1263" s="63" t="str">
        <f>IF($H1263="","",COUNTIF($H$2:$H1263,"?*"))</f>
        <v/>
      </c>
    </row>
    <row r="1264" spans="1:11" x14ac:dyDescent="0.25">
      <c r="A1264" s="63" t="s">
        <v>532</v>
      </c>
      <c r="B1264" s="63" t="s">
        <v>1357</v>
      </c>
      <c r="C1264" s="63" t="s">
        <v>1327</v>
      </c>
      <c r="D1264" s="63" t="str">
        <f>IF('Equipment by Location'!I41="","",TRIM('Equipment by Location'!I41))</f>
        <v/>
      </c>
      <c r="E1264" s="64" t="str">
        <f>IF($D1264="","",'Equipment by Location'!J41&amp;"")</f>
        <v/>
      </c>
      <c r="F1264" s="63">
        <f>IF($D1264="",0,IF(ISNUMBER('Equipment by Location'!K41),'Equipment by Location'!K41,1))</f>
        <v>0</v>
      </c>
      <c r="G1264" s="64" t="str">
        <f t="shared" si="84"/>
        <v/>
      </c>
      <c r="H1264" s="64" t="str">
        <f t="shared" si="85"/>
        <v/>
      </c>
      <c r="I1264" s="63">
        <f>IF($G1264="",0,IF(COUNTIF($G$2:$G1264,$G1264)=1,1,0))</f>
        <v>0</v>
      </c>
      <c r="J1264" s="63" t="str">
        <f t="shared" si="86"/>
        <v/>
      </c>
      <c r="K1264" s="63" t="str">
        <f>IF($H1264="","",COUNTIF($H$2:$H1264,"?*"))</f>
        <v/>
      </c>
    </row>
    <row r="1265" spans="1:11" x14ac:dyDescent="0.25">
      <c r="A1265" s="63" t="s">
        <v>532</v>
      </c>
      <c r="B1265" s="63" t="s">
        <v>1358</v>
      </c>
      <c r="C1265" s="63" t="s">
        <v>1327</v>
      </c>
      <c r="D1265" s="63" t="str">
        <f>IF('Equipment by Location'!I42="","",TRIM('Equipment by Location'!I42))</f>
        <v/>
      </c>
      <c r="E1265" s="64" t="str">
        <f>IF($D1265="","",'Equipment by Location'!J42&amp;"")</f>
        <v/>
      </c>
      <c r="F1265" s="63">
        <f>IF($D1265="",0,IF(ISNUMBER('Equipment by Location'!K42),'Equipment by Location'!K42,1))</f>
        <v>0</v>
      </c>
      <c r="G1265" s="64" t="str">
        <f t="shared" si="84"/>
        <v/>
      </c>
      <c r="H1265" s="64" t="str">
        <f t="shared" si="85"/>
        <v/>
      </c>
      <c r="I1265" s="63">
        <f>IF($G1265="",0,IF(COUNTIF($G$2:$G1265,$G1265)=1,1,0))</f>
        <v>0</v>
      </c>
      <c r="J1265" s="63" t="str">
        <f t="shared" si="86"/>
        <v/>
      </c>
      <c r="K1265" s="63" t="str">
        <f>IF($H1265="","",COUNTIF($H$2:$H1265,"?*"))</f>
        <v/>
      </c>
    </row>
    <row r="1266" spans="1:11" x14ac:dyDescent="0.25">
      <c r="A1266" s="63" t="s">
        <v>532</v>
      </c>
      <c r="B1266" s="63" t="s">
        <v>1359</v>
      </c>
      <c r="C1266" s="63" t="s">
        <v>1327</v>
      </c>
      <c r="D1266" s="63" t="str">
        <f>IF('Equipment by Location'!I43="","",TRIM('Equipment by Location'!I43))</f>
        <v/>
      </c>
      <c r="E1266" s="64" t="str">
        <f>IF($D1266="","",'Equipment by Location'!J43&amp;"")</f>
        <v/>
      </c>
      <c r="F1266" s="63">
        <f>IF($D1266="",0,IF(ISNUMBER('Equipment by Location'!K43),'Equipment by Location'!K43,1))</f>
        <v>0</v>
      </c>
      <c r="G1266" s="64" t="str">
        <f t="shared" si="84"/>
        <v/>
      </c>
      <c r="H1266" s="64" t="str">
        <f t="shared" si="85"/>
        <v/>
      </c>
      <c r="I1266" s="63">
        <f>IF($G1266="",0,IF(COUNTIF($G$2:$G1266,$G1266)=1,1,0))</f>
        <v>0</v>
      </c>
      <c r="J1266" s="63" t="str">
        <f t="shared" si="86"/>
        <v/>
      </c>
      <c r="K1266" s="63" t="str">
        <f>IF($H1266="","",COUNTIF($H$2:$H1266,"?*"))</f>
        <v/>
      </c>
    </row>
    <row r="1267" spans="1:11" x14ac:dyDescent="0.25">
      <c r="A1267" s="63" t="s">
        <v>532</v>
      </c>
      <c r="B1267" s="63" t="s">
        <v>1360</v>
      </c>
      <c r="C1267" s="63" t="s">
        <v>1327</v>
      </c>
      <c r="D1267" s="63" t="str">
        <f>IF('Equipment by Location'!I44="","",TRIM('Equipment by Location'!I44))</f>
        <v/>
      </c>
      <c r="E1267" s="64" t="str">
        <f>IF($D1267="","",'Equipment by Location'!J44&amp;"")</f>
        <v/>
      </c>
      <c r="F1267" s="63">
        <f>IF($D1267="",0,IF(ISNUMBER('Equipment by Location'!K44),'Equipment by Location'!K44,1))</f>
        <v>0</v>
      </c>
      <c r="G1267" s="64" t="str">
        <f t="shared" si="84"/>
        <v/>
      </c>
      <c r="H1267" s="64" t="str">
        <f t="shared" si="85"/>
        <v/>
      </c>
      <c r="I1267" s="63">
        <f>IF($G1267="",0,IF(COUNTIF($G$2:$G1267,$G1267)=1,1,0))</f>
        <v>0</v>
      </c>
      <c r="J1267" s="63" t="str">
        <f t="shared" si="86"/>
        <v/>
      </c>
      <c r="K1267" s="63" t="str">
        <f>IF($H1267="","",COUNTIF($H$2:$H1267,"?*"))</f>
        <v/>
      </c>
    </row>
    <row r="1268" spans="1:11" x14ac:dyDescent="0.25">
      <c r="A1268" s="63" t="s">
        <v>532</v>
      </c>
      <c r="B1268" s="63" t="s">
        <v>1361</v>
      </c>
      <c r="C1268" s="63" t="s">
        <v>1327</v>
      </c>
      <c r="D1268" s="63" t="str">
        <f>IF('Equipment by Location'!I45="","",TRIM('Equipment by Location'!I45))</f>
        <v/>
      </c>
      <c r="E1268" s="64" t="str">
        <f>IF($D1268="","",'Equipment by Location'!J45&amp;"")</f>
        <v/>
      </c>
      <c r="F1268" s="63">
        <f>IF($D1268="",0,IF(ISNUMBER('Equipment by Location'!K45),'Equipment by Location'!K45,1))</f>
        <v>0</v>
      </c>
      <c r="G1268" s="64" t="str">
        <f t="shared" si="84"/>
        <v/>
      </c>
      <c r="H1268" s="64" t="str">
        <f t="shared" si="85"/>
        <v/>
      </c>
      <c r="I1268" s="63">
        <f>IF($G1268="",0,IF(COUNTIF($G$2:$G1268,$G1268)=1,1,0))</f>
        <v>0</v>
      </c>
      <c r="J1268" s="63" t="str">
        <f t="shared" si="86"/>
        <v/>
      </c>
      <c r="K1268" s="63" t="str">
        <f>IF($H1268="","",COUNTIF($H$2:$H1268,"?*"))</f>
        <v/>
      </c>
    </row>
    <row r="1269" spans="1:11" x14ac:dyDescent="0.25">
      <c r="A1269" s="63" t="s">
        <v>532</v>
      </c>
      <c r="B1269" s="63" t="s">
        <v>1362</v>
      </c>
      <c r="C1269" s="63" t="s">
        <v>1327</v>
      </c>
      <c r="D1269" s="63" t="str">
        <f>IF('Equipment by Location'!I46="","",TRIM('Equipment by Location'!I46))</f>
        <v/>
      </c>
      <c r="E1269" s="64" t="str">
        <f>IF($D1269="","",'Equipment by Location'!J46&amp;"")</f>
        <v/>
      </c>
      <c r="F1269" s="63">
        <f>IF($D1269="",0,IF(ISNUMBER('Equipment by Location'!K46),'Equipment by Location'!K46,1))</f>
        <v>0</v>
      </c>
      <c r="G1269" s="64" t="str">
        <f t="shared" si="84"/>
        <v/>
      </c>
      <c r="H1269" s="64" t="str">
        <f t="shared" si="85"/>
        <v/>
      </c>
      <c r="I1269" s="63">
        <f>IF($G1269="",0,IF(COUNTIF($G$2:$G1269,$G1269)=1,1,0))</f>
        <v>0</v>
      </c>
      <c r="J1269" s="63" t="str">
        <f t="shared" si="86"/>
        <v/>
      </c>
      <c r="K1269" s="63" t="str">
        <f>IF($H1269="","",COUNTIF($H$2:$H1269,"?*"))</f>
        <v/>
      </c>
    </row>
    <row r="1270" spans="1:11" x14ac:dyDescent="0.25">
      <c r="A1270" s="63" t="s">
        <v>532</v>
      </c>
      <c r="B1270" s="63" t="s">
        <v>1363</v>
      </c>
      <c r="C1270" s="63" t="s">
        <v>1327</v>
      </c>
      <c r="D1270" s="63" t="str">
        <f>IF('Equipment by Location'!I47="","",TRIM('Equipment by Location'!I47))</f>
        <v/>
      </c>
      <c r="E1270" s="64" t="str">
        <f>IF($D1270="","",'Equipment by Location'!J47&amp;"")</f>
        <v/>
      </c>
      <c r="F1270" s="63">
        <f>IF($D1270="",0,IF(ISNUMBER('Equipment by Location'!K47),'Equipment by Location'!K47,1))</f>
        <v>0</v>
      </c>
      <c r="G1270" s="64" t="str">
        <f t="shared" si="84"/>
        <v/>
      </c>
      <c r="H1270" s="64" t="str">
        <f t="shared" si="85"/>
        <v/>
      </c>
      <c r="I1270" s="63">
        <f>IF($G1270="",0,IF(COUNTIF($G$2:$G1270,$G1270)=1,1,0))</f>
        <v>0</v>
      </c>
      <c r="J1270" s="63" t="str">
        <f t="shared" si="86"/>
        <v/>
      </c>
      <c r="K1270" s="63" t="str">
        <f>IF($H1270="","",COUNTIF($H$2:$H1270,"?*"))</f>
        <v/>
      </c>
    </row>
    <row r="1271" spans="1:11" x14ac:dyDescent="0.25">
      <c r="A1271" s="63" t="s">
        <v>532</v>
      </c>
      <c r="B1271" s="63" t="s">
        <v>1364</v>
      </c>
      <c r="C1271" s="63" t="s">
        <v>1327</v>
      </c>
      <c r="D1271" s="63" t="str">
        <f>IF('Equipment by Location'!I48="","",TRIM('Equipment by Location'!I48))</f>
        <v/>
      </c>
      <c r="E1271" s="64" t="str">
        <f>IF($D1271="","",'Equipment by Location'!J48&amp;"")</f>
        <v/>
      </c>
      <c r="F1271" s="63">
        <f>IF($D1271="",0,IF(ISNUMBER('Equipment by Location'!K48),'Equipment by Location'!K48,1))</f>
        <v>0</v>
      </c>
      <c r="G1271" s="64" t="str">
        <f t="shared" si="84"/>
        <v/>
      </c>
      <c r="H1271" s="64" t="str">
        <f t="shared" si="85"/>
        <v/>
      </c>
      <c r="I1271" s="63">
        <f>IF($G1271="",0,IF(COUNTIF($G$2:$G1271,$G1271)=1,1,0))</f>
        <v>0</v>
      </c>
      <c r="J1271" s="63" t="str">
        <f t="shared" si="86"/>
        <v/>
      </c>
      <c r="K1271" s="63" t="str">
        <f>IF($H1271="","",COUNTIF($H$2:$H1271,"?*"))</f>
        <v/>
      </c>
    </row>
    <row r="1272" spans="1:11" x14ac:dyDescent="0.25">
      <c r="A1272" s="63" t="s">
        <v>532</v>
      </c>
      <c r="B1272" s="63" t="s">
        <v>1365</v>
      </c>
      <c r="C1272" s="63" t="s">
        <v>1327</v>
      </c>
      <c r="D1272" s="63" t="str">
        <f>IF('Equipment by Location'!I49="","",TRIM('Equipment by Location'!I49))</f>
        <v/>
      </c>
      <c r="E1272" s="64" t="str">
        <f>IF($D1272="","",'Equipment by Location'!J49&amp;"")</f>
        <v/>
      </c>
      <c r="F1272" s="63">
        <f>IF($D1272="",0,IF(ISNUMBER('Equipment by Location'!K49),'Equipment by Location'!K49,1))</f>
        <v>0</v>
      </c>
      <c r="G1272" s="64" t="str">
        <f t="shared" si="84"/>
        <v/>
      </c>
      <c r="H1272" s="64" t="str">
        <f t="shared" si="85"/>
        <v/>
      </c>
      <c r="I1272" s="63">
        <f>IF($G1272="",0,IF(COUNTIF($G$2:$G1272,$G1272)=1,1,0))</f>
        <v>0</v>
      </c>
      <c r="J1272" s="63" t="str">
        <f t="shared" si="86"/>
        <v/>
      </c>
      <c r="K1272" s="63" t="str">
        <f>IF($H1272="","",COUNTIF($H$2:$H1272,"?*"))</f>
        <v/>
      </c>
    </row>
    <row r="1273" spans="1:11" x14ac:dyDescent="0.25">
      <c r="A1273" s="63" t="s">
        <v>532</v>
      </c>
      <c r="B1273" s="63" t="s">
        <v>1366</v>
      </c>
      <c r="C1273" s="63" t="s">
        <v>1327</v>
      </c>
      <c r="D1273" s="63" t="str">
        <f>IF('Equipment by Location'!I50="","",TRIM('Equipment by Location'!I50))</f>
        <v/>
      </c>
      <c r="E1273" s="64" t="str">
        <f>IF($D1273="","",'Equipment by Location'!J50&amp;"")</f>
        <v/>
      </c>
      <c r="F1273" s="63">
        <f>IF($D1273="",0,IF(ISNUMBER('Equipment by Location'!K50),'Equipment by Location'!K50,1))</f>
        <v>0</v>
      </c>
      <c r="G1273" s="64" t="str">
        <f t="shared" si="84"/>
        <v/>
      </c>
      <c r="H1273" s="64" t="str">
        <f t="shared" si="85"/>
        <v/>
      </c>
      <c r="I1273" s="63">
        <f>IF($G1273="",0,IF(COUNTIF($G$2:$G1273,$G1273)=1,1,0))</f>
        <v>0</v>
      </c>
      <c r="J1273" s="63" t="str">
        <f t="shared" si="86"/>
        <v/>
      </c>
      <c r="K1273" s="63" t="str">
        <f>IF($H1273="","",COUNTIF($H$2:$H1273,"?*"))</f>
        <v/>
      </c>
    </row>
    <row r="1274" spans="1:11" x14ac:dyDescent="0.25">
      <c r="A1274" s="63" t="s">
        <v>533</v>
      </c>
      <c r="B1274" s="63" t="s">
        <v>1326</v>
      </c>
      <c r="C1274" s="63" t="s">
        <v>1327</v>
      </c>
      <c r="D1274" s="63" t="str">
        <f>IF('Equipment by Location'!M11="","",TRIM('Equipment by Location'!M11))</f>
        <v>Fetco GR2.3</v>
      </c>
      <c r="E1274" s="64" t="str">
        <f>IF($D1274="","",'Equipment by Location'!N11&amp;"")</f>
        <v>740113153011</v>
      </c>
      <c r="F1274" s="65">
        <f>IF($D1274="",0,IF(ISNUMBER('Equipment by Location'!O11),'Equipment by Location'!O11,1))</f>
        <v>1</v>
      </c>
      <c r="G1274" s="64" t="str">
        <f t="shared" si="84"/>
        <v>Fetco GR2.3</v>
      </c>
      <c r="H1274" s="64" t="str">
        <f t="shared" si="85"/>
        <v/>
      </c>
      <c r="I1274" s="63">
        <f>IF($G1274="",0,IF(COUNTIF($G$2:$G1274,$G1274)=1,1,0))</f>
        <v>0</v>
      </c>
      <c r="J1274" s="63" t="str">
        <f t="shared" si="86"/>
        <v/>
      </c>
      <c r="K1274" s="63" t="str">
        <f>IF($H1274="","",COUNTIF($H$2:$H1274,"?*"))</f>
        <v/>
      </c>
    </row>
    <row r="1275" spans="1:11" x14ac:dyDescent="0.25">
      <c r="A1275" s="63" t="s">
        <v>533</v>
      </c>
      <c r="B1275" s="63" t="s">
        <v>1328</v>
      </c>
      <c r="C1275" s="63" t="s">
        <v>1327</v>
      </c>
      <c r="D1275" s="63" t="str">
        <f>IF('Equipment by Location'!M12="","",TRIM('Equipment by Location'!M12))</f>
        <v>Fetco 2051e</v>
      </c>
      <c r="E1275" s="64" t="str">
        <f>IF($D1275="","",'Equipment by Location'!N12&amp;"")</f>
        <v>470148071861</v>
      </c>
      <c r="F1275" s="65">
        <f>IF($D1275="",0,IF(ISNUMBER('Equipment by Location'!O12),'Equipment by Location'!O12,1))</f>
        <v>1</v>
      </c>
      <c r="G1275" s="64" t="str">
        <f t="shared" si="84"/>
        <v>Fetco 2051e</v>
      </c>
      <c r="H1275" s="64" t="str">
        <f t="shared" si="85"/>
        <v/>
      </c>
      <c r="I1275" s="63">
        <f>IF($G1275="",0,IF(COUNTIF($G$2:$G1275,$G1275)=1,1,0))</f>
        <v>0</v>
      </c>
      <c r="J1275" s="63" t="str">
        <f t="shared" si="86"/>
        <v/>
      </c>
      <c r="K1275" s="63" t="str">
        <f>IF($H1275="","",COUNTIF($H$2:$H1275,"?*"))</f>
        <v/>
      </c>
    </row>
    <row r="1276" spans="1:11" x14ac:dyDescent="0.25">
      <c r="A1276" s="63" t="s">
        <v>533</v>
      </c>
      <c r="B1276" s="63" t="s">
        <v>1329</v>
      </c>
      <c r="C1276" s="63" t="s">
        <v>1327</v>
      </c>
      <c r="D1276" s="63" t="str">
        <f>IF('Equipment by Location'!M13="","",TRIM('Equipment by Location'!M13))</f>
        <v>Bunn Sure Immersion 220</v>
      </c>
      <c r="E1276" s="64" t="str">
        <f>IF($D1276="","",'Equipment by Location'!N13&amp;"")</f>
        <v>B2C0004800</v>
      </c>
      <c r="F1276" s="65">
        <f>IF($D1276="",0,IF(ISNUMBER('Equipment by Location'!O13),'Equipment by Location'!O13,1))</f>
        <v>1</v>
      </c>
      <c r="G1276" s="64" t="str">
        <f t="shared" si="84"/>
        <v>Bunn Sure Immersion 220</v>
      </c>
      <c r="H1276" s="64" t="str">
        <f t="shared" si="85"/>
        <v/>
      </c>
      <c r="I1276" s="63">
        <f>IF($G1276="",0,IF(COUNTIF($G$2:$G1276,$G1276)=1,1,0))</f>
        <v>1</v>
      </c>
      <c r="J1276" s="63">
        <f t="shared" si="86"/>
        <v>29</v>
      </c>
      <c r="K1276" s="63" t="str">
        <f>IF($H1276="","",COUNTIF($H$2:$H1276,"?*"))</f>
        <v/>
      </c>
    </row>
    <row r="1277" spans="1:11" x14ac:dyDescent="0.25">
      <c r="A1277" s="63" t="s">
        <v>533</v>
      </c>
      <c r="B1277" s="63" t="s">
        <v>1330</v>
      </c>
      <c r="C1277" s="63" t="s">
        <v>1327</v>
      </c>
      <c r="D1277" s="63" t="str">
        <f>IF('Equipment by Location'!M14="","",TRIM('Equipment by Location'!M14))</f>
        <v>Bunn ITCB NS</v>
      </c>
      <c r="E1277" s="64" t="str">
        <f>IF($D1277="","",'Equipment by Location'!N14&amp;"")</f>
        <v>ITCB1736001</v>
      </c>
      <c r="F1277" s="65">
        <f>IF($D1277="",0,IF(ISNUMBER('Equipment by Location'!O14),'Equipment by Location'!O14,1))</f>
        <v>1</v>
      </c>
      <c r="G1277" s="64" t="str">
        <f t="shared" si="84"/>
        <v>Bunn ITCB NS</v>
      </c>
      <c r="H1277" s="64" t="str">
        <f t="shared" si="85"/>
        <v/>
      </c>
      <c r="I1277" s="63">
        <f>IF($G1277="",0,IF(COUNTIF($G$2:$G1277,$G1277)=1,1,0))</f>
        <v>0</v>
      </c>
      <c r="J1277" s="63" t="str">
        <f t="shared" si="86"/>
        <v/>
      </c>
      <c r="K1277" s="63" t="str">
        <f>IF($H1277="","",COUNTIF($H$2:$H1277,"?*"))</f>
        <v/>
      </c>
    </row>
    <row r="1278" spans="1:11" x14ac:dyDescent="0.25">
      <c r="A1278" s="63" t="s">
        <v>533</v>
      </c>
      <c r="B1278" s="63" t="s">
        <v>1331</v>
      </c>
      <c r="C1278" s="63" t="s">
        <v>1327</v>
      </c>
      <c r="D1278" s="63" t="str">
        <f>IF('Equipment by Location'!M15="","",TRIM('Equipment by Location'!M15))</f>
        <v>Bunn G9-2T</v>
      </c>
      <c r="E1278" s="64" t="str">
        <f>IF($D1278="","",'Equipment by Location'!N15&amp;"")</f>
        <v>N/A</v>
      </c>
      <c r="F1278" s="65">
        <f>IF($D1278="",0,IF(ISNUMBER('Equipment by Location'!O15),'Equipment by Location'!O15,1))</f>
        <v>1</v>
      </c>
      <c r="G1278" s="64" t="str">
        <f t="shared" si="84"/>
        <v>Bunn G9-2T</v>
      </c>
      <c r="H1278" s="64" t="str">
        <f t="shared" si="85"/>
        <v/>
      </c>
      <c r="I1278" s="63">
        <f>IF($G1278="",0,IF(COUNTIF($G$2:$G1278,$G1278)=1,1,0))</f>
        <v>0</v>
      </c>
      <c r="J1278" s="63" t="str">
        <f t="shared" si="86"/>
        <v/>
      </c>
      <c r="K1278" s="63" t="str">
        <f>IF($H1278="","",COUNTIF($H$2:$H1278,"?*"))</f>
        <v/>
      </c>
    </row>
    <row r="1279" spans="1:11" x14ac:dyDescent="0.25">
      <c r="A1279" s="63" t="s">
        <v>533</v>
      </c>
      <c r="B1279" s="63" t="s">
        <v>1332</v>
      </c>
      <c r="C1279" s="63" t="s">
        <v>1327</v>
      </c>
      <c r="D1279" s="63" t="str">
        <f>IF('Equipment by Location'!M16="","",TRIM('Equipment by Location'!M16))</f>
        <v>Mazzer Kony Doser</v>
      </c>
      <c r="E1279" s="64" t="str">
        <f>IF($D1279="","",'Equipment by Location'!N16&amp;"")</f>
        <v>0924004</v>
      </c>
      <c r="F1279" s="65">
        <f>IF($D1279="",0,IF(ISNUMBER('Equipment by Location'!O16),'Equipment by Location'!O16,1))</f>
        <v>1</v>
      </c>
      <c r="G1279" s="64" t="str">
        <f t="shared" si="84"/>
        <v>Mazzer Kony Doser</v>
      </c>
      <c r="H1279" s="64" t="str">
        <f t="shared" si="85"/>
        <v/>
      </c>
      <c r="I1279" s="63">
        <f>IF($G1279="",0,IF(COUNTIF($G$2:$G1279,$G1279)=1,1,0))</f>
        <v>1</v>
      </c>
      <c r="J1279" s="63">
        <f t="shared" si="86"/>
        <v>75</v>
      </c>
      <c r="K1279" s="63" t="str">
        <f>IF($H1279="","",COUNTIF($H$2:$H1279,"?*"))</f>
        <v/>
      </c>
    </row>
    <row r="1280" spans="1:11" x14ac:dyDescent="0.25">
      <c r="A1280" s="63" t="s">
        <v>533</v>
      </c>
      <c r="B1280" s="63" t="s">
        <v>1333</v>
      </c>
      <c r="C1280" s="63" t="s">
        <v>1327</v>
      </c>
      <c r="D1280" s="63" t="str">
        <f>IF('Equipment by Location'!M17="","",TRIM('Equipment by Location'!M17))</f>
        <v>Faema E61 Legend S/2</v>
      </c>
      <c r="E1280" s="64" t="str">
        <f>IF($D1280="","",'Equipment by Location'!N17&amp;"")</f>
        <v>1171694</v>
      </c>
      <c r="F1280" s="65">
        <f>IF($D1280="",0,IF(ISNUMBER('Equipment by Location'!O17),'Equipment by Location'!O17,1))</f>
        <v>1</v>
      </c>
      <c r="G1280" s="64" t="str">
        <f t="shared" si="84"/>
        <v>Faema E61 Legend S/2</v>
      </c>
      <c r="H1280" s="64" t="str">
        <f t="shared" si="85"/>
        <v/>
      </c>
      <c r="I1280" s="63">
        <f>IF($G1280="",0,IF(COUNTIF($G$2:$G1280,$G1280)=1,1,0))</f>
        <v>1</v>
      </c>
      <c r="J1280" s="63">
        <f t="shared" si="86"/>
        <v>47</v>
      </c>
      <c r="K1280" s="63" t="str">
        <f>IF($H1280="","",COUNTIF($H$2:$H1280,"?*"))</f>
        <v/>
      </c>
    </row>
    <row r="1281" spans="1:11" x14ac:dyDescent="0.25">
      <c r="A1281" s="63" t="s">
        <v>533</v>
      </c>
      <c r="B1281" s="63" t="s">
        <v>1334</v>
      </c>
      <c r="C1281" s="63" t="s">
        <v>1327</v>
      </c>
      <c r="D1281" s="63" t="str">
        <f>IF('Equipment by Location'!M18="","",TRIM('Equipment by Location'!M18))</f>
        <v>La Marzocco Swift Grinder</v>
      </c>
      <c r="E1281" s="64" t="str">
        <f>IF($D1281="","",'Equipment by Location'!N18&amp;"")</f>
        <v>4533-1</v>
      </c>
      <c r="F1281" s="65">
        <f>IF($D1281="",0,IF(ISNUMBER('Equipment by Location'!O18),'Equipment by Location'!O18,1))</f>
        <v>1</v>
      </c>
      <c r="G1281" s="64" t="str">
        <f t="shared" si="84"/>
        <v>La Marzocco Swift Grinder</v>
      </c>
      <c r="H1281" s="64" t="str">
        <f t="shared" si="85"/>
        <v/>
      </c>
      <c r="I1281" s="63">
        <f>IF($G1281="",0,IF(COUNTIF($G$2:$G1281,$G1281)=1,1,0))</f>
        <v>0</v>
      </c>
      <c r="J1281" s="63" t="str">
        <f t="shared" si="86"/>
        <v/>
      </c>
      <c r="K1281" s="63" t="str">
        <f>IF($H1281="","",COUNTIF($H$2:$H1281,"?*"))</f>
        <v/>
      </c>
    </row>
    <row r="1282" spans="1:11" x14ac:dyDescent="0.25">
      <c r="A1282" s="63" t="s">
        <v>533</v>
      </c>
      <c r="B1282" s="63" t="s">
        <v>1335</v>
      </c>
      <c r="C1282" s="63" t="s">
        <v>1327</v>
      </c>
      <c r="D1282" s="63" t="str">
        <f>IF('Equipment by Location'!M19="","",TRIM('Equipment by Location'!M19))</f>
        <v>Eversys Cameo c'2s</v>
      </c>
      <c r="E1282" s="64" t="str">
        <f>IF($D1282="","",'Equipment by Location'!N19&amp;"")</f>
        <v>1912045</v>
      </c>
      <c r="F1282" s="65">
        <f>IF($D1282="",0,IF(ISNUMBER('Equipment by Location'!O19),'Equipment by Location'!O19,1))</f>
        <v>1</v>
      </c>
      <c r="G1282" s="64" t="str">
        <f t="shared" ref="G1282:G1345" si="87">IF($D1282="","",IF(ISNUMBER(FIND("(",$D1282)),TRIM(LEFT($D1282,FIND("(",$D1282)-1)),$D1282))</f>
        <v>Eversys Cameo c'2s</v>
      </c>
      <c r="H1282" s="64" t="str">
        <f t="shared" ref="H1282:H1345" si="88">IF($D1282="","",IF(ISNUMBER(FIND("(",$D1282)),TRIM(SUBSTITUTE(MID($D1282,FIND("(",$D1282)+1,200),")","")),""))</f>
        <v/>
      </c>
      <c r="I1282" s="63">
        <f>IF($G1282="",0,IF(COUNTIF($G$2:$G1282,$G1282)=1,1,0))</f>
        <v>0</v>
      </c>
      <c r="J1282" s="63" t="str">
        <f t="shared" ref="J1282:J1345" si="89">IF($I1282=0,"",SUMPRODUCT(($I$2:$I$1513=1)*($G$2:$G$1513&lt;$G1282))+1)</f>
        <v/>
      </c>
      <c r="K1282" s="63" t="str">
        <f>IF($H1282="","",COUNTIF($H$2:$H1282,"?*"))</f>
        <v/>
      </c>
    </row>
    <row r="1283" spans="1:11" x14ac:dyDescent="0.25">
      <c r="A1283" s="63" t="s">
        <v>533</v>
      </c>
      <c r="B1283" s="63" t="s">
        <v>1336</v>
      </c>
      <c r="C1283" s="63" t="s">
        <v>1327</v>
      </c>
      <c r="D1283" s="63" t="str">
        <f>IF('Equipment by Location'!M20="","",TRIM('Equipment by Location'!M20))</f>
        <v>Frosty Factory 217A</v>
      </c>
      <c r="E1283" s="64" t="str">
        <f>IF($D1283="","",'Equipment by Location'!N20&amp;"")</f>
        <v>33713</v>
      </c>
      <c r="F1283" s="65">
        <f>IF($D1283="",0,IF(ISNUMBER('Equipment by Location'!O20),'Equipment by Location'!O20,1))</f>
        <v>1</v>
      </c>
      <c r="G1283" s="64" t="str">
        <f t="shared" si="87"/>
        <v>Frosty Factory 217A</v>
      </c>
      <c r="H1283" s="64" t="str">
        <f t="shared" si="88"/>
        <v/>
      </c>
      <c r="I1283" s="63">
        <f>IF($G1283="",0,IF(COUNTIF($G$2:$G1283,$G1283)=1,1,0))</f>
        <v>1</v>
      </c>
      <c r="J1283" s="63">
        <f t="shared" si="89"/>
        <v>66</v>
      </c>
      <c r="K1283" s="63" t="str">
        <f>IF($H1283="","",COUNTIF($H$2:$H1283,"?*"))</f>
        <v/>
      </c>
    </row>
    <row r="1284" spans="1:11" x14ac:dyDescent="0.25">
      <c r="A1284" s="63" t="s">
        <v>533</v>
      </c>
      <c r="B1284" s="63" t="s">
        <v>1337</v>
      </c>
      <c r="C1284" s="63" t="s">
        <v>1327</v>
      </c>
      <c r="D1284" s="63" t="str">
        <f>IF('Equipment by Location'!M21="","",TRIM('Equipment by Location'!M21))</f>
        <v>Eversys e'4s</v>
      </c>
      <c r="E1284" s="64" t="str">
        <f>IF($D1284="","",'Equipment by Location'!N21&amp;"")</f>
        <v>011700026065E0011</v>
      </c>
      <c r="F1284" s="65">
        <f>IF($D1284="",0,IF(ISNUMBER('Equipment by Location'!O21),'Equipment by Location'!O21,1))</f>
        <v>1</v>
      </c>
      <c r="G1284" s="64" t="str">
        <f t="shared" si="87"/>
        <v>Eversys e'4s</v>
      </c>
      <c r="H1284" s="64" t="str">
        <f t="shared" si="88"/>
        <v/>
      </c>
      <c r="I1284" s="63">
        <f>IF($G1284="",0,IF(COUNTIF($G$2:$G1284,$G1284)=1,1,0))</f>
        <v>0</v>
      </c>
      <c r="J1284" s="63" t="str">
        <f t="shared" si="89"/>
        <v/>
      </c>
      <c r="K1284" s="63" t="str">
        <f>IF($H1284="","",COUNTIF($H$2:$H1284,"?*"))</f>
        <v/>
      </c>
    </row>
    <row r="1285" spans="1:11" x14ac:dyDescent="0.25">
      <c r="A1285" s="63" t="s">
        <v>533</v>
      </c>
      <c r="B1285" s="63" t="s">
        <v>1338</v>
      </c>
      <c r="C1285" s="63" t="s">
        <v>1327</v>
      </c>
      <c r="D1285" s="63" t="str">
        <f>IF('Equipment by Location'!M22="","",TRIM('Equipment by Location'!M22))</f>
        <v>Mazzer Super Jolly V Up Timer</v>
      </c>
      <c r="E1285" s="64" t="str">
        <f>IF($D1285="","",'Equipment by Location'!N22&amp;"")</f>
        <v>2403738</v>
      </c>
      <c r="F1285" s="65">
        <f>IF($D1285="",0,IF(ISNUMBER('Equipment by Location'!O22),'Equipment by Location'!O22,1))</f>
        <v>1</v>
      </c>
      <c r="G1285" s="64" t="str">
        <f t="shared" si="87"/>
        <v>Mazzer Super Jolly V Up Timer</v>
      </c>
      <c r="H1285" s="64" t="str">
        <f t="shared" si="88"/>
        <v/>
      </c>
      <c r="I1285" s="63">
        <f>IF($G1285="",0,IF(COUNTIF($G$2:$G1285,$G1285)=1,1,0))</f>
        <v>0</v>
      </c>
      <c r="J1285" s="63" t="str">
        <f t="shared" si="89"/>
        <v/>
      </c>
      <c r="K1285" s="63" t="str">
        <f>IF($H1285="","",COUNTIF($H$2:$H1285,"?*"))</f>
        <v/>
      </c>
    </row>
    <row r="1286" spans="1:11" x14ac:dyDescent="0.25">
      <c r="A1286" s="63" t="s">
        <v>533</v>
      </c>
      <c r="B1286" s="63" t="s">
        <v>1339</v>
      </c>
      <c r="C1286" s="63" t="s">
        <v>1327</v>
      </c>
      <c r="D1286" s="63" t="str">
        <f>IF('Equipment by Location'!M23="","",TRIM('Equipment by Location'!M23))</f>
        <v>Fetco MBS-1251</v>
      </c>
      <c r="E1286" s="64" t="str">
        <f>IF($D1286="","",'Equipment by Location'!N23&amp;"")</f>
        <v>125111A1172261546</v>
      </c>
      <c r="F1286" s="65">
        <f>IF($D1286="",0,IF(ISNUMBER('Equipment by Location'!O23),'Equipment by Location'!O23,1))</f>
        <v>1</v>
      </c>
      <c r="G1286" s="64" t="str">
        <f t="shared" si="87"/>
        <v>Fetco MBS-1251</v>
      </c>
      <c r="H1286" s="64" t="str">
        <f t="shared" si="88"/>
        <v/>
      </c>
      <c r="I1286" s="63">
        <f>IF($G1286="",0,IF(COUNTIF($G$2:$G1286,$G1286)=1,1,0))</f>
        <v>1</v>
      </c>
      <c r="J1286" s="63">
        <f t="shared" si="89"/>
        <v>64</v>
      </c>
      <c r="K1286" s="63" t="str">
        <f>IF($H1286="","",COUNTIF($H$2:$H1286,"?*"))</f>
        <v/>
      </c>
    </row>
    <row r="1287" spans="1:11" x14ac:dyDescent="0.25">
      <c r="A1287" s="63" t="s">
        <v>533</v>
      </c>
      <c r="B1287" s="63" t="s">
        <v>1340</v>
      </c>
      <c r="C1287" s="63" t="s">
        <v>1327</v>
      </c>
      <c r="D1287" s="63" t="str">
        <f>IF('Equipment by Location'!M24="","",TRIM('Equipment by Location'!M24))</f>
        <v>Bunn Nitron</v>
      </c>
      <c r="E1287" s="64" t="str">
        <f>IF($D1287="","",'Equipment by Location'!N24&amp;"")</f>
        <v>N2GM012751 / CLDD021918</v>
      </c>
      <c r="F1287" s="65">
        <f>IF($D1287="",0,IF(ISNUMBER('Equipment by Location'!O24),'Equipment by Location'!O24,1))</f>
        <v>1</v>
      </c>
      <c r="G1287" s="64" t="str">
        <f t="shared" si="87"/>
        <v>Bunn Nitron</v>
      </c>
      <c r="H1287" s="64" t="str">
        <f t="shared" si="88"/>
        <v/>
      </c>
      <c r="I1287" s="63">
        <f>IF($G1287="",0,IF(COUNTIF($G$2:$G1287,$G1287)=1,1,0))</f>
        <v>1</v>
      </c>
      <c r="J1287" s="63">
        <f t="shared" si="89"/>
        <v>28</v>
      </c>
      <c r="K1287" s="63" t="str">
        <f>IF($H1287="","",COUNTIF($H$2:$H1287,"?*"))</f>
        <v/>
      </c>
    </row>
    <row r="1288" spans="1:11" x14ac:dyDescent="0.25">
      <c r="A1288" s="63" t="s">
        <v>533</v>
      </c>
      <c r="B1288" s="63" t="s">
        <v>1341</v>
      </c>
      <c r="C1288" s="63" t="s">
        <v>1327</v>
      </c>
      <c r="D1288" s="63" t="str">
        <f>IF('Equipment by Location'!M25="","",TRIM('Equipment by Location'!M25))</f>
        <v/>
      </c>
      <c r="E1288" s="64" t="str">
        <f>IF($D1288="","",'Equipment by Location'!N25&amp;"")</f>
        <v/>
      </c>
      <c r="F1288" s="63">
        <f>IF($D1288="",0,IF(ISNUMBER('Equipment by Location'!O25),'Equipment by Location'!O25,1))</f>
        <v>0</v>
      </c>
      <c r="G1288" s="64" t="str">
        <f t="shared" si="87"/>
        <v/>
      </c>
      <c r="H1288" s="64" t="str">
        <f t="shared" si="88"/>
        <v/>
      </c>
      <c r="I1288" s="63">
        <f>IF($G1288="",0,IF(COUNTIF($G$2:$G1288,$G1288)=1,1,0))</f>
        <v>0</v>
      </c>
      <c r="J1288" s="63" t="str">
        <f t="shared" si="89"/>
        <v/>
      </c>
      <c r="K1288" s="63" t="str">
        <f>IF($H1288="","",COUNTIF($H$2:$H1288,"?*"))</f>
        <v/>
      </c>
    </row>
    <row r="1289" spans="1:11" x14ac:dyDescent="0.25">
      <c r="A1289" s="63" t="s">
        <v>533</v>
      </c>
      <c r="B1289" s="63" t="s">
        <v>1342</v>
      </c>
      <c r="C1289" s="63" t="s">
        <v>1327</v>
      </c>
      <c r="D1289" s="63" t="str">
        <f>IF('Equipment by Location'!M26="","",TRIM('Equipment by Location'!M26))</f>
        <v/>
      </c>
      <c r="E1289" s="64" t="str">
        <f>IF($D1289="","",'Equipment by Location'!N26&amp;"")</f>
        <v/>
      </c>
      <c r="F1289" s="63">
        <f>IF($D1289="",0,IF(ISNUMBER('Equipment by Location'!O26),'Equipment by Location'!O26,1))</f>
        <v>0</v>
      </c>
      <c r="G1289" s="64" t="str">
        <f t="shared" si="87"/>
        <v/>
      </c>
      <c r="H1289" s="64" t="str">
        <f t="shared" si="88"/>
        <v/>
      </c>
      <c r="I1289" s="63">
        <f>IF($G1289="",0,IF(COUNTIF($G$2:$G1289,$G1289)=1,1,0))</f>
        <v>0</v>
      </c>
      <c r="J1289" s="63" t="str">
        <f t="shared" si="89"/>
        <v/>
      </c>
      <c r="K1289" s="63" t="str">
        <f>IF($H1289="","",COUNTIF($H$2:$H1289,"?*"))</f>
        <v/>
      </c>
    </row>
    <row r="1290" spans="1:11" x14ac:dyDescent="0.25">
      <c r="A1290" s="63" t="s">
        <v>533</v>
      </c>
      <c r="B1290" s="63" t="s">
        <v>1343</v>
      </c>
      <c r="C1290" s="63" t="s">
        <v>1327</v>
      </c>
      <c r="D1290" s="63" t="str">
        <f>IF('Equipment by Location'!M27="","",TRIM('Equipment by Location'!M27))</f>
        <v/>
      </c>
      <c r="E1290" s="64" t="str">
        <f>IF($D1290="","",'Equipment by Location'!N27&amp;"")</f>
        <v/>
      </c>
      <c r="F1290" s="63">
        <f>IF($D1290="",0,IF(ISNUMBER('Equipment by Location'!O27),'Equipment by Location'!O27,1))</f>
        <v>0</v>
      </c>
      <c r="G1290" s="64" t="str">
        <f t="shared" si="87"/>
        <v/>
      </c>
      <c r="H1290" s="64" t="str">
        <f t="shared" si="88"/>
        <v/>
      </c>
      <c r="I1290" s="63">
        <f>IF($G1290="",0,IF(COUNTIF($G$2:$G1290,$G1290)=1,1,0))</f>
        <v>0</v>
      </c>
      <c r="J1290" s="63" t="str">
        <f t="shared" si="89"/>
        <v/>
      </c>
      <c r="K1290" s="63" t="str">
        <f>IF($H1290="","",COUNTIF($H$2:$H1290,"?*"))</f>
        <v/>
      </c>
    </row>
    <row r="1291" spans="1:11" x14ac:dyDescent="0.25">
      <c r="A1291" s="63" t="s">
        <v>533</v>
      </c>
      <c r="B1291" s="63" t="s">
        <v>1344</v>
      </c>
      <c r="C1291" s="63" t="s">
        <v>1327</v>
      </c>
      <c r="D1291" s="63" t="str">
        <f>IF('Equipment by Location'!M28="","",TRIM('Equipment by Location'!M28))</f>
        <v/>
      </c>
      <c r="E1291" s="64" t="str">
        <f>IF($D1291="","",'Equipment by Location'!N28&amp;"")</f>
        <v/>
      </c>
      <c r="F1291" s="63">
        <f>IF($D1291="",0,IF(ISNUMBER('Equipment by Location'!O28),'Equipment by Location'!O28,1))</f>
        <v>0</v>
      </c>
      <c r="G1291" s="64" t="str">
        <f t="shared" si="87"/>
        <v/>
      </c>
      <c r="H1291" s="64" t="str">
        <f t="shared" si="88"/>
        <v/>
      </c>
      <c r="I1291" s="63">
        <f>IF($G1291="",0,IF(COUNTIF($G$2:$G1291,$G1291)=1,1,0))</f>
        <v>0</v>
      </c>
      <c r="J1291" s="63" t="str">
        <f t="shared" si="89"/>
        <v/>
      </c>
      <c r="K1291" s="63" t="str">
        <f>IF($H1291="","",COUNTIF($H$2:$H1291,"?*"))</f>
        <v/>
      </c>
    </row>
    <row r="1292" spans="1:11" x14ac:dyDescent="0.25">
      <c r="A1292" s="63" t="s">
        <v>533</v>
      </c>
      <c r="B1292" s="63" t="s">
        <v>1345</v>
      </c>
      <c r="C1292" s="63" t="s">
        <v>1327</v>
      </c>
      <c r="D1292" s="63" t="str">
        <f>IF('Equipment by Location'!M29="","",TRIM('Equipment by Location'!M29))</f>
        <v/>
      </c>
      <c r="E1292" s="64" t="str">
        <f>IF($D1292="","",'Equipment by Location'!N29&amp;"")</f>
        <v/>
      </c>
      <c r="F1292" s="63">
        <f>IF($D1292="",0,IF(ISNUMBER('Equipment by Location'!O29),'Equipment by Location'!O29,1))</f>
        <v>0</v>
      </c>
      <c r="G1292" s="64" t="str">
        <f t="shared" si="87"/>
        <v/>
      </c>
      <c r="H1292" s="64" t="str">
        <f t="shared" si="88"/>
        <v/>
      </c>
      <c r="I1292" s="63">
        <f>IF($G1292="",0,IF(COUNTIF($G$2:$G1292,$G1292)=1,1,0))</f>
        <v>0</v>
      </c>
      <c r="J1292" s="63" t="str">
        <f t="shared" si="89"/>
        <v/>
      </c>
      <c r="K1292" s="63" t="str">
        <f>IF($H1292="","",COUNTIF($H$2:$H1292,"?*"))</f>
        <v/>
      </c>
    </row>
    <row r="1293" spans="1:11" x14ac:dyDescent="0.25">
      <c r="A1293" s="63" t="s">
        <v>533</v>
      </c>
      <c r="B1293" s="63" t="s">
        <v>1346</v>
      </c>
      <c r="C1293" s="63" t="s">
        <v>1327</v>
      </c>
      <c r="D1293" s="63" t="str">
        <f>IF('Equipment by Location'!M30="","",TRIM('Equipment by Location'!M30))</f>
        <v/>
      </c>
      <c r="E1293" s="64" t="str">
        <f>IF($D1293="","",'Equipment by Location'!N30&amp;"")</f>
        <v/>
      </c>
      <c r="F1293" s="63">
        <f>IF($D1293="",0,IF(ISNUMBER('Equipment by Location'!O30),'Equipment by Location'!O30,1))</f>
        <v>0</v>
      </c>
      <c r="G1293" s="64" t="str">
        <f t="shared" si="87"/>
        <v/>
      </c>
      <c r="H1293" s="64" t="str">
        <f t="shared" si="88"/>
        <v/>
      </c>
      <c r="I1293" s="63">
        <f>IF($G1293="",0,IF(COUNTIF($G$2:$G1293,$G1293)=1,1,0))</f>
        <v>0</v>
      </c>
      <c r="J1293" s="63" t="str">
        <f t="shared" si="89"/>
        <v/>
      </c>
      <c r="K1293" s="63" t="str">
        <f>IF($H1293="","",COUNTIF($H$2:$H1293,"?*"))</f>
        <v/>
      </c>
    </row>
    <row r="1294" spans="1:11" x14ac:dyDescent="0.25">
      <c r="A1294" s="63" t="s">
        <v>533</v>
      </c>
      <c r="B1294" s="63" t="s">
        <v>1347</v>
      </c>
      <c r="C1294" s="63" t="s">
        <v>1327</v>
      </c>
      <c r="D1294" s="63" t="str">
        <f>IF('Equipment by Location'!M31="","",TRIM('Equipment by Location'!M31))</f>
        <v/>
      </c>
      <c r="E1294" s="64" t="str">
        <f>IF($D1294="","",'Equipment by Location'!N31&amp;"")</f>
        <v/>
      </c>
      <c r="F1294" s="63">
        <f>IF($D1294="",0,IF(ISNUMBER('Equipment by Location'!O31),'Equipment by Location'!O31,1))</f>
        <v>0</v>
      </c>
      <c r="G1294" s="64" t="str">
        <f t="shared" si="87"/>
        <v/>
      </c>
      <c r="H1294" s="64" t="str">
        <f t="shared" si="88"/>
        <v/>
      </c>
      <c r="I1294" s="63">
        <f>IF($G1294="",0,IF(COUNTIF($G$2:$G1294,$G1294)=1,1,0))</f>
        <v>0</v>
      </c>
      <c r="J1294" s="63" t="str">
        <f t="shared" si="89"/>
        <v/>
      </c>
      <c r="K1294" s="63" t="str">
        <f>IF($H1294="","",COUNTIF($H$2:$H1294,"?*"))</f>
        <v/>
      </c>
    </row>
    <row r="1295" spans="1:11" x14ac:dyDescent="0.25">
      <c r="A1295" s="63" t="s">
        <v>533</v>
      </c>
      <c r="B1295" s="63" t="s">
        <v>1348</v>
      </c>
      <c r="C1295" s="63" t="s">
        <v>1327</v>
      </c>
      <c r="D1295" s="63" t="str">
        <f>IF('Equipment by Location'!M32="","",TRIM('Equipment by Location'!M32))</f>
        <v/>
      </c>
      <c r="E1295" s="64" t="str">
        <f>IF($D1295="","",'Equipment by Location'!N32&amp;"")</f>
        <v/>
      </c>
      <c r="F1295" s="63">
        <f>IF($D1295="",0,IF(ISNUMBER('Equipment by Location'!O32),'Equipment by Location'!O32,1))</f>
        <v>0</v>
      </c>
      <c r="G1295" s="64" t="str">
        <f t="shared" si="87"/>
        <v/>
      </c>
      <c r="H1295" s="64" t="str">
        <f t="shared" si="88"/>
        <v/>
      </c>
      <c r="I1295" s="63">
        <f>IF($G1295="",0,IF(COUNTIF($G$2:$G1295,$G1295)=1,1,0))</f>
        <v>0</v>
      </c>
      <c r="J1295" s="63" t="str">
        <f t="shared" si="89"/>
        <v/>
      </c>
      <c r="K1295" s="63" t="str">
        <f>IF($H1295="","",COUNTIF($H$2:$H1295,"?*"))</f>
        <v/>
      </c>
    </row>
    <row r="1296" spans="1:11" x14ac:dyDescent="0.25">
      <c r="A1296" s="63" t="s">
        <v>533</v>
      </c>
      <c r="B1296" s="63" t="s">
        <v>1349</v>
      </c>
      <c r="C1296" s="63" t="s">
        <v>1327</v>
      </c>
      <c r="D1296" s="63" t="str">
        <f>IF('Equipment by Location'!M33="","",TRIM('Equipment by Location'!M33))</f>
        <v/>
      </c>
      <c r="E1296" s="64" t="str">
        <f>IF($D1296="","",'Equipment by Location'!N33&amp;"")</f>
        <v/>
      </c>
      <c r="F1296" s="63">
        <f>IF($D1296="",0,IF(ISNUMBER('Equipment by Location'!O33),'Equipment by Location'!O33,1))</f>
        <v>0</v>
      </c>
      <c r="G1296" s="64" t="str">
        <f t="shared" si="87"/>
        <v/>
      </c>
      <c r="H1296" s="64" t="str">
        <f t="shared" si="88"/>
        <v/>
      </c>
      <c r="I1296" s="63">
        <f>IF($G1296="",0,IF(COUNTIF($G$2:$G1296,$G1296)=1,1,0))</f>
        <v>0</v>
      </c>
      <c r="J1296" s="63" t="str">
        <f t="shared" si="89"/>
        <v/>
      </c>
      <c r="K1296" s="63" t="str">
        <f>IF($H1296="","",COUNTIF($H$2:$H1296,"?*"))</f>
        <v/>
      </c>
    </row>
    <row r="1297" spans="1:11" x14ac:dyDescent="0.25">
      <c r="A1297" s="63" t="s">
        <v>533</v>
      </c>
      <c r="B1297" s="63" t="s">
        <v>1350</v>
      </c>
      <c r="C1297" s="63" t="s">
        <v>1327</v>
      </c>
      <c r="D1297" s="63" t="str">
        <f>IF('Equipment by Location'!M34="","",TRIM('Equipment by Location'!M34))</f>
        <v/>
      </c>
      <c r="E1297" s="64" t="str">
        <f>IF($D1297="","",'Equipment by Location'!N34&amp;"")</f>
        <v/>
      </c>
      <c r="F1297" s="63">
        <f>IF($D1297="",0,IF(ISNUMBER('Equipment by Location'!O34),'Equipment by Location'!O34,1))</f>
        <v>0</v>
      </c>
      <c r="G1297" s="64" t="str">
        <f t="shared" si="87"/>
        <v/>
      </c>
      <c r="H1297" s="64" t="str">
        <f t="shared" si="88"/>
        <v/>
      </c>
      <c r="I1297" s="63">
        <f>IF($G1297="",0,IF(COUNTIF($G$2:$G1297,$G1297)=1,1,0))</f>
        <v>0</v>
      </c>
      <c r="J1297" s="63" t="str">
        <f t="shared" si="89"/>
        <v/>
      </c>
      <c r="K1297" s="63" t="str">
        <f>IF($H1297="","",COUNTIF($H$2:$H1297,"?*"))</f>
        <v/>
      </c>
    </row>
    <row r="1298" spans="1:11" x14ac:dyDescent="0.25">
      <c r="A1298" s="63" t="s">
        <v>533</v>
      </c>
      <c r="B1298" s="63" t="s">
        <v>1351</v>
      </c>
      <c r="C1298" s="63" t="s">
        <v>1327</v>
      </c>
      <c r="D1298" s="63" t="str">
        <f>IF('Equipment by Location'!M35="","",TRIM('Equipment by Location'!M35))</f>
        <v/>
      </c>
      <c r="E1298" s="64" t="str">
        <f>IF($D1298="","",'Equipment by Location'!N35&amp;"")</f>
        <v/>
      </c>
      <c r="F1298" s="63">
        <f>IF($D1298="",0,IF(ISNUMBER('Equipment by Location'!O35),'Equipment by Location'!O35,1))</f>
        <v>0</v>
      </c>
      <c r="G1298" s="64" t="str">
        <f t="shared" si="87"/>
        <v/>
      </c>
      <c r="H1298" s="64" t="str">
        <f t="shared" si="88"/>
        <v/>
      </c>
      <c r="I1298" s="63">
        <f>IF($G1298="",0,IF(COUNTIF($G$2:$G1298,$G1298)=1,1,0))</f>
        <v>0</v>
      </c>
      <c r="J1298" s="63" t="str">
        <f t="shared" si="89"/>
        <v/>
      </c>
      <c r="K1298" s="63" t="str">
        <f>IF($H1298="","",COUNTIF($H$2:$H1298,"?*"))</f>
        <v/>
      </c>
    </row>
    <row r="1299" spans="1:11" x14ac:dyDescent="0.25">
      <c r="A1299" s="63" t="s">
        <v>533</v>
      </c>
      <c r="B1299" s="63" t="s">
        <v>1352</v>
      </c>
      <c r="C1299" s="63" t="s">
        <v>1327</v>
      </c>
      <c r="D1299" s="63" t="str">
        <f>IF('Equipment by Location'!M36="","",TRIM('Equipment by Location'!M36))</f>
        <v/>
      </c>
      <c r="E1299" s="64" t="str">
        <f>IF($D1299="","",'Equipment by Location'!N36&amp;"")</f>
        <v/>
      </c>
      <c r="F1299" s="63">
        <f>IF($D1299="",0,IF(ISNUMBER('Equipment by Location'!O36),'Equipment by Location'!O36,1))</f>
        <v>0</v>
      </c>
      <c r="G1299" s="64" t="str">
        <f t="shared" si="87"/>
        <v/>
      </c>
      <c r="H1299" s="64" t="str">
        <f t="shared" si="88"/>
        <v/>
      </c>
      <c r="I1299" s="63">
        <f>IF($G1299="",0,IF(COUNTIF($G$2:$G1299,$G1299)=1,1,0))</f>
        <v>0</v>
      </c>
      <c r="J1299" s="63" t="str">
        <f t="shared" si="89"/>
        <v/>
      </c>
      <c r="K1299" s="63" t="str">
        <f>IF($H1299="","",COUNTIF($H$2:$H1299,"?*"))</f>
        <v/>
      </c>
    </row>
    <row r="1300" spans="1:11" x14ac:dyDescent="0.25">
      <c r="A1300" s="63" t="s">
        <v>533</v>
      </c>
      <c r="B1300" s="63" t="s">
        <v>1353</v>
      </c>
      <c r="C1300" s="63" t="s">
        <v>1327</v>
      </c>
      <c r="D1300" s="63" t="str">
        <f>IF('Equipment by Location'!M37="","",TRIM('Equipment by Location'!M37))</f>
        <v/>
      </c>
      <c r="E1300" s="64" t="str">
        <f>IF($D1300="","",'Equipment by Location'!N37&amp;"")</f>
        <v/>
      </c>
      <c r="F1300" s="63">
        <f>IF($D1300="",0,IF(ISNUMBER('Equipment by Location'!O37),'Equipment by Location'!O37,1))</f>
        <v>0</v>
      </c>
      <c r="G1300" s="64" t="str">
        <f t="shared" si="87"/>
        <v/>
      </c>
      <c r="H1300" s="64" t="str">
        <f t="shared" si="88"/>
        <v/>
      </c>
      <c r="I1300" s="63">
        <f>IF($G1300="",0,IF(COUNTIF($G$2:$G1300,$G1300)=1,1,0))</f>
        <v>0</v>
      </c>
      <c r="J1300" s="63" t="str">
        <f t="shared" si="89"/>
        <v/>
      </c>
      <c r="K1300" s="63" t="str">
        <f>IF($H1300="","",COUNTIF($H$2:$H1300,"?*"))</f>
        <v/>
      </c>
    </row>
    <row r="1301" spans="1:11" x14ac:dyDescent="0.25">
      <c r="A1301" s="63" t="s">
        <v>533</v>
      </c>
      <c r="B1301" s="63" t="s">
        <v>1354</v>
      </c>
      <c r="C1301" s="63" t="s">
        <v>1327</v>
      </c>
      <c r="D1301" s="63" t="str">
        <f>IF('Equipment by Location'!M38="","",TRIM('Equipment by Location'!M38))</f>
        <v/>
      </c>
      <c r="E1301" s="64" t="str">
        <f>IF($D1301="","",'Equipment by Location'!N38&amp;"")</f>
        <v/>
      </c>
      <c r="F1301" s="63">
        <f>IF($D1301="",0,IF(ISNUMBER('Equipment by Location'!O38),'Equipment by Location'!O38,1))</f>
        <v>0</v>
      </c>
      <c r="G1301" s="64" t="str">
        <f t="shared" si="87"/>
        <v/>
      </c>
      <c r="H1301" s="64" t="str">
        <f t="shared" si="88"/>
        <v/>
      </c>
      <c r="I1301" s="63">
        <f>IF($G1301="",0,IF(COUNTIF($G$2:$G1301,$G1301)=1,1,0))</f>
        <v>0</v>
      </c>
      <c r="J1301" s="63" t="str">
        <f t="shared" si="89"/>
        <v/>
      </c>
      <c r="K1301" s="63" t="str">
        <f>IF($H1301="","",COUNTIF($H$2:$H1301,"?*"))</f>
        <v/>
      </c>
    </row>
    <row r="1302" spans="1:11" x14ac:dyDescent="0.25">
      <c r="A1302" s="63" t="s">
        <v>533</v>
      </c>
      <c r="B1302" s="63" t="s">
        <v>1355</v>
      </c>
      <c r="C1302" s="63" t="s">
        <v>1327</v>
      </c>
      <c r="D1302" s="63" t="str">
        <f>IF('Equipment by Location'!M39="","",TRIM('Equipment by Location'!M39))</f>
        <v/>
      </c>
      <c r="E1302" s="64" t="str">
        <f>IF($D1302="","",'Equipment by Location'!N39&amp;"")</f>
        <v/>
      </c>
      <c r="F1302" s="63">
        <f>IF($D1302="",0,IF(ISNUMBER('Equipment by Location'!O39),'Equipment by Location'!O39,1))</f>
        <v>0</v>
      </c>
      <c r="G1302" s="64" t="str">
        <f t="shared" si="87"/>
        <v/>
      </c>
      <c r="H1302" s="64" t="str">
        <f t="shared" si="88"/>
        <v/>
      </c>
      <c r="I1302" s="63">
        <f>IF($G1302="",0,IF(COUNTIF($G$2:$G1302,$G1302)=1,1,0))</f>
        <v>0</v>
      </c>
      <c r="J1302" s="63" t="str">
        <f t="shared" si="89"/>
        <v/>
      </c>
      <c r="K1302" s="63" t="str">
        <f>IF($H1302="","",COUNTIF($H$2:$H1302,"?*"))</f>
        <v/>
      </c>
    </row>
    <row r="1303" spans="1:11" x14ac:dyDescent="0.25">
      <c r="A1303" s="63" t="s">
        <v>533</v>
      </c>
      <c r="B1303" s="63" t="s">
        <v>1356</v>
      </c>
      <c r="C1303" s="63" t="s">
        <v>1327</v>
      </c>
      <c r="D1303" s="63" t="str">
        <f>IF('Equipment by Location'!M40="","",TRIM('Equipment by Location'!M40))</f>
        <v/>
      </c>
      <c r="E1303" s="64" t="str">
        <f>IF($D1303="","",'Equipment by Location'!N40&amp;"")</f>
        <v/>
      </c>
      <c r="F1303" s="63">
        <f>IF($D1303="",0,IF(ISNUMBER('Equipment by Location'!O40),'Equipment by Location'!O40,1))</f>
        <v>0</v>
      </c>
      <c r="G1303" s="64" t="str">
        <f t="shared" si="87"/>
        <v/>
      </c>
      <c r="H1303" s="64" t="str">
        <f t="shared" si="88"/>
        <v/>
      </c>
      <c r="I1303" s="63">
        <f>IF($G1303="",0,IF(COUNTIF($G$2:$G1303,$G1303)=1,1,0))</f>
        <v>0</v>
      </c>
      <c r="J1303" s="63" t="str">
        <f t="shared" si="89"/>
        <v/>
      </c>
      <c r="K1303" s="63" t="str">
        <f>IF($H1303="","",COUNTIF($H$2:$H1303,"?*"))</f>
        <v/>
      </c>
    </row>
    <row r="1304" spans="1:11" x14ac:dyDescent="0.25">
      <c r="A1304" s="63" t="s">
        <v>533</v>
      </c>
      <c r="B1304" s="63" t="s">
        <v>1357</v>
      </c>
      <c r="C1304" s="63" t="s">
        <v>1327</v>
      </c>
      <c r="D1304" s="63" t="str">
        <f>IF('Equipment by Location'!M41="","",TRIM('Equipment by Location'!M41))</f>
        <v/>
      </c>
      <c r="E1304" s="64" t="str">
        <f>IF($D1304="","",'Equipment by Location'!N41&amp;"")</f>
        <v/>
      </c>
      <c r="F1304" s="63">
        <f>IF($D1304="",0,IF(ISNUMBER('Equipment by Location'!O41),'Equipment by Location'!O41,1))</f>
        <v>0</v>
      </c>
      <c r="G1304" s="64" t="str">
        <f t="shared" si="87"/>
        <v/>
      </c>
      <c r="H1304" s="64" t="str">
        <f t="shared" si="88"/>
        <v/>
      </c>
      <c r="I1304" s="63">
        <f>IF($G1304="",0,IF(COUNTIF($G$2:$G1304,$G1304)=1,1,0))</f>
        <v>0</v>
      </c>
      <c r="J1304" s="63" t="str">
        <f t="shared" si="89"/>
        <v/>
      </c>
      <c r="K1304" s="63" t="str">
        <f>IF($H1304="","",COUNTIF($H$2:$H1304,"?*"))</f>
        <v/>
      </c>
    </row>
    <row r="1305" spans="1:11" x14ac:dyDescent="0.25">
      <c r="A1305" s="63" t="s">
        <v>533</v>
      </c>
      <c r="B1305" s="63" t="s">
        <v>1358</v>
      </c>
      <c r="C1305" s="63" t="s">
        <v>1327</v>
      </c>
      <c r="D1305" s="63" t="str">
        <f>IF('Equipment by Location'!M42="","",TRIM('Equipment by Location'!M42))</f>
        <v/>
      </c>
      <c r="E1305" s="64" t="str">
        <f>IF($D1305="","",'Equipment by Location'!N42&amp;"")</f>
        <v/>
      </c>
      <c r="F1305" s="63">
        <f>IF($D1305="",0,IF(ISNUMBER('Equipment by Location'!O42),'Equipment by Location'!O42,1))</f>
        <v>0</v>
      </c>
      <c r="G1305" s="64" t="str">
        <f t="shared" si="87"/>
        <v/>
      </c>
      <c r="H1305" s="64" t="str">
        <f t="shared" si="88"/>
        <v/>
      </c>
      <c r="I1305" s="63">
        <f>IF($G1305="",0,IF(COUNTIF($G$2:$G1305,$G1305)=1,1,0))</f>
        <v>0</v>
      </c>
      <c r="J1305" s="63" t="str">
        <f t="shared" si="89"/>
        <v/>
      </c>
      <c r="K1305" s="63" t="str">
        <f>IF($H1305="","",COUNTIF($H$2:$H1305,"?*"))</f>
        <v/>
      </c>
    </row>
    <row r="1306" spans="1:11" x14ac:dyDescent="0.25">
      <c r="A1306" s="63" t="s">
        <v>533</v>
      </c>
      <c r="B1306" s="63" t="s">
        <v>1359</v>
      </c>
      <c r="C1306" s="63" t="s">
        <v>1327</v>
      </c>
      <c r="D1306" s="63" t="str">
        <f>IF('Equipment by Location'!M43="","",TRIM('Equipment by Location'!M43))</f>
        <v/>
      </c>
      <c r="E1306" s="64" t="str">
        <f>IF($D1306="","",'Equipment by Location'!N43&amp;"")</f>
        <v/>
      </c>
      <c r="F1306" s="63">
        <f>IF($D1306="",0,IF(ISNUMBER('Equipment by Location'!O43),'Equipment by Location'!O43,1))</f>
        <v>0</v>
      </c>
      <c r="G1306" s="64" t="str">
        <f t="shared" si="87"/>
        <v/>
      </c>
      <c r="H1306" s="64" t="str">
        <f t="shared" si="88"/>
        <v/>
      </c>
      <c r="I1306" s="63">
        <f>IF($G1306="",0,IF(COUNTIF($G$2:$G1306,$G1306)=1,1,0))</f>
        <v>0</v>
      </c>
      <c r="J1306" s="63" t="str">
        <f t="shared" si="89"/>
        <v/>
      </c>
      <c r="K1306" s="63" t="str">
        <f>IF($H1306="","",COUNTIF($H$2:$H1306,"?*"))</f>
        <v/>
      </c>
    </row>
    <row r="1307" spans="1:11" x14ac:dyDescent="0.25">
      <c r="A1307" s="63" t="s">
        <v>533</v>
      </c>
      <c r="B1307" s="63" t="s">
        <v>1360</v>
      </c>
      <c r="C1307" s="63" t="s">
        <v>1327</v>
      </c>
      <c r="D1307" s="63" t="str">
        <f>IF('Equipment by Location'!M44="","",TRIM('Equipment by Location'!M44))</f>
        <v/>
      </c>
      <c r="E1307" s="64" t="str">
        <f>IF($D1307="","",'Equipment by Location'!N44&amp;"")</f>
        <v/>
      </c>
      <c r="F1307" s="63">
        <f>IF($D1307="",0,IF(ISNUMBER('Equipment by Location'!O44),'Equipment by Location'!O44,1))</f>
        <v>0</v>
      </c>
      <c r="G1307" s="64" t="str">
        <f t="shared" si="87"/>
        <v/>
      </c>
      <c r="H1307" s="64" t="str">
        <f t="shared" si="88"/>
        <v/>
      </c>
      <c r="I1307" s="63">
        <f>IF($G1307="",0,IF(COUNTIF($G$2:$G1307,$G1307)=1,1,0))</f>
        <v>0</v>
      </c>
      <c r="J1307" s="63" t="str">
        <f t="shared" si="89"/>
        <v/>
      </c>
      <c r="K1307" s="63" t="str">
        <f>IF($H1307="","",COUNTIF($H$2:$H1307,"?*"))</f>
        <v/>
      </c>
    </row>
    <row r="1308" spans="1:11" x14ac:dyDescent="0.25">
      <c r="A1308" s="63" t="s">
        <v>533</v>
      </c>
      <c r="B1308" s="63" t="s">
        <v>1361</v>
      </c>
      <c r="C1308" s="63" t="s">
        <v>1327</v>
      </c>
      <c r="D1308" s="63" t="str">
        <f>IF('Equipment by Location'!M45="","",TRIM('Equipment by Location'!M45))</f>
        <v/>
      </c>
      <c r="E1308" s="64" t="str">
        <f>IF($D1308="","",'Equipment by Location'!N45&amp;"")</f>
        <v/>
      </c>
      <c r="F1308" s="63">
        <f>IF($D1308="",0,IF(ISNUMBER('Equipment by Location'!O45),'Equipment by Location'!O45,1))</f>
        <v>0</v>
      </c>
      <c r="G1308" s="64" t="str">
        <f t="shared" si="87"/>
        <v/>
      </c>
      <c r="H1308" s="64" t="str">
        <f t="shared" si="88"/>
        <v/>
      </c>
      <c r="I1308" s="63">
        <f>IF($G1308="",0,IF(COUNTIF($G$2:$G1308,$G1308)=1,1,0))</f>
        <v>0</v>
      </c>
      <c r="J1308" s="63" t="str">
        <f t="shared" si="89"/>
        <v/>
      </c>
      <c r="K1308" s="63" t="str">
        <f>IF($H1308="","",COUNTIF($H$2:$H1308,"?*"))</f>
        <v/>
      </c>
    </row>
    <row r="1309" spans="1:11" x14ac:dyDescent="0.25">
      <c r="A1309" s="63" t="s">
        <v>533</v>
      </c>
      <c r="B1309" s="63" t="s">
        <v>1362</v>
      </c>
      <c r="C1309" s="63" t="s">
        <v>1327</v>
      </c>
      <c r="D1309" s="63" t="str">
        <f>IF('Equipment by Location'!M46="","",TRIM('Equipment by Location'!M46))</f>
        <v/>
      </c>
      <c r="E1309" s="64" t="str">
        <f>IF($D1309="","",'Equipment by Location'!N46&amp;"")</f>
        <v/>
      </c>
      <c r="F1309" s="63">
        <f>IF($D1309="",0,IF(ISNUMBER('Equipment by Location'!O46),'Equipment by Location'!O46,1))</f>
        <v>0</v>
      </c>
      <c r="G1309" s="64" t="str">
        <f t="shared" si="87"/>
        <v/>
      </c>
      <c r="H1309" s="64" t="str">
        <f t="shared" si="88"/>
        <v/>
      </c>
      <c r="I1309" s="63">
        <f>IF($G1309="",0,IF(COUNTIF($G$2:$G1309,$G1309)=1,1,0))</f>
        <v>0</v>
      </c>
      <c r="J1309" s="63" t="str">
        <f t="shared" si="89"/>
        <v/>
      </c>
      <c r="K1309" s="63" t="str">
        <f>IF($H1309="","",COUNTIF($H$2:$H1309,"?*"))</f>
        <v/>
      </c>
    </row>
    <row r="1310" spans="1:11" x14ac:dyDescent="0.25">
      <c r="A1310" s="63" t="s">
        <v>533</v>
      </c>
      <c r="B1310" s="63" t="s">
        <v>1363</v>
      </c>
      <c r="C1310" s="63" t="s">
        <v>1327</v>
      </c>
      <c r="D1310" s="63" t="str">
        <f>IF('Equipment by Location'!M47="","",TRIM('Equipment by Location'!M47))</f>
        <v/>
      </c>
      <c r="E1310" s="64" t="str">
        <f>IF($D1310="","",'Equipment by Location'!N47&amp;"")</f>
        <v/>
      </c>
      <c r="F1310" s="63">
        <f>IF($D1310="",0,IF(ISNUMBER('Equipment by Location'!O47),'Equipment by Location'!O47,1))</f>
        <v>0</v>
      </c>
      <c r="G1310" s="64" t="str">
        <f t="shared" si="87"/>
        <v/>
      </c>
      <c r="H1310" s="64" t="str">
        <f t="shared" si="88"/>
        <v/>
      </c>
      <c r="I1310" s="63">
        <f>IF($G1310="",0,IF(COUNTIF($G$2:$G1310,$G1310)=1,1,0))</f>
        <v>0</v>
      </c>
      <c r="J1310" s="63" t="str">
        <f t="shared" si="89"/>
        <v/>
      </c>
      <c r="K1310" s="63" t="str">
        <f>IF($H1310="","",COUNTIF($H$2:$H1310,"?*"))</f>
        <v/>
      </c>
    </row>
    <row r="1311" spans="1:11" x14ac:dyDescent="0.25">
      <c r="A1311" s="63" t="s">
        <v>533</v>
      </c>
      <c r="B1311" s="63" t="s">
        <v>1364</v>
      </c>
      <c r="C1311" s="63" t="s">
        <v>1327</v>
      </c>
      <c r="D1311" s="63" t="str">
        <f>IF('Equipment by Location'!M48="","",TRIM('Equipment by Location'!M48))</f>
        <v/>
      </c>
      <c r="E1311" s="64" t="str">
        <f>IF($D1311="","",'Equipment by Location'!N48&amp;"")</f>
        <v/>
      </c>
      <c r="F1311" s="63">
        <f>IF($D1311="",0,IF(ISNUMBER('Equipment by Location'!O48),'Equipment by Location'!O48,1))</f>
        <v>0</v>
      </c>
      <c r="G1311" s="64" t="str">
        <f t="shared" si="87"/>
        <v/>
      </c>
      <c r="H1311" s="64" t="str">
        <f t="shared" si="88"/>
        <v/>
      </c>
      <c r="I1311" s="63">
        <f>IF($G1311="",0,IF(COUNTIF($G$2:$G1311,$G1311)=1,1,0))</f>
        <v>0</v>
      </c>
      <c r="J1311" s="63" t="str">
        <f t="shared" si="89"/>
        <v/>
      </c>
      <c r="K1311" s="63" t="str">
        <f>IF($H1311="","",COUNTIF($H$2:$H1311,"?*"))</f>
        <v/>
      </c>
    </row>
    <row r="1312" spans="1:11" x14ac:dyDescent="0.25">
      <c r="A1312" s="63" t="s">
        <v>533</v>
      </c>
      <c r="B1312" s="63" t="s">
        <v>1365</v>
      </c>
      <c r="C1312" s="63" t="s">
        <v>1327</v>
      </c>
      <c r="D1312" s="63" t="str">
        <f>IF('Equipment by Location'!M49="","",TRIM('Equipment by Location'!M49))</f>
        <v/>
      </c>
      <c r="E1312" s="64" t="str">
        <f>IF($D1312="","",'Equipment by Location'!N49&amp;"")</f>
        <v/>
      </c>
      <c r="F1312" s="63">
        <f>IF($D1312="",0,IF(ISNUMBER('Equipment by Location'!O49),'Equipment by Location'!O49,1))</f>
        <v>0</v>
      </c>
      <c r="G1312" s="64" t="str">
        <f t="shared" si="87"/>
        <v/>
      </c>
      <c r="H1312" s="64" t="str">
        <f t="shared" si="88"/>
        <v/>
      </c>
      <c r="I1312" s="63">
        <f>IF($G1312="",0,IF(COUNTIF($G$2:$G1312,$G1312)=1,1,0))</f>
        <v>0</v>
      </c>
      <c r="J1312" s="63" t="str">
        <f t="shared" si="89"/>
        <v/>
      </c>
      <c r="K1312" s="63" t="str">
        <f>IF($H1312="","",COUNTIF($H$2:$H1312,"?*"))</f>
        <v/>
      </c>
    </row>
    <row r="1313" spans="1:11" x14ac:dyDescent="0.25">
      <c r="A1313" s="63" t="s">
        <v>533</v>
      </c>
      <c r="B1313" s="63" t="s">
        <v>1366</v>
      </c>
      <c r="C1313" s="63" t="s">
        <v>1327</v>
      </c>
      <c r="D1313" s="63" t="str">
        <f>IF('Equipment by Location'!M50="","",TRIM('Equipment by Location'!M50))</f>
        <v/>
      </c>
      <c r="E1313" s="64" t="str">
        <f>IF($D1313="","",'Equipment by Location'!N50&amp;"")</f>
        <v/>
      </c>
      <c r="F1313" s="63">
        <f>IF($D1313="",0,IF(ISNUMBER('Equipment by Location'!O50),'Equipment by Location'!O50,1))</f>
        <v>0</v>
      </c>
      <c r="G1313" s="64" t="str">
        <f t="shared" si="87"/>
        <v/>
      </c>
      <c r="H1313" s="64" t="str">
        <f t="shared" si="88"/>
        <v/>
      </c>
      <c r="I1313" s="63">
        <f>IF($G1313="",0,IF(COUNTIF($G$2:$G1313,$G1313)=1,1,0))</f>
        <v>0</v>
      </c>
      <c r="J1313" s="63" t="str">
        <f t="shared" si="89"/>
        <v/>
      </c>
      <c r="K1313" s="63" t="str">
        <f>IF($H1313="","",COUNTIF($H$2:$H1313,"?*"))</f>
        <v/>
      </c>
    </row>
    <row r="1314" spans="1:11" x14ac:dyDescent="0.25">
      <c r="A1314" s="63" t="s">
        <v>534</v>
      </c>
      <c r="B1314" s="63" t="s">
        <v>1326</v>
      </c>
      <c r="C1314" s="63" t="s">
        <v>1327</v>
      </c>
      <c r="D1314" s="63" t="str">
        <f>IF('Equipment by Location'!Q11="","",TRIM('Equipment by Location'!Q11))</f>
        <v>Eversys Cameo c'2s</v>
      </c>
      <c r="E1314" s="64" t="str">
        <f>IF($D1314="","",'Equipment by Location'!R11&amp;"")</f>
        <v/>
      </c>
      <c r="F1314" s="63">
        <f>IF($D1314="",0,IF(ISNUMBER('Equipment by Location'!S11),'Equipment by Location'!S11,1))</f>
        <v>1</v>
      </c>
      <c r="G1314" s="64" t="str">
        <f t="shared" si="87"/>
        <v>Eversys Cameo c'2s</v>
      </c>
      <c r="H1314" s="64" t="str">
        <f t="shared" si="88"/>
        <v/>
      </c>
      <c r="I1314" s="63">
        <f>IF($G1314="",0,IF(COUNTIF($G$2:$G1314,$G1314)=1,1,0))</f>
        <v>0</v>
      </c>
      <c r="J1314" s="63" t="str">
        <f t="shared" si="89"/>
        <v/>
      </c>
      <c r="K1314" s="63" t="str">
        <f>IF($H1314="","",COUNTIF($H$2:$H1314,"?*"))</f>
        <v/>
      </c>
    </row>
    <row r="1315" spans="1:11" x14ac:dyDescent="0.25">
      <c r="A1315" s="63" t="s">
        <v>534</v>
      </c>
      <c r="B1315" s="63" t="s">
        <v>1328</v>
      </c>
      <c r="C1315" s="63" t="s">
        <v>1327</v>
      </c>
      <c r="D1315" s="63" t="str">
        <f>IF('Equipment by Location'!Q12="","",TRIM('Equipment by Location'!Q12))</f>
        <v/>
      </c>
      <c r="E1315" s="64" t="str">
        <f>IF($D1315="","",'Equipment by Location'!R12&amp;"")</f>
        <v/>
      </c>
      <c r="F1315" s="63">
        <f>IF($D1315="",0,IF(ISNUMBER('Equipment by Location'!S12),'Equipment by Location'!S12,1))</f>
        <v>0</v>
      </c>
      <c r="G1315" s="64" t="str">
        <f t="shared" si="87"/>
        <v/>
      </c>
      <c r="H1315" s="64" t="str">
        <f t="shared" si="88"/>
        <v/>
      </c>
      <c r="I1315" s="63">
        <f>IF($G1315="",0,IF(COUNTIF($G$2:$G1315,$G1315)=1,1,0))</f>
        <v>0</v>
      </c>
      <c r="J1315" s="63" t="str">
        <f t="shared" si="89"/>
        <v/>
      </c>
      <c r="K1315" s="63" t="str">
        <f>IF($H1315="","",COUNTIF($H$2:$H1315,"?*"))</f>
        <v/>
      </c>
    </row>
    <row r="1316" spans="1:11" x14ac:dyDescent="0.25">
      <c r="A1316" s="63" t="s">
        <v>534</v>
      </c>
      <c r="B1316" s="63" t="s">
        <v>1329</v>
      </c>
      <c r="C1316" s="63" t="s">
        <v>1327</v>
      </c>
      <c r="D1316" s="63" t="str">
        <f>IF('Equipment by Location'!Q13="","",TRIM('Equipment by Location'!Q13))</f>
        <v/>
      </c>
      <c r="E1316" s="64" t="str">
        <f>IF($D1316="","",'Equipment by Location'!R13&amp;"")</f>
        <v/>
      </c>
      <c r="F1316" s="63">
        <f>IF($D1316="",0,IF(ISNUMBER('Equipment by Location'!S13),'Equipment by Location'!S13,1))</f>
        <v>0</v>
      </c>
      <c r="G1316" s="64" t="str">
        <f t="shared" si="87"/>
        <v/>
      </c>
      <c r="H1316" s="64" t="str">
        <f t="shared" si="88"/>
        <v/>
      </c>
      <c r="I1316" s="63">
        <f>IF($G1316="",0,IF(COUNTIF($G$2:$G1316,$G1316)=1,1,0))</f>
        <v>0</v>
      </c>
      <c r="J1316" s="63" t="str">
        <f t="shared" si="89"/>
        <v/>
      </c>
      <c r="K1316" s="63" t="str">
        <f>IF($H1316="","",COUNTIF($H$2:$H1316,"?*"))</f>
        <v/>
      </c>
    </row>
    <row r="1317" spans="1:11" x14ac:dyDescent="0.25">
      <c r="A1317" s="63" t="s">
        <v>534</v>
      </c>
      <c r="B1317" s="63" t="s">
        <v>1330</v>
      </c>
      <c r="C1317" s="63" t="s">
        <v>1327</v>
      </c>
      <c r="D1317" s="63" t="str">
        <f>IF('Equipment by Location'!Q14="","",TRIM('Equipment by Location'!Q14))</f>
        <v/>
      </c>
      <c r="E1317" s="64" t="str">
        <f>IF($D1317="","",'Equipment by Location'!R14&amp;"")</f>
        <v/>
      </c>
      <c r="F1317" s="63">
        <f>IF($D1317="",0,IF(ISNUMBER('Equipment by Location'!S14),'Equipment by Location'!S14,1))</f>
        <v>0</v>
      </c>
      <c r="G1317" s="64" t="str">
        <f t="shared" si="87"/>
        <v/>
      </c>
      <c r="H1317" s="64" t="str">
        <f t="shared" si="88"/>
        <v/>
      </c>
      <c r="I1317" s="63">
        <f>IF($G1317="",0,IF(COUNTIF($G$2:$G1317,$G1317)=1,1,0))</f>
        <v>0</v>
      </c>
      <c r="J1317" s="63" t="str">
        <f t="shared" si="89"/>
        <v/>
      </c>
      <c r="K1317" s="63" t="str">
        <f>IF($H1317="","",COUNTIF($H$2:$H1317,"?*"))</f>
        <v/>
      </c>
    </row>
    <row r="1318" spans="1:11" x14ac:dyDescent="0.25">
      <c r="A1318" s="63" t="s">
        <v>534</v>
      </c>
      <c r="B1318" s="63" t="s">
        <v>1331</v>
      </c>
      <c r="C1318" s="63" t="s">
        <v>1327</v>
      </c>
      <c r="D1318" s="63" t="str">
        <f>IF('Equipment by Location'!Q15="","",TRIM('Equipment by Location'!Q15))</f>
        <v/>
      </c>
      <c r="E1318" s="64" t="str">
        <f>IF($D1318="","",'Equipment by Location'!R15&amp;"")</f>
        <v/>
      </c>
      <c r="F1318" s="63">
        <f>IF($D1318="",0,IF(ISNUMBER('Equipment by Location'!S15),'Equipment by Location'!S15,1))</f>
        <v>0</v>
      </c>
      <c r="G1318" s="64" t="str">
        <f t="shared" si="87"/>
        <v/>
      </c>
      <c r="H1318" s="64" t="str">
        <f t="shared" si="88"/>
        <v/>
      </c>
      <c r="I1318" s="63">
        <f>IF($G1318="",0,IF(COUNTIF($G$2:$G1318,$G1318)=1,1,0))</f>
        <v>0</v>
      </c>
      <c r="J1318" s="63" t="str">
        <f t="shared" si="89"/>
        <v/>
      </c>
      <c r="K1318" s="63" t="str">
        <f>IF($H1318="","",COUNTIF($H$2:$H1318,"?*"))</f>
        <v/>
      </c>
    </row>
    <row r="1319" spans="1:11" x14ac:dyDescent="0.25">
      <c r="A1319" s="63" t="s">
        <v>534</v>
      </c>
      <c r="B1319" s="63" t="s">
        <v>1332</v>
      </c>
      <c r="C1319" s="63" t="s">
        <v>1327</v>
      </c>
      <c r="D1319" s="63" t="str">
        <f>IF('Equipment by Location'!Q16="","",TRIM('Equipment by Location'!Q16))</f>
        <v/>
      </c>
      <c r="E1319" s="64" t="str">
        <f>IF($D1319="","",'Equipment by Location'!R16&amp;"")</f>
        <v/>
      </c>
      <c r="F1319" s="63">
        <f>IF($D1319="",0,IF(ISNUMBER('Equipment by Location'!S16),'Equipment by Location'!S16,1))</f>
        <v>0</v>
      </c>
      <c r="G1319" s="64" t="str">
        <f t="shared" si="87"/>
        <v/>
      </c>
      <c r="H1319" s="64" t="str">
        <f t="shared" si="88"/>
        <v/>
      </c>
      <c r="I1319" s="63">
        <f>IF($G1319="",0,IF(COUNTIF($G$2:$G1319,$G1319)=1,1,0))</f>
        <v>0</v>
      </c>
      <c r="J1319" s="63" t="str">
        <f t="shared" si="89"/>
        <v/>
      </c>
      <c r="K1319" s="63" t="str">
        <f>IF($H1319="","",COUNTIF($H$2:$H1319,"?*"))</f>
        <v/>
      </c>
    </row>
    <row r="1320" spans="1:11" x14ac:dyDescent="0.25">
      <c r="A1320" s="63" t="s">
        <v>534</v>
      </c>
      <c r="B1320" s="63" t="s">
        <v>1333</v>
      </c>
      <c r="C1320" s="63" t="s">
        <v>1327</v>
      </c>
      <c r="D1320" s="63" t="str">
        <f>IF('Equipment by Location'!Q17="","",TRIM('Equipment by Location'!Q17))</f>
        <v/>
      </c>
      <c r="E1320" s="64" t="str">
        <f>IF($D1320="","",'Equipment by Location'!R17&amp;"")</f>
        <v/>
      </c>
      <c r="F1320" s="63">
        <f>IF($D1320="",0,IF(ISNUMBER('Equipment by Location'!S17),'Equipment by Location'!S17,1))</f>
        <v>0</v>
      </c>
      <c r="G1320" s="64" t="str">
        <f t="shared" si="87"/>
        <v/>
      </c>
      <c r="H1320" s="64" t="str">
        <f t="shared" si="88"/>
        <v/>
      </c>
      <c r="I1320" s="63">
        <f>IF($G1320="",0,IF(COUNTIF($G$2:$G1320,$G1320)=1,1,0))</f>
        <v>0</v>
      </c>
      <c r="J1320" s="63" t="str">
        <f t="shared" si="89"/>
        <v/>
      </c>
      <c r="K1320" s="63" t="str">
        <f>IF($H1320="","",COUNTIF($H$2:$H1320,"?*"))</f>
        <v/>
      </c>
    </row>
    <row r="1321" spans="1:11" x14ac:dyDescent="0.25">
      <c r="A1321" s="63" t="s">
        <v>534</v>
      </c>
      <c r="B1321" s="63" t="s">
        <v>1334</v>
      </c>
      <c r="C1321" s="63" t="s">
        <v>1327</v>
      </c>
      <c r="D1321" s="63" t="str">
        <f>IF('Equipment by Location'!Q18="","",TRIM('Equipment by Location'!Q18))</f>
        <v/>
      </c>
      <c r="E1321" s="64" t="str">
        <f>IF($D1321="","",'Equipment by Location'!R18&amp;"")</f>
        <v/>
      </c>
      <c r="F1321" s="63">
        <f>IF($D1321="",0,IF(ISNUMBER('Equipment by Location'!S18),'Equipment by Location'!S18,1))</f>
        <v>0</v>
      </c>
      <c r="G1321" s="64" t="str">
        <f t="shared" si="87"/>
        <v/>
      </c>
      <c r="H1321" s="64" t="str">
        <f t="shared" si="88"/>
        <v/>
      </c>
      <c r="I1321" s="63">
        <f>IF($G1321="",0,IF(COUNTIF($G$2:$G1321,$G1321)=1,1,0))</f>
        <v>0</v>
      </c>
      <c r="J1321" s="63" t="str">
        <f t="shared" si="89"/>
        <v/>
      </c>
      <c r="K1321" s="63" t="str">
        <f>IF($H1321="","",COUNTIF($H$2:$H1321,"?*"))</f>
        <v/>
      </c>
    </row>
    <row r="1322" spans="1:11" x14ac:dyDescent="0.25">
      <c r="A1322" s="63" t="s">
        <v>534</v>
      </c>
      <c r="B1322" s="63" t="s">
        <v>1335</v>
      </c>
      <c r="C1322" s="63" t="s">
        <v>1327</v>
      </c>
      <c r="D1322" s="63" t="str">
        <f>IF('Equipment by Location'!Q19="","",TRIM('Equipment by Location'!Q19))</f>
        <v/>
      </c>
      <c r="E1322" s="64" t="str">
        <f>IF($D1322="","",'Equipment by Location'!R19&amp;"")</f>
        <v/>
      </c>
      <c r="F1322" s="63">
        <f>IF($D1322="",0,IF(ISNUMBER('Equipment by Location'!S19),'Equipment by Location'!S19,1))</f>
        <v>0</v>
      </c>
      <c r="G1322" s="64" t="str">
        <f t="shared" si="87"/>
        <v/>
      </c>
      <c r="H1322" s="64" t="str">
        <f t="shared" si="88"/>
        <v/>
      </c>
      <c r="I1322" s="63">
        <f>IF($G1322="",0,IF(COUNTIF($G$2:$G1322,$G1322)=1,1,0))</f>
        <v>0</v>
      </c>
      <c r="J1322" s="63" t="str">
        <f t="shared" si="89"/>
        <v/>
      </c>
      <c r="K1322" s="63" t="str">
        <f>IF($H1322="","",COUNTIF($H$2:$H1322,"?*"))</f>
        <v/>
      </c>
    </row>
    <row r="1323" spans="1:11" x14ac:dyDescent="0.25">
      <c r="A1323" s="63" t="s">
        <v>534</v>
      </c>
      <c r="B1323" s="63" t="s">
        <v>1336</v>
      </c>
      <c r="C1323" s="63" t="s">
        <v>1327</v>
      </c>
      <c r="D1323" s="63" t="str">
        <f>IF('Equipment by Location'!Q20="","",TRIM('Equipment by Location'!Q20))</f>
        <v/>
      </c>
      <c r="E1323" s="64" t="str">
        <f>IF($D1323="","",'Equipment by Location'!R20&amp;"")</f>
        <v/>
      </c>
      <c r="F1323" s="63">
        <f>IF($D1323="",0,IF(ISNUMBER('Equipment by Location'!S20),'Equipment by Location'!S20,1))</f>
        <v>0</v>
      </c>
      <c r="G1323" s="64" t="str">
        <f t="shared" si="87"/>
        <v/>
      </c>
      <c r="H1323" s="64" t="str">
        <f t="shared" si="88"/>
        <v/>
      </c>
      <c r="I1323" s="63">
        <f>IF($G1323="",0,IF(COUNTIF($G$2:$G1323,$G1323)=1,1,0))</f>
        <v>0</v>
      </c>
      <c r="J1323" s="63" t="str">
        <f t="shared" si="89"/>
        <v/>
      </c>
      <c r="K1323" s="63" t="str">
        <f>IF($H1323="","",COUNTIF($H$2:$H1323,"?*"))</f>
        <v/>
      </c>
    </row>
    <row r="1324" spans="1:11" x14ac:dyDescent="0.25">
      <c r="A1324" s="63" t="s">
        <v>534</v>
      </c>
      <c r="B1324" s="63" t="s">
        <v>1337</v>
      </c>
      <c r="C1324" s="63" t="s">
        <v>1327</v>
      </c>
      <c r="D1324" s="63" t="str">
        <f>IF('Equipment by Location'!Q21="","",TRIM('Equipment by Location'!Q21))</f>
        <v/>
      </c>
      <c r="E1324" s="64" t="str">
        <f>IF($D1324="","",'Equipment by Location'!R21&amp;"")</f>
        <v/>
      </c>
      <c r="F1324" s="63">
        <f>IF($D1324="",0,IF(ISNUMBER('Equipment by Location'!S21),'Equipment by Location'!S21,1))</f>
        <v>0</v>
      </c>
      <c r="G1324" s="64" t="str">
        <f t="shared" si="87"/>
        <v/>
      </c>
      <c r="H1324" s="64" t="str">
        <f t="shared" si="88"/>
        <v/>
      </c>
      <c r="I1324" s="63">
        <f>IF($G1324="",0,IF(COUNTIF($G$2:$G1324,$G1324)=1,1,0))</f>
        <v>0</v>
      </c>
      <c r="J1324" s="63" t="str">
        <f t="shared" si="89"/>
        <v/>
      </c>
      <c r="K1324" s="63" t="str">
        <f>IF($H1324="","",COUNTIF($H$2:$H1324,"?*"))</f>
        <v/>
      </c>
    </row>
    <row r="1325" spans="1:11" x14ac:dyDescent="0.25">
      <c r="A1325" s="63" t="s">
        <v>534</v>
      </c>
      <c r="B1325" s="63" t="s">
        <v>1338</v>
      </c>
      <c r="C1325" s="63" t="s">
        <v>1327</v>
      </c>
      <c r="D1325" s="63" t="str">
        <f>IF('Equipment by Location'!Q22="","",TRIM('Equipment by Location'!Q22))</f>
        <v/>
      </c>
      <c r="E1325" s="64" t="str">
        <f>IF($D1325="","",'Equipment by Location'!R22&amp;"")</f>
        <v/>
      </c>
      <c r="F1325" s="63">
        <f>IF($D1325="",0,IF(ISNUMBER('Equipment by Location'!S22),'Equipment by Location'!S22,1))</f>
        <v>0</v>
      </c>
      <c r="G1325" s="64" t="str">
        <f t="shared" si="87"/>
        <v/>
      </c>
      <c r="H1325" s="64" t="str">
        <f t="shared" si="88"/>
        <v/>
      </c>
      <c r="I1325" s="63">
        <f>IF($G1325="",0,IF(COUNTIF($G$2:$G1325,$G1325)=1,1,0))</f>
        <v>0</v>
      </c>
      <c r="J1325" s="63" t="str">
        <f t="shared" si="89"/>
        <v/>
      </c>
      <c r="K1325" s="63" t="str">
        <f>IF($H1325="","",COUNTIF($H$2:$H1325,"?*"))</f>
        <v/>
      </c>
    </row>
    <row r="1326" spans="1:11" x14ac:dyDescent="0.25">
      <c r="A1326" s="63" t="s">
        <v>534</v>
      </c>
      <c r="B1326" s="63" t="s">
        <v>1339</v>
      </c>
      <c r="C1326" s="63" t="s">
        <v>1327</v>
      </c>
      <c r="D1326" s="63" t="str">
        <f>IF('Equipment by Location'!Q23="","",TRIM('Equipment by Location'!Q23))</f>
        <v/>
      </c>
      <c r="E1326" s="64" t="str">
        <f>IF($D1326="","",'Equipment by Location'!R23&amp;"")</f>
        <v/>
      </c>
      <c r="F1326" s="63">
        <f>IF($D1326="",0,IF(ISNUMBER('Equipment by Location'!S23),'Equipment by Location'!S23,1))</f>
        <v>0</v>
      </c>
      <c r="G1326" s="64" t="str">
        <f t="shared" si="87"/>
        <v/>
      </c>
      <c r="H1326" s="64" t="str">
        <f t="shared" si="88"/>
        <v/>
      </c>
      <c r="I1326" s="63">
        <f>IF($G1326="",0,IF(COUNTIF($G$2:$G1326,$G1326)=1,1,0))</f>
        <v>0</v>
      </c>
      <c r="J1326" s="63" t="str">
        <f t="shared" si="89"/>
        <v/>
      </c>
      <c r="K1326" s="63" t="str">
        <f>IF($H1326="","",COUNTIF($H$2:$H1326,"?*"))</f>
        <v/>
      </c>
    </row>
    <row r="1327" spans="1:11" x14ac:dyDescent="0.25">
      <c r="A1327" s="63" t="s">
        <v>534</v>
      </c>
      <c r="B1327" s="63" t="s">
        <v>1340</v>
      </c>
      <c r="C1327" s="63" t="s">
        <v>1327</v>
      </c>
      <c r="D1327" s="63" t="str">
        <f>IF('Equipment by Location'!Q24="","",TRIM('Equipment by Location'!Q24))</f>
        <v/>
      </c>
      <c r="E1327" s="64" t="str">
        <f>IF($D1327="","",'Equipment by Location'!R24&amp;"")</f>
        <v/>
      </c>
      <c r="F1327" s="63">
        <f>IF($D1327="",0,IF(ISNUMBER('Equipment by Location'!S24),'Equipment by Location'!S24,1))</f>
        <v>0</v>
      </c>
      <c r="G1327" s="64" t="str">
        <f t="shared" si="87"/>
        <v/>
      </c>
      <c r="H1327" s="64" t="str">
        <f t="shared" si="88"/>
        <v/>
      </c>
      <c r="I1327" s="63">
        <f>IF($G1327="",0,IF(COUNTIF($G$2:$G1327,$G1327)=1,1,0))</f>
        <v>0</v>
      </c>
      <c r="J1327" s="63" t="str">
        <f t="shared" si="89"/>
        <v/>
      </c>
      <c r="K1327" s="63" t="str">
        <f>IF($H1327="","",COUNTIF($H$2:$H1327,"?*"))</f>
        <v/>
      </c>
    </row>
    <row r="1328" spans="1:11" x14ac:dyDescent="0.25">
      <c r="A1328" s="63" t="s">
        <v>534</v>
      </c>
      <c r="B1328" s="63" t="s">
        <v>1341</v>
      </c>
      <c r="C1328" s="63" t="s">
        <v>1327</v>
      </c>
      <c r="D1328" s="63" t="str">
        <f>IF('Equipment by Location'!Q25="","",TRIM('Equipment by Location'!Q25))</f>
        <v/>
      </c>
      <c r="E1328" s="64" t="str">
        <f>IF($D1328="","",'Equipment by Location'!R25&amp;"")</f>
        <v/>
      </c>
      <c r="F1328" s="63">
        <f>IF($D1328="",0,IF(ISNUMBER('Equipment by Location'!S25),'Equipment by Location'!S25,1))</f>
        <v>0</v>
      </c>
      <c r="G1328" s="64" t="str">
        <f t="shared" si="87"/>
        <v/>
      </c>
      <c r="H1328" s="64" t="str">
        <f t="shared" si="88"/>
        <v/>
      </c>
      <c r="I1328" s="63">
        <f>IF($G1328="",0,IF(COUNTIF($G$2:$G1328,$G1328)=1,1,0))</f>
        <v>0</v>
      </c>
      <c r="J1328" s="63" t="str">
        <f t="shared" si="89"/>
        <v/>
      </c>
      <c r="K1328" s="63" t="str">
        <f>IF($H1328="","",COUNTIF($H$2:$H1328,"?*"))</f>
        <v/>
      </c>
    </row>
    <row r="1329" spans="1:11" x14ac:dyDescent="0.25">
      <c r="A1329" s="63" t="s">
        <v>534</v>
      </c>
      <c r="B1329" s="63" t="s">
        <v>1342</v>
      </c>
      <c r="C1329" s="63" t="s">
        <v>1327</v>
      </c>
      <c r="D1329" s="63" t="str">
        <f>IF('Equipment by Location'!Q26="","",TRIM('Equipment by Location'!Q26))</f>
        <v/>
      </c>
      <c r="E1329" s="64" t="str">
        <f>IF($D1329="","",'Equipment by Location'!R26&amp;"")</f>
        <v/>
      </c>
      <c r="F1329" s="63">
        <f>IF($D1329="",0,IF(ISNUMBER('Equipment by Location'!S26),'Equipment by Location'!S26,1))</f>
        <v>0</v>
      </c>
      <c r="G1329" s="64" t="str">
        <f t="shared" si="87"/>
        <v/>
      </c>
      <c r="H1329" s="64" t="str">
        <f t="shared" si="88"/>
        <v/>
      </c>
      <c r="I1329" s="63">
        <f>IF($G1329="",0,IF(COUNTIF($G$2:$G1329,$G1329)=1,1,0))</f>
        <v>0</v>
      </c>
      <c r="J1329" s="63" t="str">
        <f t="shared" si="89"/>
        <v/>
      </c>
      <c r="K1329" s="63" t="str">
        <f>IF($H1329="","",COUNTIF($H$2:$H1329,"?*"))</f>
        <v/>
      </c>
    </row>
    <row r="1330" spans="1:11" x14ac:dyDescent="0.25">
      <c r="A1330" s="63" t="s">
        <v>534</v>
      </c>
      <c r="B1330" s="63" t="s">
        <v>1343</v>
      </c>
      <c r="C1330" s="63" t="s">
        <v>1327</v>
      </c>
      <c r="D1330" s="63" t="str">
        <f>IF('Equipment by Location'!Q27="","",TRIM('Equipment by Location'!Q27))</f>
        <v/>
      </c>
      <c r="E1330" s="64" t="str">
        <f>IF($D1330="","",'Equipment by Location'!R27&amp;"")</f>
        <v/>
      </c>
      <c r="F1330" s="63">
        <f>IF($D1330="",0,IF(ISNUMBER('Equipment by Location'!S27),'Equipment by Location'!S27,1))</f>
        <v>0</v>
      </c>
      <c r="G1330" s="64" t="str">
        <f t="shared" si="87"/>
        <v/>
      </c>
      <c r="H1330" s="64" t="str">
        <f t="shared" si="88"/>
        <v/>
      </c>
      <c r="I1330" s="63">
        <f>IF($G1330="",0,IF(COUNTIF($G$2:$G1330,$G1330)=1,1,0))</f>
        <v>0</v>
      </c>
      <c r="J1330" s="63" t="str">
        <f t="shared" si="89"/>
        <v/>
      </c>
      <c r="K1330" s="63" t="str">
        <f>IF($H1330="","",COUNTIF($H$2:$H1330,"?*"))</f>
        <v/>
      </c>
    </row>
    <row r="1331" spans="1:11" x14ac:dyDescent="0.25">
      <c r="A1331" s="63" t="s">
        <v>534</v>
      </c>
      <c r="B1331" s="63" t="s">
        <v>1344</v>
      </c>
      <c r="C1331" s="63" t="s">
        <v>1327</v>
      </c>
      <c r="D1331" s="63" t="str">
        <f>IF('Equipment by Location'!Q28="","",TRIM('Equipment by Location'!Q28))</f>
        <v/>
      </c>
      <c r="E1331" s="64" t="str">
        <f>IF($D1331="","",'Equipment by Location'!R28&amp;"")</f>
        <v/>
      </c>
      <c r="F1331" s="63">
        <f>IF($D1331="",0,IF(ISNUMBER('Equipment by Location'!S28),'Equipment by Location'!S28,1))</f>
        <v>0</v>
      </c>
      <c r="G1331" s="64" t="str">
        <f t="shared" si="87"/>
        <v/>
      </c>
      <c r="H1331" s="64" t="str">
        <f t="shared" si="88"/>
        <v/>
      </c>
      <c r="I1331" s="63">
        <f>IF($G1331="",0,IF(COUNTIF($G$2:$G1331,$G1331)=1,1,0))</f>
        <v>0</v>
      </c>
      <c r="J1331" s="63" t="str">
        <f t="shared" si="89"/>
        <v/>
      </c>
      <c r="K1331" s="63" t="str">
        <f>IF($H1331="","",COUNTIF($H$2:$H1331,"?*"))</f>
        <v/>
      </c>
    </row>
    <row r="1332" spans="1:11" x14ac:dyDescent="0.25">
      <c r="A1332" s="63" t="s">
        <v>534</v>
      </c>
      <c r="B1332" s="63" t="s">
        <v>1345</v>
      </c>
      <c r="C1332" s="63" t="s">
        <v>1327</v>
      </c>
      <c r="D1332" s="63" t="str">
        <f>IF('Equipment by Location'!Q29="","",TRIM('Equipment by Location'!Q29))</f>
        <v/>
      </c>
      <c r="E1332" s="64" t="str">
        <f>IF($D1332="","",'Equipment by Location'!R29&amp;"")</f>
        <v/>
      </c>
      <c r="F1332" s="63">
        <f>IF($D1332="",0,IF(ISNUMBER('Equipment by Location'!S29),'Equipment by Location'!S29,1))</f>
        <v>0</v>
      </c>
      <c r="G1332" s="64" t="str">
        <f t="shared" si="87"/>
        <v/>
      </c>
      <c r="H1332" s="64" t="str">
        <f t="shared" si="88"/>
        <v/>
      </c>
      <c r="I1332" s="63">
        <f>IF($G1332="",0,IF(COUNTIF($G$2:$G1332,$G1332)=1,1,0))</f>
        <v>0</v>
      </c>
      <c r="J1332" s="63" t="str">
        <f t="shared" si="89"/>
        <v/>
      </c>
      <c r="K1332" s="63" t="str">
        <f>IF($H1332="","",COUNTIF($H$2:$H1332,"?*"))</f>
        <v/>
      </c>
    </row>
    <row r="1333" spans="1:11" x14ac:dyDescent="0.25">
      <c r="A1333" s="63" t="s">
        <v>534</v>
      </c>
      <c r="B1333" s="63" t="s">
        <v>1346</v>
      </c>
      <c r="C1333" s="63" t="s">
        <v>1327</v>
      </c>
      <c r="D1333" s="63" t="str">
        <f>IF('Equipment by Location'!Q30="","",TRIM('Equipment by Location'!Q30))</f>
        <v/>
      </c>
      <c r="E1333" s="64" t="str">
        <f>IF($D1333="","",'Equipment by Location'!R30&amp;"")</f>
        <v/>
      </c>
      <c r="F1333" s="63">
        <f>IF($D1333="",0,IF(ISNUMBER('Equipment by Location'!S30),'Equipment by Location'!S30,1))</f>
        <v>0</v>
      </c>
      <c r="G1333" s="64" t="str">
        <f t="shared" si="87"/>
        <v/>
      </c>
      <c r="H1333" s="64" t="str">
        <f t="shared" si="88"/>
        <v/>
      </c>
      <c r="I1333" s="63">
        <f>IF($G1333="",0,IF(COUNTIF($G$2:$G1333,$G1333)=1,1,0))</f>
        <v>0</v>
      </c>
      <c r="J1333" s="63" t="str">
        <f t="shared" si="89"/>
        <v/>
      </c>
      <c r="K1333" s="63" t="str">
        <f>IF($H1333="","",COUNTIF($H$2:$H1333,"?*"))</f>
        <v/>
      </c>
    </row>
    <row r="1334" spans="1:11" x14ac:dyDescent="0.25">
      <c r="A1334" s="63" t="s">
        <v>534</v>
      </c>
      <c r="B1334" s="63" t="s">
        <v>1347</v>
      </c>
      <c r="C1334" s="63" t="s">
        <v>1327</v>
      </c>
      <c r="D1334" s="63" t="str">
        <f>IF('Equipment by Location'!Q31="","",TRIM('Equipment by Location'!Q31))</f>
        <v/>
      </c>
      <c r="E1334" s="64" t="str">
        <f>IF($D1334="","",'Equipment by Location'!R31&amp;"")</f>
        <v/>
      </c>
      <c r="F1334" s="63">
        <f>IF($D1334="",0,IF(ISNUMBER('Equipment by Location'!S31),'Equipment by Location'!S31,1))</f>
        <v>0</v>
      </c>
      <c r="G1334" s="64" t="str">
        <f t="shared" si="87"/>
        <v/>
      </c>
      <c r="H1334" s="64" t="str">
        <f t="shared" si="88"/>
        <v/>
      </c>
      <c r="I1334" s="63">
        <f>IF($G1334="",0,IF(COUNTIF($G$2:$G1334,$G1334)=1,1,0))</f>
        <v>0</v>
      </c>
      <c r="J1334" s="63" t="str">
        <f t="shared" si="89"/>
        <v/>
      </c>
      <c r="K1334" s="63" t="str">
        <f>IF($H1334="","",COUNTIF($H$2:$H1334,"?*"))</f>
        <v/>
      </c>
    </row>
    <row r="1335" spans="1:11" x14ac:dyDescent="0.25">
      <c r="A1335" s="63" t="s">
        <v>534</v>
      </c>
      <c r="B1335" s="63" t="s">
        <v>1348</v>
      </c>
      <c r="C1335" s="63" t="s">
        <v>1327</v>
      </c>
      <c r="D1335" s="63" t="str">
        <f>IF('Equipment by Location'!Q32="","",TRIM('Equipment by Location'!Q32))</f>
        <v/>
      </c>
      <c r="E1335" s="64" t="str">
        <f>IF($D1335="","",'Equipment by Location'!R32&amp;"")</f>
        <v/>
      </c>
      <c r="F1335" s="63">
        <f>IF($D1335="",0,IF(ISNUMBER('Equipment by Location'!S32),'Equipment by Location'!S32,1))</f>
        <v>0</v>
      </c>
      <c r="G1335" s="64" t="str">
        <f t="shared" si="87"/>
        <v/>
      </c>
      <c r="H1335" s="64" t="str">
        <f t="shared" si="88"/>
        <v/>
      </c>
      <c r="I1335" s="63">
        <f>IF($G1335="",0,IF(COUNTIF($G$2:$G1335,$G1335)=1,1,0))</f>
        <v>0</v>
      </c>
      <c r="J1335" s="63" t="str">
        <f t="shared" si="89"/>
        <v/>
      </c>
      <c r="K1335" s="63" t="str">
        <f>IF($H1335="","",COUNTIF($H$2:$H1335,"?*"))</f>
        <v/>
      </c>
    </row>
    <row r="1336" spans="1:11" x14ac:dyDescent="0.25">
      <c r="A1336" s="63" t="s">
        <v>534</v>
      </c>
      <c r="B1336" s="63" t="s">
        <v>1349</v>
      </c>
      <c r="C1336" s="63" t="s">
        <v>1327</v>
      </c>
      <c r="D1336" s="63" t="str">
        <f>IF('Equipment by Location'!Q33="","",TRIM('Equipment by Location'!Q33))</f>
        <v/>
      </c>
      <c r="E1336" s="64" t="str">
        <f>IF($D1336="","",'Equipment by Location'!R33&amp;"")</f>
        <v/>
      </c>
      <c r="F1336" s="63">
        <f>IF($D1336="",0,IF(ISNUMBER('Equipment by Location'!S33),'Equipment by Location'!S33,1))</f>
        <v>0</v>
      </c>
      <c r="G1336" s="64" t="str">
        <f t="shared" si="87"/>
        <v/>
      </c>
      <c r="H1336" s="64" t="str">
        <f t="shared" si="88"/>
        <v/>
      </c>
      <c r="I1336" s="63">
        <f>IF($G1336="",0,IF(COUNTIF($G$2:$G1336,$G1336)=1,1,0))</f>
        <v>0</v>
      </c>
      <c r="J1336" s="63" t="str">
        <f t="shared" si="89"/>
        <v/>
      </c>
      <c r="K1336" s="63" t="str">
        <f>IF($H1336="","",COUNTIF($H$2:$H1336,"?*"))</f>
        <v/>
      </c>
    </row>
    <row r="1337" spans="1:11" x14ac:dyDescent="0.25">
      <c r="A1337" s="63" t="s">
        <v>534</v>
      </c>
      <c r="B1337" s="63" t="s">
        <v>1350</v>
      </c>
      <c r="C1337" s="63" t="s">
        <v>1327</v>
      </c>
      <c r="D1337" s="63" t="str">
        <f>IF('Equipment by Location'!Q34="","",TRIM('Equipment by Location'!Q34))</f>
        <v/>
      </c>
      <c r="E1337" s="64" t="str">
        <f>IF($D1337="","",'Equipment by Location'!R34&amp;"")</f>
        <v/>
      </c>
      <c r="F1337" s="63">
        <f>IF($D1337="",0,IF(ISNUMBER('Equipment by Location'!S34),'Equipment by Location'!S34,1))</f>
        <v>0</v>
      </c>
      <c r="G1337" s="64" t="str">
        <f t="shared" si="87"/>
        <v/>
      </c>
      <c r="H1337" s="64" t="str">
        <f t="shared" si="88"/>
        <v/>
      </c>
      <c r="I1337" s="63">
        <f>IF($G1337="",0,IF(COUNTIF($G$2:$G1337,$G1337)=1,1,0))</f>
        <v>0</v>
      </c>
      <c r="J1337" s="63" t="str">
        <f t="shared" si="89"/>
        <v/>
      </c>
      <c r="K1337" s="63" t="str">
        <f>IF($H1337="","",COUNTIF($H$2:$H1337,"?*"))</f>
        <v/>
      </c>
    </row>
    <row r="1338" spans="1:11" x14ac:dyDescent="0.25">
      <c r="A1338" s="63" t="s">
        <v>534</v>
      </c>
      <c r="B1338" s="63" t="s">
        <v>1351</v>
      </c>
      <c r="C1338" s="63" t="s">
        <v>1327</v>
      </c>
      <c r="D1338" s="63" t="str">
        <f>IF('Equipment by Location'!Q35="","",TRIM('Equipment by Location'!Q35))</f>
        <v/>
      </c>
      <c r="E1338" s="64" t="str">
        <f>IF($D1338="","",'Equipment by Location'!R35&amp;"")</f>
        <v/>
      </c>
      <c r="F1338" s="63">
        <f>IF($D1338="",0,IF(ISNUMBER('Equipment by Location'!S35),'Equipment by Location'!S35,1))</f>
        <v>0</v>
      </c>
      <c r="G1338" s="64" t="str">
        <f t="shared" si="87"/>
        <v/>
      </c>
      <c r="H1338" s="64" t="str">
        <f t="shared" si="88"/>
        <v/>
      </c>
      <c r="I1338" s="63">
        <f>IF($G1338="",0,IF(COUNTIF($G$2:$G1338,$G1338)=1,1,0))</f>
        <v>0</v>
      </c>
      <c r="J1338" s="63" t="str">
        <f t="shared" si="89"/>
        <v/>
      </c>
      <c r="K1338" s="63" t="str">
        <f>IF($H1338="","",COUNTIF($H$2:$H1338,"?*"))</f>
        <v/>
      </c>
    </row>
    <row r="1339" spans="1:11" x14ac:dyDescent="0.25">
      <c r="A1339" s="63" t="s">
        <v>534</v>
      </c>
      <c r="B1339" s="63" t="s">
        <v>1352</v>
      </c>
      <c r="C1339" s="63" t="s">
        <v>1327</v>
      </c>
      <c r="D1339" s="63" t="str">
        <f>IF('Equipment by Location'!Q36="","",TRIM('Equipment by Location'!Q36))</f>
        <v/>
      </c>
      <c r="E1339" s="64" t="str">
        <f>IF($D1339="","",'Equipment by Location'!R36&amp;"")</f>
        <v/>
      </c>
      <c r="F1339" s="63">
        <f>IF($D1339="",0,IF(ISNUMBER('Equipment by Location'!S36),'Equipment by Location'!S36,1))</f>
        <v>0</v>
      </c>
      <c r="G1339" s="64" t="str">
        <f t="shared" si="87"/>
        <v/>
      </c>
      <c r="H1339" s="64" t="str">
        <f t="shared" si="88"/>
        <v/>
      </c>
      <c r="I1339" s="63">
        <f>IF($G1339="",0,IF(COUNTIF($G$2:$G1339,$G1339)=1,1,0))</f>
        <v>0</v>
      </c>
      <c r="J1339" s="63" t="str">
        <f t="shared" si="89"/>
        <v/>
      </c>
      <c r="K1339" s="63" t="str">
        <f>IF($H1339="","",COUNTIF($H$2:$H1339,"?*"))</f>
        <v/>
      </c>
    </row>
    <row r="1340" spans="1:11" x14ac:dyDescent="0.25">
      <c r="A1340" s="63" t="s">
        <v>534</v>
      </c>
      <c r="B1340" s="63" t="s">
        <v>1353</v>
      </c>
      <c r="C1340" s="63" t="s">
        <v>1327</v>
      </c>
      <c r="D1340" s="63" t="str">
        <f>IF('Equipment by Location'!Q37="","",TRIM('Equipment by Location'!Q37))</f>
        <v/>
      </c>
      <c r="E1340" s="64" t="str">
        <f>IF($D1340="","",'Equipment by Location'!R37&amp;"")</f>
        <v/>
      </c>
      <c r="F1340" s="63">
        <f>IF($D1340="",0,IF(ISNUMBER('Equipment by Location'!S37),'Equipment by Location'!S37,1))</f>
        <v>0</v>
      </c>
      <c r="G1340" s="64" t="str">
        <f t="shared" si="87"/>
        <v/>
      </c>
      <c r="H1340" s="64" t="str">
        <f t="shared" si="88"/>
        <v/>
      </c>
      <c r="I1340" s="63">
        <f>IF($G1340="",0,IF(COUNTIF($G$2:$G1340,$G1340)=1,1,0))</f>
        <v>0</v>
      </c>
      <c r="J1340" s="63" t="str">
        <f t="shared" si="89"/>
        <v/>
      </c>
      <c r="K1340" s="63" t="str">
        <f>IF($H1340="","",COUNTIF($H$2:$H1340,"?*"))</f>
        <v/>
      </c>
    </row>
    <row r="1341" spans="1:11" x14ac:dyDescent="0.25">
      <c r="A1341" s="63" t="s">
        <v>534</v>
      </c>
      <c r="B1341" s="63" t="s">
        <v>1354</v>
      </c>
      <c r="C1341" s="63" t="s">
        <v>1327</v>
      </c>
      <c r="D1341" s="63" t="str">
        <f>IF('Equipment by Location'!Q38="","",TRIM('Equipment by Location'!Q38))</f>
        <v/>
      </c>
      <c r="E1341" s="64" t="str">
        <f>IF($D1341="","",'Equipment by Location'!R38&amp;"")</f>
        <v/>
      </c>
      <c r="F1341" s="63">
        <f>IF($D1341="",0,IF(ISNUMBER('Equipment by Location'!S38),'Equipment by Location'!S38,1))</f>
        <v>0</v>
      </c>
      <c r="G1341" s="64" t="str">
        <f t="shared" si="87"/>
        <v/>
      </c>
      <c r="H1341" s="64" t="str">
        <f t="shared" si="88"/>
        <v/>
      </c>
      <c r="I1341" s="63">
        <f>IF($G1341="",0,IF(COUNTIF($G$2:$G1341,$G1341)=1,1,0))</f>
        <v>0</v>
      </c>
      <c r="J1341" s="63" t="str">
        <f t="shared" si="89"/>
        <v/>
      </c>
      <c r="K1341" s="63" t="str">
        <f>IF($H1341="","",COUNTIF($H$2:$H1341,"?*"))</f>
        <v/>
      </c>
    </row>
    <row r="1342" spans="1:11" x14ac:dyDescent="0.25">
      <c r="A1342" s="63" t="s">
        <v>534</v>
      </c>
      <c r="B1342" s="63" t="s">
        <v>1355</v>
      </c>
      <c r="C1342" s="63" t="s">
        <v>1327</v>
      </c>
      <c r="D1342" s="63" t="str">
        <f>IF('Equipment by Location'!Q39="","",TRIM('Equipment by Location'!Q39))</f>
        <v/>
      </c>
      <c r="E1342" s="64" t="str">
        <f>IF($D1342="","",'Equipment by Location'!R39&amp;"")</f>
        <v/>
      </c>
      <c r="F1342" s="63">
        <f>IF($D1342="",0,IF(ISNUMBER('Equipment by Location'!S39),'Equipment by Location'!S39,1))</f>
        <v>0</v>
      </c>
      <c r="G1342" s="64" t="str">
        <f t="shared" si="87"/>
        <v/>
      </c>
      <c r="H1342" s="64" t="str">
        <f t="shared" si="88"/>
        <v/>
      </c>
      <c r="I1342" s="63">
        <f>IF($G1342="",0,IF(COUNTIF($G$2:$G1342,$G1342)=1,1,0))</f>
        <v>0</v>
      </c>
      <c r="J1342" s="63" t="str">
        <f t="shared" si="89"/>
        <v/>
      </c>
      <c r="K1342" s="63" t="str">
        <f>IF($H1342="","",COUNTIF($H$2:$H1342,"?*"))</f>
        <v/>
      </c>
    </row>
    <row r="1343" spans="1:11" x14ac:dyDescent="0.25">
      <c r="A1343" s="63" t="s">
        <v>534</v>
      </c>
      <c r="B1343" s="63" t="s">
        <v>1356</v>
      </c>
      <c r="C1343" s="63" t="s">
        <v>1327</v>
      </c>
      <c r="D1343" s="63" t="str">
        <f>IF('Equipment by Location'!Q40="","",TRIM('Equipment by Location'!Q40))</f>
        <v/>
      </c>
      <c r="E1343" s="64" t="str">
        <f>IF($D1343="","",'Equipment by Location'!R40&amp;"")</f>
        <v/>
      </c>
      <c r="F1343" s="63">
        <f>IF($D1343="",0,IF(ISNUMBER('Equipment by Location'!S40),'Equipment by Location'!S40,1))</f>
        <v>0</v>
      </c>
      <c r="G1343" s="64" t="str">
        <f t="shared" si="87"/>
        <v/>
      </c>
      <c r="H1343" s="64" t="str">
        <f t="shared" si="88"/>
        <v/>
      </c>
      <c r="I1343" s="63">
        <f>IF($G1343="",0,IF(COUNTIF($G$2:$G1343,$G1343)=1,1,0))</f>
        <v>0</v>
      </c>
      <c r="J1343" s="63" t="str">
        <f t="shared" si="89"/>
        <v/>
      </c>
      <c r="K1343" s="63" t="str">
        <f>IF($H1343="","",COUNTIF($H$2:$H1343,"?*"))</f>
        <v/>
      </c>
    </row>
    <row r="1344" spans="1:11" x14ac:dyDescent="0.25">
      <c r="A1344" s="63" t="s">
        <v>534</v>
      </c>
      <c r="B1344" s="63" t="s">
        <v>1357</v>
      </c>
      <c r="C1344" s="63" t="s">
        <v>1327</v>
      </c>
      <c r="D1344" s="63" t="str">
        <f>IF('Equipment by Location'!Q41="","",TRIM('Equipment by Location'!Q41))</f>
        <v/>
      </c>
      <c r="E1344" s="64" t="str">
        <f>IF($D1344="","",'Equipment by Location'!R41&amp;"")</f>
        <v/>
      </c>
      <c r="F1344" s="63">
        <f>IF($D1344="",0,IF(ISNUMBER('Equipment by Location'!S41),'Equipment by Location'!S41,1))</f>
        <v>0</v>
      </c>
      <c r="G1344" s="64" t="str">
        <f t="shared" si="87"/>
        <v/>
      </c>
      <c r="H1344" s="64" t="str">
        <f t="shared" si="88"/>
        <v/>
      </c>
      <c r="I1344" s="63">
        <f>IF($G1344="",0,IF(COUNTIF($G$2:$G1344,$G1344)=1,1,0))</f>
        <v>0</v>
      </c>
      <c r="J1344" s="63" t="str">
        <f t="shared" si="89"/>
        <v/>
      </c>
      <c r="K1344" s="63" t="str">
        <f>IF($H1344="","",COUNTIF($H$2:$H1344,"?*"))</f>
        <v/>
      </c>
    </row>
    <row r="1345" spans="1:11" x14ac:dyDescent="0.25">
      <c r="A1345" s="63" t="s">
        <v>534</v>
      </c>
      <c r="B1345" s="63" t="s">
        <v>1358</v>
      </c>
      <c r="C1345" s="63" t="s">
        <v>1327</v>
      </c>
      <c r="D1345" s="63" t="str">
        <f>IF('Equipment by Location'!Q42="","",TRIM('Equipment by Location'!Q42))</f>
        <v/>
      </c>
      <c r="E1345" s="64" t="str">
        <f>IF($D1345="","",'Equipment by Location'!R42&amp;"")</f>
        <v/>
      </c>
      <c r="F1345" s="63">
        <f>IF($D1345="",0,IF(ISNUMBER('Equipment by Location'!S42),'Equipment by Location'!S42,1))</f>
        <v>0</v>
      </c>
      <c r="G1345" s="64" t="str">
        <f t="shared" si="87"/>
        <v/>
      </c>
      <c r="H1345" s="64" t="str">
        <f t="shared" si="88"/>
        <v/>
      </c>
      <c r="I1345" s="63">
        <f>IF($G1345="",0,IF(COUNTIF($G$2:$G1345,$G1345)=1,1,0))</f>
        <v>0</v>
      </c>
      <c r="J1345" s="63" t="str">
        <f t="shared" si="89"/>
        <v/>
      </c>
      <c r="K1345" s="63" t="str">
        <f>IF($H1345="","",COUNTIF($H$2:$H1345,"?*"))</f>
        <v/>
      </c>
    </row>
    <row r="1346" spans="1:11" x14ac:dyDescent="0.25">
      <c r="A1346" s="63" t="s">
        <v>534</v>
      </c>
      <c r="B1346" s="63" t="s">
        <v>1359</v>
      </c>
      <c r="C1346" s="63" t="s">
        <v>1327</v>
      </c>
      <c r="D1346" s="63" t="str">
        <f>IF('Equipment by Location'!Q43="","",TRIM('Equipment by Location'!Q43))</f>
        <v/>
      </c>
      <c r="E1346" s="64" t="str">
        <f>IF($D1346="","",'Equipment by Location'!R43&amp;"")</f>
        <v/>
      </c>
      <c r="F1346" s="63">
        <f>IF($D1346="",0,IF(ISNUMBER('Equipment by Location'!S43),'Equipment by Location'!S43,1))</f>
        <v>0</v>
      </c>
      <c r="G1346" s="64" t="str">
        <f t="shared" ref="G1346:G1409" si="90">IF($D1346="","",IF(ISNUMBER(FIND("(",$D1346)),TRIM(LEFT($D1346,FIND("(",$D1346)-1)),$D1346))</f>
        <v/>
      </c>
      <c r="H1346" s="64" t="str">
        <f t="shared" ref="H1346:H1409" si="91">IF($D1346="","",IF(ISNUMBER(FIND("(",$D1346)),TRIM(SUBSTITUTE(MID($D1346,FIND("(",$D1346)+1,200),")","")),""))</f>
        <v/>
      </c>
      <c r="I1346" s="63">
        <f>IF($G1346="",0,IF(COUNTIF($G$2:$G1346,$G1346)=1,1,0))</f>
        <v>0</v>
      </c>
      <c r="J1346" s="63" t="str">
        <f t="shared" ref="J1346:J1409" si="92">IF($I1346=0,"",SUMPRODUCT(($I$2:$I$1513=1)*($G$2:$G$1513&lt;$G1346))+1)</f>
        <v/>
      </c>
      <c r="K1346" s="63" t="str">
        <f>IF($H1346="","",COUNTIF($H$2:$H1346,"?*"))</f>
        <v/>
      </c>
    </row>
    <row r="1347" spans="1:11" x14ac:dyDescent="0.25">
      <c r="A1347" s="63" t="s">
        <v>534</v>
      </c>
      <c r="B1347" s="63" t="s">
        <v>1360</v>
      </c>
      <c r="C1347" s="63" t="s">
        <v>1327</v>
      </c>
      <c r="D1347" s="63" t="str">
        <f>IF('Equipment by Location'!Q44="","",TRIM('Equipment by Location'!Q44))</f>
        <v/>
      </c>
      <c r="E1347" s="64" t="str">
        <f>IF($D1347="","",'Equipment by Location'!R44&amp;"")</f>
        <v/>
      </c>
      <c r="F1347" s="63">
        <f>IF($D1347="",0,IF(ISNUMBER('Equipment by Location'!S44),'Equipment by Location'!S44,1))</f>
        <v>0</v>
      </c>
      <c r="G1347" s="64" t="str">
        <f t="shared" si="90"/>
        <v/>
      </c>
      <c r="H1347" s="64" t="str">
        <f t="shared" si="91"/>
        <v/>
      </c>
      <c r="I1347" s="63">
        <f>IF($G1347="",0,IF(COUNTIF($G$2:$G1347,$G1347)=1,1,0))</f>
        <v>0</v>
      </c>
      <c r="J1347" s="63" t="str">
        <f t="shared" si="92"/>
        <v/>
      </c>
      <c r="K1347" s="63" t="str">
        <f>IF($H1347="","",COUNTIF($H$2:$H1347,"?*"))</f>
        <v/>
      </c>
    </row>
    <row r="1348" spans="1:11" x14ac:dyDescent="0.25">
      <c r="A1348" s="63" t="s">
        <v>534</v>
      </c>
      <c r="B1348" s="63" t="s">
        <v>1361</v>
      </c>
      <c r="C1348" s="63" t="s">
        <v>1327</v>
      </c>
      <c r="D1348" s="63" t="str">
        <f>IF('Equipment by Location'!Q45="","",TRIM('Equipment by Location'!Q45))</f>
        <v/>
      </c>
      <c r="E1348" s="64" t="str">
        <f>IF($D1348="","",'Equipment by Location'!R45&amp;"")</f>
        <v/>
      </c>
      <c r="F1348" s="63">
        <f>IF($D1348="",0,IF(ISNUMBER('Equipment by Location'!S45),'Equipment by Location'!S45,1))</f>
        <v>0</v>
      </c>
      <c r="G1348" s="64" t="str">
        <f t="shared" si="90"/>
        <v/>
      </c>
      <c r="H1348" s="64" t="str">
        <f t="shared" si="91"/>
        <v/>
      </c>
      <c r="I1348" s="63">
        <f>IF($G1348="",0,IF(COUNTIF($G$2:$G1348,$G1348)=1,1,0))</f>
        <v>0</v>
      </c>
      <c r="J1348" s="63" t="str">
        <f t="shared" si="92"/>
        <v/>
      </c>
      <c r="K1348" s="63" t="str">
        <f>IF($H1348="","",COUNTIF($H$2:$H1348,"?*"))</f>
        <v/>
      </c>
    </row>
    <row r="1349" spans="1:11" x14ac:dyDescent="0.25">
      <c r="A1349" s="63" t="s">
        <v>534</v>
      </c>
      <c r="B1349" s="63" t="s">
        <v>1362</v>
      </c>
      <c r="C1349" s="63" t="s">
        <v>1327</v>
      </c>
      <c r="D1349" s="63" t="str">
        <f>IF('Equipment by Location'!Q46="","",TRIM('Equipment by Location'!Q46))</f>
        <v/>
      </c>
      <c r="E1349" s="64" t="str">
        <f>IF($D1349="","",'Equipment by Location'!R46&amp;"")</f>
        <v/>
      </c>
      <c r="F1349" s="63">
        <f>IF($D1349="",0,IF(ISNUMBER('Equipment by Location'!S46),'Equipment by Location'!S46,1))</f>
        <v>0</v>
      </c>
      <c r="G1349" s="64" t="str">
        <f t="shared" si="90"/>
        <v/>
      </c>
      <c r="H1349" s="64" t="str">
        <f t="shared" si="91"/>
        <v/>
      </c>
      <c r="I1349" s="63">
        <f>IF($G1349="",0,IF(COUNTIF($G$2:$G1349,$G1349)=1,1,0))</f>
        <v>0</v>
      </c>
      <c r="J1349" s="63" t="str">
        <f t="shared" si="92"/>
        <v/>
      </c>
      <c r="K1349" s="63" t="str">
        <f>IF($H1349="","",COUNTIF($H$2:$H1349,"?*"))</f>
        <v/>
      </c>
    </row>
    <row r="1350" spans="1:11" x14ac:dyDescent="0.25">
      <c r="A1350" s="63" t="s">
        <v>534</v>
      </c>
      <c r="B1350" s="63" t="s">
        <v>1363</v>
      </c>
      <c r="C1350" s="63" t="s">
        <v>1327</v>
      </c>
      <c r="D1350" s="63" t="str">
        <f>IF('Equipment by Location'!Q47="","",TRIM('Equipment by Location'!Q47))</f>
        <v/>
      </c>
      <c r="E1350" s="64" t="str">
        <f>IF($D1350="","",'Equipment by Location'!R47&amp;"")</f>
        <v/>
      </c>
      <c r="F1350" s="63">
        <f>IF($D1350="",0,IF(ISNUMBER('Equipment by Location'!S47),'Equipment by Location'!S47,1))</f>
        <v>0</v>
      </c>
      <c r="G1350" s="64" t="str">
        <f t="shared" si="90"/>
        <v/>
      </c>
      <c r="H1350" s="64" t="str">
        <f t="shared" si="91"/>
        <v/>
      </c>
      <c r="I1350" s="63">
        <f>IF($G1350="",0,IF(COUNTIF($G$2:$G1350,$G1350)=1,1,0))</f>
        <v>0</v>
      </c>
      <c r="J1350" s="63" t="str">
        <f t="shared" si="92"/>
        <v/>
      </c>
      <c r="K1350" s="63" t="str">
        <f>IF($H1350="","",COUNTIF($H$2:$H1350,"?*"))</f>
        <v/>
      </c>
    </row>
    <row r="1351" spans="1:11" x14ac:dyDescent="0.25">
      <c r="A1351" s="63" t="s">
        <v>534</v>
      </c>
      <c r="B1351" s="63" t="s">
        <v>1364</v>
      </c>
      <c r="C1351" s="63" t="s">
        <v>1327</v>
      </c>
      <c r="D1351" s="63" t="str">
        <f>IF('Equipment by Location'!Q48="","",TRIM('Equipment by Location'!Q48))</f>
        <v/>
      </c>
      <c r="E1351" s="64" t="str">
        <f>IF($D1351="","",'Equipment by Location'!R48&amp;"")</f>
        <v/>
      </c>
      <c r="F1351" s="63">
        <f>IF($D1351="",0,IF(ISNUMBER('Equipment by Location'!S48),'Equipment by Location'!S48,1))</f>
        <v>0</v>
      </c>
      <c r="G1351" s="64" t="str">
        <f t="shared" si="90"/>
        <v/>
      </c>
      <c r="H1351" s="64" t="str">
        <f t="shared" si="91"/>
        <v/>
      </c>
      <c r="I1351" s="63">
        <f>IF($G1351="",0,IF(COUNTIF($G$2:$G1351,$G1351)=1,1,0))</f>
        <v>0</v>
      </c>
      <c r="J1351" s="63" t="str">
        <f t="shared" si="92"/>
        <v/>
      </c>
      <c r="K1351" s="63" t="str">
        <f>IF($H1351="","",COUNTIF($H$2:$H1351,"?*"))</f>
        <v/>
      </c>
    </row>
    <row r="1352" spans="1:11" x14ac:dyDescent="0.25">
      <c r="A1352" s="63" t="s">
        <v>534</v>
      </c>
      <c r="B1352" s="63" t="s">
        <v>1365</v>
      </c>
      <c r="C1352" s="63" t="s">
        <v>1327</v>
      </c>
      <c r="D1352" s="63" t="str">
        <f>IF('Equipment by Location'!Q49="","",TRIM('Equipment by Location'!Q49))</f>
        <v/>
      </c>
      <c r="E1352" s="64" t="str">
        <f>IF($D1352="","",'Equipment by Location'!R49&amp;"")</f>
        <v/>
      </c>
      <c r="F1352" s="63">
        <f>IF($D1352="",0,IF(ISNUMBER('Equipment by Location'!S49),'Equipment by Location'!S49,1))</f>
        <v>0</v>
      </c>
      <c r="G1352" s="64" t="str">
        <f t="shared" si="90"/>
        <v/>
      </c>
      <c r="H1352" s="64" t="str">
        <f t="shared" si="91"/>
        <v/>
      </c>
      <c r="I1352" s="63">
        <f>IF($G1352="",0,IF(COUNTIF($G$2:$G1352,$G1352)=1,1,0))</f>
        <v>0</v>
      </c>
      <c r="J1352" s="63" t="str">
        <f t="shared" si="92"/>
        <v/>
      </c>
      <c r="K1352" s="63" t="str">
        <f>IF($H1352="","",COUNTIF($H$2:$H1352,"?*"))</f>
        <v/>
      </c>
    </row>
    <row r="1353" spans="1:11" x14ac:dyDescent="0.25">
      <c r="A1353" s="63" t="s">
        <v>534</v>
      </c>
      <c r="B1353" s="63" t="s">
        <v>1366</v>
      </c>
      <c r="C1353" s="63" t="s">
        <v>1327</v>
      </c>
      <c r="D1353" s="63" t="str">
        <f>IF('Equipment by Location'!Q50="","",TRIM('Equipment by Location'!Q50))</f>
        <v/>
      </c>
      <c r="E1353" s="64" t="str">
        <f>IF($D1353="","",'Equipment by Location'!R50&amp;"")</f>
        <v/>
      </c>
      <c r="F1353" s="63">
        <f>IF($D1353="",0,IF(ISNUMBER('Equipment by Location'!S50),'Equipment by Location'!S50,1))</f>
        <v>0</v>
      </c>
      <c r="G1353" s="64" t="str">
        <f t="shared" si="90"/>
        <v/>
      </c>
      <c r="H1353" s="64" t="str">
        <f t="shared" si="91"/>
        <v/>
      </c>
      <c r="I1353" s="63">
        <f>IF($G1353="",0,IF(COUNTIF($G$2:$G1353,$G1353)=1,1,0))</f>
        <v>0</v>
      </c>
      <c r="J1353" s="63" t="str">
        <f t="shared" si="92"/>
        <v/>
      </c>
      <c r="K1353" s="63" t="str">
        <f>IF($H1353="","",COUNTIF($H$2:$H1353,"?*"))</f>
        <v/>
      </c>
    </row>
    <row r="1354" spans="1:11" x14ac:dyDescent="0.25">
      <c r="A1354" s="63" t="s">
        <v>535</v>
      </c>
      <c r="B1354" s="63" t="s">
        <v>1367</v>
      </c>
      <c r="C1354" s="63" t="s">
        <v>1327</v>
      </c>
      <c r="D1354" s="63" t="str">
        <f>IF('SA &amp; Dallas Warehouses'!A11="","",TRIM('SA &amp; Dallas Warehouses'!A11))</f>
        <v>Bunn ITCB</v>
      </c>
      <c r="E1354" s="64" t="str">
        <f>IF($D1354="","",'SA &amp; Dallas Warehouses'!B11&amp;"")</f>
        <v>ITCB105226</v>
      </c>
      <c r="F1354" s="65">
        <f>IF($D1354="",0,IF(ISNUMBER('SA &amp; Dallas Warehouses'!C11),'SA &amp; Dallas Warehouses'!C11,1))</f>
        <v>1</v>
      </c>
      <c r="G1354" s="64" t="str">
        <f t="shared" si="90"/>
        <v>Bunn ITCB</v>
      </c>
      <c r="H1354" s="64" t="str">
        <f t="shared" si="91"/>
        <v/>
      </c>
      <c r="I1354" s="63">
        <f>IF($G1354="",0,IF(COUNTIF($G$2:$G1354,$G1354)=1,1,0))</f>
        <v>0</v>
      </c>
      <c r="J1354" s="63" t="str">
        <f t="shared" si="92"/>
        <v/>
      </c>
      <c r="K1354" s="63" t="str">
        <f>IF($H1354="","",COUNTIF($H$2:$H1354,"?*"))</f>
        <v/>
      </c>
    </row>
    <row r="1355" spans="1:11" x14ac:dyDescent="0.25">
      <c r="A1355" s="63" t="s">
        <v>535</v>
      </c>
      <c r="B1355" s="63" t="s">
        <v>1368</v>
      </c>
      <c r="C1355" s="63" t="s">
        <v>1327</v>
      </c>
      <c r="D1355" s="63" t="str">
        <f>IF('SA &amp; Dallas Warehouses'!A12="","",TRIM('SA &amp; Dallas Warehouses'!A12))</f>
        <v>Fetco 1252 Plus</v>
      </c>
      <c r="E1355" s="64" t="str">
        <f>IF($D1355="","",'SA &amp; Dallas Warehouses'!B12&amp;"")</f>
        <v xml:space="preserve">1252UB2304923049233759  </v>
      </c>
      <c r="F1355" s="65">
        <f>IF($D1355="",0,IF(ISNUMBER('SA &amp; Dallas Warehouses'!C12),'SA &amp; Dallas Warehouses'!C12,1))</f>
        <v>1</v>
      </c>
      <c r="G1355" s="64" t="str">
        <f t="shared" si="90"/>
        <v>Fetco 1252 Plus</v>
      </c>
      <c r="H1355" s="64" t="str">
        <f t="shared" si="91"/>
        <v/>
      </c>
      <c r="I1355" s="63">
        <f>IF($G1355="",0,IF(COUNTIF($G$2:$G1355,$G1355)=1,1,0))</f>
        <v>0</v>
      </c>
      <c r="J1355" s="63" t="str">
        <f t="shared" si="92"/>
        <v/>
      </c>
      <c r="K1355" s="63" t="str">
        <f>IF($H1355="","",COUNTIF($H$2:$H1355,"?*"))</f>
        <v/>
      </c>
    </row>
    <row r="1356" spans="1:11" x14ac:dyDescent="0.25">
      <c r="A1356" s="63" t="s">
        <v>535</v>
      </c>
      <c r="B1356" s="63" t="s">
        <v>1369</v>
      </c>
      <c r="C1356" s="63" t="s">
        <v>1327</v>
      </c>
      <c r="D1356" s="63" t="str">
        <f>IF('SA &amp; Dallas Warehouses'!A13="","",TRIM('SA &amp; Dallas Warehouses'!A13))</f>
        <v>Mazzer Robur Automatic S</v>
      </c>
      <c r="E1356" s="64" t="str">
        <f>IF($D1356="","",'SA &amp; Dallas Warehouses'!B13&amp;"")</f>
        <v>2242353</v>
      </c>
      <c r="F1356" s="65">
        <f>IF($D1356="",0,IF(ISNUMBER('SA &amp; Dallas Warehouses'!C13),'SA &amp; Dallas Warehouses'!C13,1))</f>
        <v>1</v>
      </c>
      <c r="G1356" s="64" t="str">
        <f t="shared" si="90"/>
        <v>Mazzer Robur Automatic S</v>
      </c>
      <c r="H1356" s="64" t="str">
        <f t="shared" si="91"/>
        <v/>
      </c>
      <c r="I1356" s="63">
        <f>IF($G1356="",0,IF(COUNTIF($G$2:$G1356,$G1356)=1,1,0))</f>
        <v>1</v>
      </c>
      <c r="J1356" s="63">
        <f t="shared" si="92"/>
        <v>76</v>
      </c>
      <c r="K1356" s="63" t="str">
        <f>IF($H1356="","",COUNTIF($H$2:$H1356,"?*"))</f>
        <v/>
      </c>
    </row>
    <row r="1357" spans="1:11" x14ac:dyDescent="0.25">
      <c r="A1357" s="63" t="s">
        <v>535</v>
      </c>
      <c r="B1357" s="63" t="s">
        <v>1370</v>
      </c>
      <c r="C1357" s="63" t="s">
        <v>1327</v>
      </c>
      <c r="D1357" s="63" t="str">
        <f>IF('SA &amp; Dallas Warehouses'!A14="","",TRIM('SA &amp; Dallas Warehouses'!A14))</f>
        <v>Mazzer Super Jolly Timer</v>
      </c>
      <c r="E1357" s="64" t="str">
        <f>IF($D1357="","",'SA &amp; Dallas Warehouses'!B14&amp;"")</f>
        <v>2403603</v>
      </c>
      <c r="F1357" s="65">
        <f>IF($D1357="",0,IF(ISNUMBER('SA &amp; Dallas Warehouses'!C14),'SA &amp; Dallas Warehouses'!C14,1))</f>
        <v>1</v>
      </c>
      <c r="G1357" s="64" t="str">
        <f t="shared" si="90"/>
        <v>Mazzer Super Jolly Timer</v>
      </c>
      <c r="H1357" s="64" t="str">
        <f t="shared" si="91"/>
        <v/>
      </c>
      <c r="I1357" s="63">
        <f>IF($G1357="",0,IF(COUNTIF($G$2:$G1357,$G1357)=1,1,0))</f>
        <v>1</v>
      </c>
      <c r="J1357" s="63">
        <f t="shared" si="92"/>
        <v>78</v>
      </c>
      <c r="K1357" s="63" t="str">
        <f>IF($H1357="","",COUNTIF($H$2:$H1357,"?*"))</f>
        <v/>
      </c>
    </row>
    <row r="1358" spans="1:11" x14ac:dyDescent="0.25">
      <c r="A1358" s="63" t="s">
        <v>535</v>
      </c>
      <c r="B1358" s="63" t="s">
        <v>1371</v>
      </c>
      <c r="C1358" s="63" t="s">
        <v>1327</v>
      </c>
      <c r="D1358" s="63" t="str">
        <f>IF('SA &amp; Dallas Warehouses'!A15="","",TRIM('SA &amp; Dallas Warehouses'!A15))</f>
        <v>Bunn G3</v>
      </c>
      <c r="E1358" s="64" t="str">
        <f>IF($D1358="","",'SA &amp; Dallas Warehouses'!B15&amp;"")</f>
        <v>G300037527</v>
      </c>
      <c r="F1358" s="65">
        <f>IF($D1358="",0,IF(ISNUMBER('SA &amp; Dallas Warehouses'!C15),'SA &amp; Dallas Warehouses'!C15,1))</f>
        <v>1</v>
      </c>
      <c r="G1358" s="64" t="str">
        <f t="shared" si="90"/>
        <v>Bunn G3</v>
      </c>
      <c r="H1358" s="64" t="str">
        <f t="shared" si="91"/>
        <v/>
      </c>
      <c r="I1358" s="63">
        <f>IF($G1358="",0,IF(COUNTIF($G$2:$G1358,$G1358)=1,1,0))</f>
        <v>0</v>
      </c>
      <c r="J1358" s="63" t="str">
        <f t="shared" si="92"/>
        <v/>
      </c>
      <c r="K1358" s="63" t="str">
        <f>IF($H1358="","",COUNTIF($H$2:$H1358,"?*"))</f>
        <v/>
      </c>
    </row>
    <row r="1359" spans="1:11" x14ac:dyDescent="0.25">
      <c r="A1359" s="63" t="s">
        <v>535</v>
      </c>
      <c r="B1359" s="63" t="s">
        <v>1372</v>
      </c>
      <c r="C1359" s="63" t="s">
        <v>1327</v>
      </c>
      <c r="D1359" s="63" t="str">
        <f>IF('SA &amp; Dallas Warehouses'!A16="","",TRIM('SA &amp; Dallas Warehouses'!A16))</f>
        <v>Bunn FPG-2E</v>
      </c>
      <c r="E1359" s="64" t="str">
        <f>IF($D1359="","",'SA &amp; Dallas Warehouses'!B16&amp;"")</f>
        <v>LPG0077016</v>
      </c>
      <c r="F1359" s="65">
        <f>IF($D1359="",0,IF(ISNUMBER('SA &amp; Dallas Warehouses'!C16),'SA &amp; Dallas Warehouses'!C16,1))</f>
        <v>1</v>
      </c>
      <c r="G1359" s="64" t="str">
        <f t="shared" si="90"/>
        <v>Bunn FPG-2E</v>
      </c>
      <c r="H1359" s="64" t="str">
        <f t="shared" si="91"/>
        <v/>
      </c>
      <c r="I1359" s="63">
        <f>IF($G1359="",0,IF(COUNTIF($G$2:$G1359,$G1359)=1,1,0))</f>
        <v>0</v>
      </c>
      <c r="J1359" s="63" t="str">
        <f t="shared" si="92"/>
        <v/>
      </c>
      <c r="K1359" s="63" t="str">
        <f>IF($H1359="","",COUNTIF($H$2:$H1359,"?*"))</f>
        <v/>
      </c>
    </row>
    <row r="1360" spans="1:11" x14ac:dyDescent="0.25">
      <c r="A1360" s="63" t="s">
        <v>535</v>
      </c>
      <c r="B1360" s="63" t="s">
        <v>1373</v>
      </c>
      <c r="C1360" s="63" t="s">
        <v>1327</v>
      </c>
      <c r="D1360" s="63" t="str">
        <f>IF('SA &amp; Dallas Warehouses'!A17="","",TRIM('SA &amp; Dallas Warehouses'!A17))</f>
        <v>Bunn G9-2T</v>
      </c>
      <c r="E1360" s="64" t="str">
        <f>IF($D1360="","",'SA &amp; Dallas Warehouses'!B17&amp;"")</f>
        <v>G900046511</v>
      </c>
      <c r="F1360" s="65">
        <f>IF($D1360="",0,IF(ISNUMBER('SA &amp; Dallas Warehouses'!C17),'SA &amp; Dallas Warehouses'!C17,1))</f>
        <v>1</v>
      </c>
      <c r="G1360" s="64" t="str">
        <f t="shared" si="90"/>
        <v>Bunn G9-2T</v>
      </c>
      <c r="H1360" s="64" t="str">
        <f t="shared" si="91"/>
        <v/>
      </c>
      <c r="I1360" s="63">
        <f>IF($G1360="",0,IF(COUNTIF($G$2:$G1360,$G1360)=1,1,0))</f>
        <v>0</v>
      </c>
      <c r="J1360" s="63" t="str">
        <f t="shared" si="92"/>
        <v/>
      </c>
      <c r="K1360" s="63" t="str">
        <f>IF($H1360="","",COUNTIF($H$2:$H1360,"?*"))</f>
        <v/>
      </c>
    </row>
    <row r="1361" spans="1:11" x14ac:dyDescent="0.25">
      <c r="A1361" s="63" t="s">
        <v>535</v>
      </c>
      <c r="B1361" s="63" t="s">
        <v>1374</v>
      </c>
      <c r="C1361" s="63" t="s">
        <v>1327</v>
      </c>
      <c r="D1361" s="63" t="str">
        <f>IF('SA &amp; Dallas Warehouses'!A18="","",TRIM('SA &amp; Dallas Warehouses'!A18))</f>
        <v>Bunn H5X 120V</v>
      </c>
      <c r="E1361" s="64" t="str">
        <f>IF($D1361="","",'SA &amp; Dallas Warehouses'!B18&amp;"")</f>
        <v>HX00143258</v>
      </c>
      <c r="F1361" s="65">
        <f>IF($D1361="",0,IF(ISNUMBER('SA &amp; Dallas Warehouses'!C18),'SA &amp; Dallas Warehouses'!C18,1))</f>
        <v>1</v>
      </c>
      <c r="G1361" s="64" t="str">
        <f t="shared" si="90"/>
        <v>Bunn H5X 120V</v>
      </c>
      <c r="H1361" s="64" t="str">
        <f t="shared" si="91"/>
        <v/>
      </c>
      <c r="I1361" s="63">
        <f>IF($G1361="",0,IF(COUNTIF($G$2:$G1361,$G1361)=1,1,0))</f>
        <v>0</v>
      </c>
      <c r="J1361" s="63" t="str">
        <f t="shared" si="92"/>
        <v/>
      </c>
      <c r="K1361" s="63" t="str">
        <f>IF($H1361="","",COUNTIF($H$2:$H1361,"?*"))</f>
        <v/>
      </c>
    </row>
    <row r="1362" spans="1:11" x14ac:dyDescent="0.25">
      <c r="A1362" s="63" t="s">
        <v>535</v>
      </c>
      <c r="B1362" s="63" t="s">
        <v>1375</v>
      </c>
      <c r="C1362" s="63" t="s">
        <v>1327</v>
      </c>
      <c r="D1362" s="63" t="str">
        <f>IF('SA &amp; Dallas Warehouses'!A19="","",TRIM('SA &amp; Dallas Warehouses'!A19))</f>
        <v>Bunn G1</v>
      </c>
      <c r="E1362" s="64" t="str">
        <f>IF($D1362="","",'SA &amp; Dallas Warehouses'!B19&amp;"")</f>
        <v>G100013007</v>
      </c>
      <c r="F1362" s="65">
        <f>IF($D1362="",0,IF(ISNUMBER('SA &amp; Dallas Warehouses'!C19),'SA &amp; Dallas Warehouses'!C19,1))</f>
        <v>1</v>
      </c>
      <c r="G1362" s="64" t="str">
        <f t="shared" si="90"/>
        <v>Bunn G1</v>
      </c>
      <c r="H1362" s="64" t="str">
        <f t="shared" si="91"/>
        <v/>
      </c>
      <c r="I1362" s="63">
        <f>IF($G1362="",0,IF(COUNTIF($G$2:$G1362,$G1362)=1,1,0))</f>
        <v>1</v>
      </c>
      <c r="J1362" s="63">
        <f t="shared" si="92"/>
        <v>11</v>
      </c>
      <c r="K1362" s="63" t="str">
        <f>IF($H1362="","",COUNTIF($H$2:$H1362,"?*"))</f>
        <v/>
      </c>
    </row>
    <row r="1363" spans="1:11" x14ac:dyDescent="0.25">
      <c r="A1363" s="63" t="s">
        <v>535</v>
      </c>
      <c r="B1363" s="63" t="s">
        <v>1376</v>
      </c>
      <c r="C1363" s="63" t="s">
        <v>1327</v>
      </c>
      <c r="D1363" s="63" t="str">
        <f>IF('SA &amp; Dallas Warehouses'!A20="","",TRIM('SA &amp; Dallas Warehouses'!A20))</f>
        <v>Eversys Cameo c'2s</v>
      </c>
      <c r="E1363" s="64" t="str">
        <f>IF($D1363="","",'SA &amp; Dallas Warehouses'!B20&amp;"")</f>
        <v>0099820023247C0024</v>
      </c>
      <c r="F1363" s="65">
        <f>IF($D1363="",0,IF(ISNUMBER('SA &amp; Dallas Warehouses'!C20),'SA &amp; Dallas Warehouses'!C20,1))</f>
        <v>1</v>
      </c>
      <c r="G1363" s="64" t="str">
        <f t="shared" si="90"/>
        <v>Eversys Cameo c'2s</v>
      </c>
      <c r="H1363" s="64" t="str">
        <f t="shared" si="91"/>
        <v/>
      </c>
      <c r="I1363" s="63">
        <f>IF($G1363="",0,IF(COUNTIF($G$2:$G1363,$G1363)=1,1,0))</f>
        <v>0</v>
      </c>
      <c r="J1363" s="63" t="str">
        <f t="shared" si="92"/>
        <v/>
      </c>
      <c r="K1363" s="63" t="str">
        <f>IF($H1363="","",COUNTIF($H$2:$H1363,"?*"))</f>
        <v/>
      </c>
    </row>
    <row r="1364" spans="1:11" x14ac:dyDescent="0.25">
      <c r="A1364" s="63" t="s">
        <v>535</v>
      </c>
      <c r="B1364" s="63" t="s">
        <v>1377</v>
      </c>
      <c r="C1364" s="63" t="s">
        <v>1327</v>
      </c>
      <c r="D1364" s="63" t="str">
        <f>IF('SA &amp; Dallas Warehouses'!A21="","",TRIM('SA &amp; Dallas Warehouses'!A21))</f>
        <v/>
      </c>
      <c r="E1364" s="64" t="str">
        <f>IF($D1364="","",'SA &amp; Dallas Warehouses'!B21&amp;"")</f>
        <v/>
      </c>
      <c r="F1364" s="63">
        <f>IF($D1364="",0,IF(ISNUMBER('SA &amp; Dallas Warehouses'!C21),'SA &amp; Dallas Warehouses'!C21,1))</f>
        <v>0</v>
      </c>
      <c r="G1364" s="64" t="str">
        <f t="shared" si="90"/>
        <v/>
      </c>
      <c r="H1364" s="64" t="str">
        <f t="shared" si="91"/>
        <v/>
      </c>
      <c r="I1364" s="63">
        <f>IF($G1364="",0,IF(COUNTIF($G$2:$G1364,$G1364)=1,1,0))</f>
        <v>0</v>
      </c>
      <c r="J1364" s="63" t="str">
        <f t="shared" si="92"/>
        <v/>
      </c>
      <c r="K1364" s="63" t="str">
        <f>IF($H1364="","",COUNTIF($H$2:$H1364,"?*"))</f>
        <v/>
      </c>
    </row>
    <row r="1365" spans="1:11" x14ac:dyDescent="0.25">
      <c r="A1365" s="63" t="s">
        <v>535</v>
      </c>
      <c r="B1365" s="63" t="s">
        <v>1378</v>
      </c>
      <c r="C1365" s="63" t="s">
        <v>1327</v>
      </c>
      <c r="D1365" s="63" t="str">
        <f>IF('SA &amp; Dallas Warehouses'!A22="","",TRIM('SA &amp; Dallas Warehouses'!A22))</f>
        <v/>
      </c>
      <c r="E1365" s="64" t="str">
        <f>IF($D1365="","",'SA &amp; Dallas Warehouses'!B22&amp;"")</f>
        <v/>
      </c>
      <c r="F1365" s="63">
        <f>IF($D1365="",0,IF(ISNUMBER('SA &amp; Dallas Warehouses'!C22),'SA &amp; Dallas Warehouses'!C22,1))</f>
        <v>0</v>
      </c>
      <c r="G1365" s="64" t="str">
        <f t="shared" si="90"/>
        <v/>
      </c>
      <c r="H1365" s="64" t="str">
        <f t="shared" si="91"/>
        <v/>
      </c>
      <c r="I1365" s="63">
        <f>IF($G1365="",0,IF(COUNTIF($G$2:$G1365,$G1365)=1,1,0))</f>
        <v>0</v>
      </c>
      <c r="J1365" s="63" t="str">
        <f t="shared" si="92"/>
        <v/>
      </c>
      <c r="K1365" s="63" t="str">
        <f>IF($H1365="","",COUNTIF($H$2:$H1365,"?*"))</f>
        <v/>
      </c>
    </row>
    <row r="1366" spans="1:11" x14ac:dyDescent="0.25">
      <c r="A1366" s="63" t="s">
        <v>535</v>
      </c>
      <c r="B1366" s="63" t="s">
        <v>1379</v>
      </c>
      <c r="C1366" s="63" t="s">
        <v>1327</v>
      </c>
      <c r="D1366" s="63" t="str">
        <f>IF('SA &amp; Dallas Warehouses'!A23="","",TRIM('SA &amp; Dallas Warehouses'!A23))</f>
        <v/>
      </c>
      <c r="E1366" s="64" t="str">
        <f>IF($D1366="","",'SA &amp; Dallas Warehouses'!B23&amp;"")</f>
        <v/>
      </c>
      <c r="F1366" s="63">
        <f>IF($D1366="",0,IF(ISNUMBER('SA &amp; Dallas Warehouses'!C23),'SA &amp; Dallas Warehouses'!C23,1))</f>
        <v>0</v>
      </c>
      <c r="G1366" s="64" t="str">
        <f t="shared" si="90"/>
        <v/>
      </c>
      <c r="H1366" s="64" t="str">
        <f t="shared" si="91"/>
        <v/>
      </c>
      <c r="I1366" s="63">
        <f>IF($G1366="",0,IF(COUNTIF($G$2:$G1366,$G1366)=1,1,0))</f>
        <v>0</v>
      </c>
      <c r="J1366" s="63" t="str">
        <f t="shared" si="92"/>
        <v/>
      </c>
      <c r="K1366" s="63" t="str">
        <f>IF($H1366="","",COUNTIF($H$2:$H1366,"?*"))</f>
        <v/>
      </c>
    </row>
    <row r="1367" spans="1:11" x14ac:dyDescent="0.25">
      <c r="A1367" s="63" t="s">
        <v>535</v>
      </c>
      <c r="B1367" s="63" t="s">
        <v>1380</v>
      </c>
      <c r="C1367" s="63" t="s">
        <v>1327</v>
      </c>
      <c r="D1367" s="63" t="str">
        <f>IF('SA &amp; Dallas Warehouses'!A24="","",TRIM('SA &amp; Dallas Warehouses'!A24))</f>
        <v/>
      </c>
      <c r="E1367" s="64" t="str">
        <f>IF($D1367="","",'SA &amp; Dallas Warehouses'!B24&amp;"")</f>
        <v/>
      </c>
      <c r="F1367" s="63">
        <f>IF($D1367="",0,IF(ISNUMBER('SA &amp; Dallas Warehouses'!C24),'SA &amp; Dallas Warehouses'!C24,1))</f>
        <v>0</v>
      </c>
      <c r="G1367" s="64" t="str">
        <f t="shared" si="90"/>
        <v/>
      </c>
      <c r="H1367" s="64" t="str">
        <f t="shared" si="91"/>
        <v/>
      </c>
      <c r="I1367" s="63">
        <f>IF($G1367="",0,IF(COUNTIF($G$2:$G1367,$G1367)=1,1,0))</f>
        <v>0</v>
      </c>
      <c r="J1367" s="63" t="str">
        <f t="shared" si="92"/>
        <v/>
      </c>
      <c r="K1367" s="63" t="str">
        <f>IF($H1367="","",COUNTIF($H$2:$H1367,"?*"))</f>
        <v/>
      </c>
    </row>
    <row r="1368" spans="1:11" x14ac:dyDescent="0.25">
      <c r="A1368" s="63" t="s">
        <v>535</v>
      </c>
      <c r="B1368" s="63" t="s">
        <v>1381</v>
      </c>
      <c r="C1368" s="63" t="s">
        <v>1327</v>
      </c>
      <c r="D1368" s="63" t="str">
        <f>IF('SA &amp; Dallas Warehouses'!A25="","",TRIM('SA &amp; Dallas Warehouses'!A25))</f>
        <v/>
      </c>
      <c r="E1368" s="64" t="str">
        <f>IF($D1368="","",'SA &amp; Dallas Warehouses'!B25&amp;"")</f>
        <v/>
      </c>
      <c r="F1368" s="63">
        <f>IF($D1368="",0,IF(ISNUMBER('SA &amp; Dallas Warehouses'!C25),'SA &amp; Dallas Warehouses'!C25,1))</f>
        <v>0</v>
      </c>
      <c r="G1368" s="64" t="str">
        <f t="shared" si="90"/>
        <v/>
      </c>
      <c r="H1368" s="64" t="str">
        <f t="shared" si="91"/>
        <v/>
      </c>
      <c r="I1368" s="63">
        <f>IF($G1368="",0,IF(COUNTIF($G$2:$G1368,$G1368)=1,1,0))</f>
        <v>0</v>
      </c>
      <c r="J1368" s="63" t="str">
        <f t="shared" si="92"/>
        <v/>
      </c>
      <c r="K1368" s="63" t="str">
        <f>IF($H1368="","",COUNTIF($H$2:$H1368,"?*"))</f>
        <v/>
      </c>
    </row>
    <row r="1369" spans="1:11" x14ac:dyDescent="0.25">
      <c r="A1369" s="63" t="s">
        <v>535</v>
      </c>
      <c r="B1369" s="63" t="s">
        <v>1382</v>
      </c>
      <c r="C1369" s="63" t="s">
        <v>1327</v>
      </c>
      <c r="D1369" s="63" t="str">
        <f>IF('SA &amp; Dallas Warehouses'!A26="","",TRIM('SA &amp; Dallas Warehouses'!A26))</f>
        <v/>
      </c>
      <c r="E1369" s="64" t="str">
        <f>IF($D1369="","",'SA &amp; Dallas Warehouses'!B26&amp;"")</f>
        <v/>
      </c>
      <c r="F1369" s="63">
        <f>IF($D1369="",0,IF(ISNUMBER('SA &amp; Dallas Warehouses'!C26),'SA &amp; Dallas Warehouses'!C26,1))</f>
        <v>0</v>
      </c>
      <c r="G1369" s="64" t="str">
        <f t="shared" si="90"/>
        <v/>
      </c>
      <c r="H1369" s="64" t="str">
        <f t="shared" si="91"/>
        <v/>
      </c>
      <c r="I1369" s="63">
        <f>IF($G1369="",0,IF(COUNTIF($G$2:$G1369,$G1369)=1,1,0))</f>
        <v>0</v>
      </c>
      <c r="J1369" s="63" t="str">
        <f t="shared" si="92"/>
        <v/>
      </c>
      <c r="K1369" s="63" t="str">
        <f>IF($H1369="","",COUNTIF($H$2:$H1369,"?*"))</f>
        <v/>
      </c>
    </row>
    <row r="1370" spans="1:11" x14ac:dyDescent="0.25">
      <c r="A1370" s="63" t="s">
        <v>535</v>
      </c>
      <c r="B1370" s="63" t="s">
        <v>1383</v>
      </c>
      <c r="C1370" s="63" t="s">
        <v>1327</v>
      </c>
      <c r="D1370" s="63" t="str">
        <f>IF('SA &amp; Dallas Warehouses'!A27="","",TRIM('SA &amp; Dallas Warehouses'!A27))</f>
        <v/>
      </c>
      <c r="E1370" s="64" t="str">
        <f>IF($D1370="","",'SA &amp; Dallas Warehouses'!B27&amp;"")</f>
        <v/>
      </c>
      <c r="F1370" s="63">
        <f>IF($D1370="",0,IF(ISNUMBER('SA &amp; Dallas Warehouses'!C27),'SA &amp; Dallas Warehouses'!C27,1))</f>
        <v>0</v>
      </c>
      <c r="G1370" s="64" t="str">
        <f t="shared" si="90"/>
        <v/>
      </c>
      <c r="H1370" s="64" t="str">
        <f t="shared" si="91"/>
        <v/>
      </c>
      <c r="I1370" s="63">
        <f>IF($G1370="",0,IF(COUNTIF($G$2:$G1370,$G1370)=1,1,0))</f>
        <v>0</v>
      </c>
      <c r="J1370" s="63" t="str">
        <f t="shared" si="92"/>
        <v/>
      </c>
      <c r="K1370" s="63" t="str">
        <f>IF($H1370="","",COUNTIF($H$2:$H1370,"?*"))</f>
        <v/>
      </c>
    </row>
    <row r="1371" spans="1:11" x14ac:dyDescent="0.25">
      <c r="A1371" s="63" t="s">
        <v>535</v>
      </c>
      <c r="B1371" s="63" t="s">
        <v>1384</v>
      </c>
      <c r="C1371" s="63" t="s">
        <v>1327</v>
      </c>
      <c r="D1371" s="63" t="str">
        <f>IF('SA &amp; Dallas Warehouses'!A28="","",TRIM('SA &amp; Dallas Warehouses'!A28))</f>
        <v/>
      </c>
      <c r="E1371" s="64" t="str">
        <f>IF($D1371="","",'SA &amp; Dallas Warehouses'!B28&amp;"")</f>
        <v/>
      </c>
      <c r="F1371" s="63">
        <f>IF($D1371="",0,IF(ISNUMBER('SA &amp; Dallas Warehouses'!C28),'SA &amp; Dallas Warehouses'!C28,1))</f>
        <v>0</v>
      </c>
      <c r="G1371" s="64" t="str">
        <f t="shared" si="90"/>
        <v/>
      </c>
      <c r="H1371" s="64" t="str">
        <f t="shared" si="91"/>
        <v/>
      </c>
      <c r="I1371" s="63">
        <f>IF($G1371="",0,IF(COUNTIF($G$2:$G1371,$G1371)=1,1,0))</f>
        <v>0</v>
      </c>
      <c r="J1371" s="63" t="str">
        <f t="shared" si="92"/>
        <v/>
      </c>
      <c r="K1371" s="63" t="str">
        <f>IF($H1371="","",COUNTIF($H$2:$H1371,"?*"))</f>
        <v/>
      </c>
    </row>
    <row r="1372" spans="1:11" x14ac:dyDescent="0.25">
      <c r="A1372" s="63" t="s">
        <v>535</v>
      </c>
      <c r="B1372" s="63" t="s">
        <v>1385</v>
      </c>
      <c r="C1372" s="63" t="s">
        <v>1327</v>
      </c>
      <c r="D1372" s="63" t="str">
        <f>IF('SA &amp; Dallas Warehouses'!A29="","",TRIM('SA &amp; Dallas Warehouses'!A29))</f>
        <v/>
      </c>
      <c r="E1372" s="64" t="str">
        <f>IF($D1372="","",'SA &amp; Dallas Warehouses'!B29&amp;"")</f>
        <v/>
      </c>
      <c r="F1372" s="63">
        <f>IF($D1372="",0,IF(ISNUMBER('SA &amp; Dallas Warehouses'!C29),'SA &amp; Dallas Warehouses'!C29,1))</f>
        <v>0</v>
      </c>
      <c r="G1372" s="64" t="str">
        <f t="shared" si="90"/>
        <v/>
      </c>
      <c r="H1372" s="64" t="str">
        <f t="shared" si="91"/>
        <v/>
      </c>
      <c r="I1372" s="63">
        <f>IF($G1372="",0,IF(COUNTIF($G$2:$G1372,$G1372)=1,1,0))</f>
        <v>0</v>
      </c>
      <c r="J1372" s="63" t="str">
        <f t="shared" si="92"/>
        <v/>
      </c>
      <c r="K1372" s="63" t="str">
        <f>IF($H1372="","",COUNTIF($H$2:$H1372,"?*"))</f>
        <v/>
      </c>
    </row>
    <row r="1373" spans="1:11" x14ac:dyDescent="0.25">
      <c r="A1373" s="63" t="s">
        <v>535</v>
      </c>
      <c r="B1373" s="63" t="s">
        <v>1386</v>
      </c>
      <c r="C1373" s="63" t="s">
        <v>1327</v>
      </c>
      <c r="D1373" s="63" t="str">
        <f>IF('SA &amp; Dallas Warehouses'!A30="","",TRIM('SA &amp; Dallas Warehouses'!A30))</f>
        <v/>
      </c>
      <c r="E1373" s="64" t="str">
        <f>IF($D1373="","",'SA &amp; Dallas Warehouses'!B30&amp;"")</f>
        <v/>
      </c>
      <c r="F1373" s="63">
        <f>IF($D1373="",0,IF(ISNUMBER('SA &amp; Dallas Warehouses'!C30),'SA &amp; Dallas Warehouses'!C30,1))</f>
        <v>0</v>
      </c>
      <c r="G1373" s="64" t="str">
        <f t="shared" si="90"/>
        <v/>
      </c>
      <c r="H1373" s="64" t="str">
        <f t="shared" si="91"/>
        <v/>
      </c>
      <c r="I1373" s="63">
        <f>IF($G1373="",0,IF(COUNTIF($G$2:$G1373,$G1373)=1,1,0))</f>
        <v>0</v>
      </c>
      <c r="J1373" s="63" t="str">
        <f t="shared" si="92"/>
        <v/>
      </c>
      <c r="K1373" s="63" t="str">
        <f>IF($H1373="","",COUNTIF($H$2:$H1373,"?*"))</f>
        <v/>
      </c>
    </row>
    <row r="1374" spans="1:11" x14ac:dyDescent="0.25">
      <c r="A1374" s="63" t="s">
        <v>535</v>
      </c>
      <c r="B1374" s="63" t="s">
        <v>1387</v>
      </c>
      <c r="C1374" s="63" t="s">
        <v>1327</v>
      </c>
      <c r="D1374" s="63" t="str">
        <f>IF('SA &amp; Dallas Warehouses'!A31="","",TRIM('SA &amp; Dallas Warehouses'!A31))</f>
        <v/>
      </c>
      <c r="E1374" s="64" t="str">
        <f>IF($D1374="","",'SA &amp; Dallas Warehouses'!B31&amp;"")</f>
        <v/>
      </c>
      <c r="F1374" s="63">
        <f>IF($D1374="",0,IF(ISNUMBER('SA &amp; Dallas Warehouses'!C31),'SA &amp; Dallas Warehouses'!C31,1))</f>
        <v>0</v>
      </c>
      <c r="G1374" s="64" t="str">
        <f t="shared" si="90"/>
        <v/>
      </c>
      <c r="H1374" s="64" t="str">
        <f t="shared" si="91"/>
        <v/>
      </c>
      <c r="I1374" s="63">
        <f>IF($G1374="",0,IF(COUNTIF($G$2:$G1374,$G1374)=1,1,0))</f>
        <v>0</v>
      </c>
      <c r="J1374" s="63" t="str">
        <f t="shared" si="92"/>
        <v/>
      </c>
      <c r="K1374" s="63" t="str">
        <f>IF($H1374="","",COUNTIF($H$2:$H1374,"?*"))</f>
        <v/>
      </c>
    </row>
    <row r="1375" spans="1:11" x14ac:dyDescent="0.25">
      <c r="A1375" s="63" t="s">
        <v>535</v>
      </c>
      <c r="B1375" s="63" t="s">
        <v>1388</v>
      </c>
      <c r="C1375" s="63" t="s">
        <v>1327</v>
      </c>
      <c r="D1375" s="63" t="str">
        <f>IF('SA &amp; Dallas Warehouses'!A32="","",TRIM('SA &amp; Dallas Warehouses'!A32))</f>
        <v/>
      </c>
      <c r="E1375" s="64" t="str">
        <f>IF($D1375="","",'SA &amp; Dallas Warehouses'!B32&amp;"")</f>
        <v/>
      </c>
      <c r="F1375" s="63">
        <f>IF($D1375="",0,IF(ISNUMBER('SA &amp; Dallas Warehouses'!C32),'SA &amp; Dallas Warehouses'!C32,1))</f>
        <v>0</v>
      </c>
      <c r="G1375" s="64" t="str">
        <f t="shared" si="90"/>
        <v/>
      </c>
      <c r="H1375" s="64" t="str">
        <f t="shared" si="91"/>
        <v/>
      </c>
      <c r="I1375" s="63">
        <f>IF($G1375="",0,IF(COUNTIF($G$2:$G1375,$G1375)=1,1,0))</f>
        <v>0</v>
      </c>
      <c r="J1375" s="63" t="str">
        <f t="shared" si="92"/>
        <v/>
      </c>
      <c r="K1375" s="63" t="str">
        <f>IF($H1375="","",COUNTIF($H$2:$H1375,"?*"))</f>
        <v/>
      </c>
    </row>
    <row r="1376" spans="1:11" x14ac:dyDescent="0.25">
      <c r="A1376" s="63" t="s">
        <v>535</v>
      </c>
      <c r="B1376" s="63" t="s">
        <v>1389</v>
      </c>
      <c r="C1376" s="63" t="s">
        <v>1327</v>
      </c>
      <c r="D1376" s="63" t="str">
        <f>IF('SA &amp; Dallas Warehouses'!A33="","",TRIM('SA &amp; Dallas Warehouses'!A33))</f>
        <v/>
      </c>
      <c r="E1376" s="64" t="str">
        <f>IF($D1376="","",'SA &amp; Dallas Warehouses'!B33&amp;"")</f>
        <v/>
      </c>
      <c r="F1376" s="63">
        <f>IF($D1376="",0,IF(ISNUMBER('SA &amp; Dallas Warehouses'!C33),'SA &amp; Dallas Warehouses'!C33,1))</f>
        <v>0</v>
      </c>
      <c r="G1376" s="64" t="str">
        <f t="shared" si="90"/>
        <v/>
      </c>
      <c r="H1376" s="64" t="str">
        <f t="shared" si="91"/>
        <v/>
      </c>
      <c r="I1376" s="63">
        <f>IF($G1376="",0,IF(COUNTIF($G$2:$G1376,$G1376)=1,1,0))</f>
        <v>0</v>
      </c>
      <c r="J1376" s="63" t="str">
        <f t="shared" si="92"/>
        <v/>
      </c>
      <c r="K1376" s="63" t="str">
        <f>IF($H1376="","",COUNTIF($H$2:$H1376,"?*"))</f>
        <v/>
      </c>
    </row>
    <row r="1377" spans="1:11" x14ac:dyDescent="0.25">
      <c r="A1377" s="63" t="s">
        <v>535</v>
      </c>
      <c r="B1377" s="63" t="s">
        <v>1390</v>
      </c>
      <c r="C1377" s="63" t="s">
        <v>1327</v>
      </c>
      <c r="D1377" s="63" t="str">
        <f>IF('SA &amp; Dallas Warehouses'!A34="","",TRIM('SA &amp; Dallas Warehouses'!A34))</f>
        <v/>
      </c>
      <c r="E1377" s="64" t="str">
        <f>IF($D1377="","",'SA &amp; Dallas Warehouses'!B34&amp;"")</f>
        <v/>
      </c>
      <c r="F1377" s="63">
        <f>IF($D1377="",0,IF(ISNUMBER('SA &amp; Dallas Warehouses'!C34),'SA &amp; Dallas Warehouses'!C34,1))</f>
        <v>0</v>
      </c>
      <c r="G1377" s="64" t="str">
        <f t="shared" si="90"/>
        <v/>
      </c>
      <c r="H1377" s="64" t="str">
        <f t="shared" si="91"/>
        <v/>
      </c>
      <c r="I1377" s="63">
        <f>IF($G1377="",0,IF(COUNTIF($G$2:$G1377,$G1377)=1,1,0))</f>
        <v>0</v>
      </c>
      <c r="J1377" s="63" t="str">
        <f t="shared" si="92"/>
        <v/>
      </c>
      <c r="K1377" s="63" t="str">
        <f>IF($H1377="","",COUNTIF($H$2:$H1377,"?*"))</f>
        <v/>
      </c>
    </row>
    <row r="1378" spans="1:11" x14ac:dyDescent="0.25">
      <c r="A1378" s="63" t="s">
        <v>535</v>
      </c>
      <c r="B1378" s="63" t="s">
        <v>1391</v>
      </c>
      <c r="C1378" s="63" t="s">
        <v>1327</v>
      </c>
      <c r="D1378" s="63" t="str">
        <f>IF('SA &amp; Dallas Warehouses'!A35="","",TRIM('SA &amp; Dallas Warehouses'!A35))</f>
        <v/>
      </c>
      <c r="E1378" s="64" t="str">
        <f>IF($D1378="","",'SA &amp; Dallas Warehouses'!B35&amp;"")</f>
        <v/>
      </c>
      <c r="F1378" s="63">
        <f>IF($D1378="",0,IF(ISNUMBER('SA &amp; Dallas Warehouses'!C35),'SA &amp; Dallas Warehouses'!C35,1))</f>
        <v>0</v>
      </c>
      <c r="G1378" s="64" t="str">
        <f t="shared" si="90"/>
        <v/>
      </c>
      <c r="H1378" s="64" t="str">
        <f t="shared" si="91"/>
        <v/>
      </c>
      <c r="I1378" s="63">
        <f>IF($G1378="",0,IF(COUNTIF($G$2:$G1378,$G1378)=1,1,0))</f>
        <v>0</v>
      </c>
      <c r="J1378" s="63" t="str">
        <f t="shared" si="92"/>
        <v/>
      </c>
      <c r="K1378" s="63" t="str">
        <f>IF($H1378="","",COUNTIF($H$2:$H1378,"?*"))</f>
        <v/>
      </c>
    </row>
    <row r="1379" spans="1:11" x14ac:dyDescent="0.25">
      <c r="A1379" s="63" t="s">
        <v>535</v>
      </c>
      <c r="B1379" s="63" t="s">
        <v>1392</v>
      </c>
      <c r="C1379" s="63" t="s">
        <v>1327</v>
      </c>
      <c r="D1379" s="63" t="str">
        <f>IF('SA &amp; Dallas Warehouses'!A36="","",TRIM('SA &amp; Dallas Warehouses'!A36))</f>
        <v/>
      </c>
      <c r="E1379" s="64" t="str">
        <f>IF($D1379="","",'SA &amp; Dallas Warehouses'!B36&amp;"")</f>
        <v/>
      </c>
      <c r="F1379" s="63">
        <f>IF($D1379="",0,IF(ISNUMBER('SA &amp; Dallas Warehouses'!C36),'SA &amp; Dallas Warehouses'!C36,1))</f>
        <v>0</v>
      </c>
      <c r="G1379" s="64" t="str">
        <f t="shared" si="90"/>
        <v/>
      </c>
      <c r="H1379" s="64" t="str">
        <f t="shared" si="91"/>
        <v/>
      </c>
      <c r="I1379" s="63">
        <f>IF($G1379="",0,IF(COUNTIF($G$2:$G1379,$G1379)=1,1,0))</f>
        <v>0</v>
      </c>
      <c r="J1379" s="63" t="str">
        <f t="shared" si="92"/>
        <v/>
      </c>
      <c r="K1379" s="63" t="str">
        <f>IF($H1379="","",COUNTIF($H$2:$H1379,"?*"))</f>
        <v/>
      </c>
    </row>
    <row r="1380" spans="1:11" x14ac:dyDescent="0.25">
      <c r="A1380" s="63" t="s">
        <v>535</v>
      </c>
      <c r="B1380" s="63" t="s">
        <v>1393</v>
      </c>
      <c r="C1380" s="63" t="s">
        <v>1327</v>
      </c>
      <c r="D1380" s="63" t="str">
        <f>IF('SA &amp; Dallas Warehouses'!A37="","",TRIM('SA &amp; Dallas Warehouses'!A37))</f>
        <v/>
      </c>
      <c r="E1380" s="64" t="str">
        <f>IF($D1380="","",'SA &amp; Dallas Warehouses'!B37&amp;"")</f>
        <v/>
      </c>
      <c r="F1380" s="63">
        <f>IF($D1380="",0,IF(ISNUMBER('SA &amp; Dallas Warehouses'!C37),'SA &amp; Dallas Warehouses'!C37,1))</f>
        <v>0</v>
      </c>
      <c r="G1380" s="64" t="str">
        <f t="shared" si="90"/>
        <v/>
      </c>
      <c r="H1380" s="64" t="str">
        <f t="shared" si="91"/>
        <v/>
      </c>
      <c r="I1380" s="63">
        <f>IF($G1380="",0,IF(COUNTIF($G$2:$G1380,$G1380)=1,1,0))</f>
        <v>0</v>
      </c>
      <c r="J1380" s="63" t="str">
        <f t="shared" si="92"/>
        <v/>
      </c>
      <c r="K1380" s="63" t="str">
        <f>IF($H1380="","",COUNTIF($H$2:$H1380,"?*"))</f>
        <v/>
      </c>
    </row>
    <row r="1381" spans="1:11" x14ac:dyDescent="0.25">
      <c r="A1381" s="63" t="s">
        <v>535</v>
      </c>
      <c r="B1381" s="63" t="s">
        <v>1394</v>
      </c>
      <c r="C1381" s="63" t="s">
        <v>1327</v>
      </c>
      <c r="D1381" s="63" t="str">
        <f>IF('SA &amp; Dallas Warehouses'!A38="","",TRIM('SA &amp; Dallas Warehouses'!A38))</f>
        <v/>
      </c>
      <c r="E1381" s="64" t="str">
        <f>IF($D1381="","",'SA &amp; Dallas Warehouses'!B38&amp;"")</f>
        <v/>
      </c>
      <c r="F1381" s="63">
        <f>IF($D1381="",0,IF(ISNUMBER('SA &amp; Dallas Warehouses'!C38),'SA &amp; Dallas Warehouses'!C38,1))</f>
        <v>0</v>
      </c>
      <c r="G1381" s="64" t="str">
        <f t="shared" si="90"/>
        <v/>
      </c>
      <c r="H1381" s="64" t="str">
        <f t="shared" si="91"/>
        <v/>
      </c>
      <c r="I1381" s="63">
        <f>IF($G1381="",0,IF(COUNTIF($G$2:$G1381,$G1381)=1,1,0))</f>
        <v>0</v>
      </c>
      <c r="J1381" s="63" t="str">
        <f t="shared" si="92"/>
        <v/>
      </c>
      <c r="K1381" s="63" t="str">
        <f>IF($H1381="","",COUNTIF($H$2:$H1381,"?*"))</f>
        <v/>
      </c>
    </row>
    <row r="1382" spans="1:11" x14ac:dyDescent="0.25">
      <c r="A1382" s="63" t="s">
        <v>535</v>
      </c>
      <c r="B1382" s="63" t="s">
        <v>1395</v>
      </c>
      <c r="C1382" s="63" t="s">
        <v>1327</v>
      </c>
      <c r="D1382" s="63" t="str">
        <f>IF('SA &amp; Dallas Warehouses'!A39="","",TRIM('SA &amp; Dallas Warehouses'!A39))</f>
        <v/>
      </c>
      <c r="E1382" s="64" t="str">
        <f>IF($D1382="","",'SA &amp; Dallas Warehouses'!B39&amp;"")</f>
        <v/>
      </c>
      <c r="F1382" s="63">
        <f>IF($D1382="",0,IF(ISNUMBER('SA &amp; Dallas Warehouses'!C39),'SA &amp; Dallas Warehouses'!C39,1))</f>
        <v>0</v>
      </c>
      <c r="G1382" s="64" t="str">
        <f t="shared" si="90"/>
        <v/>
      </c>
      <c r="H1382" s="64" t="str">
        <f t="shared" si="91"/>
        <v/>
      </c>
      <c r="I1382" s="63">
        <f>IF($G1382="",0,IF(COUNTIF($G$2:$G1382,$G1382)=1,1,0))</f>
        <v>0</v>
      </c>
      <c r="J1382" s="63" t="str">
        <f t="shared" si="92"/>
        <v/>
      </c>
      <c r="K1382" s="63" t="str">
        <f>IF($H1382="","",COUNTIF($H$2:$H1382,"?*"))</f>
        <v/>
      </c>
    </row>
    <row r="1383" spans="1:11" x14ac:dyDescent="0.25">
      <c r="A1383" s="63" t="s">
        <v>535</v>
      </c>
      <c r="B1383" s="63" t="s">
        <v>1396</v>
      </c>
      <c r="C1383" s="63" t="s">
        <v>1327</v>
      </c>
      <c r="D1383" s="63" t="str">
        <f>IF('SA &amp; Dallas Warehouses'!A40="","",TRIM('SA &amp; Dallas Warehouses'!A40))</f>
        <v/>
      </c>
      <c r="E1383" s="64" t="str">
        <f>IF($D1383="","",'SA &amp; Dallas Warehouses'!B40&amp;"")</f>
        <v/>
      </c>
      <c r="F1383" s="63">
        <f>IF($D1383="",0,IF(ISNUMBER('SA &amp; Dallas Warehouses'!C40),'SA &amp; Dallas Warehouses'!C40,1))</f>
        <v>0</v>
      </c>
      <c r="G1383" s="64" t="str">
        <f t="shared" si="90"/>
        <v/>
      </c>
      <c r="H1383" s="64" t="str">
        <f t="shared" si="91"/>
        <v/>
      </c>
      <c r="I1383" s="63">
        <f>IF($G1383="",0,IF(COUNTIF($G$2:$G1383,$G1383)=1,1,0))</f>
        <v>0</v>
      </c>
      <c r="J1383" s="63" t="str">
        <f t="shared" si="92"/>
        <v/>
      </c>
      <c r="K1383" s="63" t="str">
        <f>IF($H1383="","",COUNTIF($H$2:$H1383,"?*"))</f>
        <v/>
      </c>
    </row>
    <row r="1384" spans="1:11" x14ac:dyDescent="0.25">
      <c r="A1384" s="63" t="s">
        <v>535</v>
      </c>
      <c r="B1384" s="63" t="s">
        <v>1397</v>
      </c>
      <c r="C1384" s="63" t="s">
        <v>1327</v>
      </c>
      <c r="D1384" s="63" t="str">
        <f>IF('SA &amp; Dallas Warehouses'!A41="","",TRIM('SA &amp; Dallas Warehouses'!A41))</f>
        <v/>
      </c>
      <c r="E1384" s="64" t="str">
        <f>IF($D1384="","",'SA &amp; Dallas Warehouses'!B41&amp;"")</f>
        <v/>
      </c>
      <c r="F1384" s="63">
        <f>IF($D1384="",0,IF(ISNUMBER('SA &amp; Dallas Warehouses'!C41),'SA &amp; Dallas Warehouses'!C41,1))</f>
        <v>0</v>
      </c>
      <c r="G1384" s="64" t="str">
        <f t="shared" si="90"/>
        <v/>
      </c>
      <c r="H1384" s="64" t="str">
        <f t="shared" si="91"/>
        <v/>
      </c>
      <c r="I1384" s="63">
        <f>IF($G1384="",0,IF(COUNTIF($G$2:$G1384,$G1384)=1,1,0))</f>
        <v>0</v>
      </c>
      <c r="J1384" s="63" t="str">
        <f t="shared" si="92"/>
        <v/>
      </c>
      <c r="K1384" s="63" t="str">
        <f>IF($H1384="","",COUNTIF($H$2:$H1384,"?*"))</f>
        <v/>
      </c>
    </row>
    <row r="1385" spans="1:11" x14ac:dyDescent="0.25">
      <c r="A1385" s="63" t="s">
        <v>535</v>
      </c>
      <c r="B1385" s="63" t="s">
        <v>1398</v>
      </c>
      <c r="C1385" s="63" t="s">
        <v>1327</v>
      </c>
      <c r="D1385" s="63" t="str">
        <f>IF('SA &amp; Dallas Warehouses'!A42="","",TRIM('SA &amp; Dallas Warehouses'!A42))</f>
        <v/>
      </c>
      <c r="E1385" s="64" t="str">
        <f>IF($D1385="","",'SA &amp; Dallas Warehouses'!B42&amp;"")</f>
        <v/>
      </c>
      <c r="F1385" s="63">
        <f>IF($D1385="",0,IF(ISNUMBER('SA &amp; Dallas Warehouses'!C42),'SA &amp; Dallas Warehouses'!C42,1))</f>
        <v>0</v>
      </c>
      <c r="G1385" s="64" t="str">
        <f t="shared" si="90"/>
        <v/>
      </c>
      <c r="H1385" s="64" t="str">
        <f t="shared" si="91"/>
        <v/>
      </c>
      <c r="I1385" s="63">
        <f>IF($G1385="",0,IF(COUNTIF($G$2:$G1385,$G1385)=1,1,0))</f>
        <v>0</v>
      </c>
      <c r="J1385" s="63" t="str">
        <f t="shared" si="92"/>
        <v/>
      </c>
      <c r="K1385" s="63" t="str">
        <f>IF($H1385="","",COUNTIF($H$2:$H1385,"?*"))</f>
        <v/>
      </c>
    </row>
    <row r="1386" spans="1:11" x14ac:dyDescent="0.25">
      <c r="A1386" s="63" t="s">
        <v>535</v>
      </c>
      <c r="B1386" s="63" t="s">
        <v>1399</v>
      </c>
      <c r="C1386" s="63" t="s">
        <v>1327</v>
      </c>
      <c r="D1386" s="63" t="str">
        <f>IF('SA &amp; Dallas Warehouses'!A43="","",TRIM('SA &amp; Dallas Warehouses'!A43))</f>
        <v/>
      </c>
      <c r="E1386" s="64" t="str">
        <f>IF($D1386="","",'SA &amp; Dallas Warehouses'!B43&amp;"")</f>
        <v/>
      </c>
      <c r="F1386" s="63">
        <f>IF($D1386="",0,IF(ISNUMBER('SA &amp; Dallas Warehouses'!C43),'SA &amp; Dallas Warehouses'!C43,1))</f>
        <v>0</v>
      </c>
      <c r="G1386" s="64" t="str">
        <f t="shared" si="90"/>
        <v/>
      </c>
      <c r="H1386" s="64" t="str">
        <f t="shared" si="91"/>
        <v/>
      </c>
      <c r="I1386" s="63">
        <f>IF($G1386="",0,IF(COUNTIF($G$2:$G1386,$G1386)=1,1,0))</f>
        <v>0</v>
      </c>
      <c r="J1386" s="63" t="str">
        <f t="shared" si="92"/>
        <v/>
      </c>
      <c r="K1386" s="63" t="str">
        <f>IF($H1386="","",COUNTIF($H$2:$H1386,"?*"))</f>
        <v/>
      </c>
    </row>
    <row r="1387" spans="1:11" x14ac:dyDescent="0.25">
      <c r="A1387" s="63" t="s">
        <v>535</v>
      </c>
      <c r="B1387" s="63" t="s">
        <v>1400</v>
      </c>
      <c r="C1387" s="63" t="s">
        <v>1327</v>
      </c>
      <c r="D1387" s="63" t="str">
        <f>IF('SA &amp; Dallas Warehouses'!A44="","",TRIM('SA &amp; Dallas Warehouses'!A44))</f>
        <v/>
      </c>
      <c r="E1387" s="64" t="str">
        <f>IF($D1387="","",'SA &amp; Dallas Warehouses'!B44&amp;"")</f>
        <v/>
      </c>
      <c r="F1387" s="63">
        <f>IF($D1387="",0,IF(ISNUMBER('SA &amp; Dallas Warehouses'!C44),'SA &amp; Dallas Warehouses'!C44,1))</f>
        <v>0</v>
      </c>
      <c r="G1387" s="64" t="str">
        <f t="shared" si="90"/>
        <v/>
      </c>
      <c r="H1387" s="64" t="str">
        <f t="shared" si="91"/>
        <v/>
      </c>
      <c r="I1387" s="63">
        <f>IF($G1387="",0,IF(COUNTIF($G$2:$G1387,$G1387)=1,1,0))</f>
        <v>0</v>
      </c>
      <c r="J1387" s="63" t="str">
        <f t="shared" si="92"/>
        <v/>
      </c>
      <c r="K1387" s="63" t="str">
        <f>IF($H1387="","",COUNTIF($H$2:$H1387,"?*"))</f>
        <v/>
      </c>
    </row>
    <row r="1388" spans="1:11" x14ac:dyDescent="0.25">
      <c r="A1388" s="63" t="s">
        <v>535</v>
      </c>
      <c r="B1388" s="63" t="s">
        <v>1401</v>
      </c>
      <c r="C1388" s="63" t="s">
        <v>1327</v>
      </c>
      <c r="D1388" s="63" t="str">
        <f>IF('SA &amp; Dallas Warehouses'!A45="","",TRIM('SA &amp; Dallas Warehouses'!A45))</f>
        <v/>
      </c>
      <c r="E1388" s="64" t="str">
        <f>IF($D1388="","",'SA &amp; Dallas Warehouses'!B45&amp;"")</f>
        <v/>
      </c>
      <c r="F1388" s="63">
        <f>IF($D1388="",0,IF(ISNUMBER('SA &amp; Dallas Warehouses'!C45),'SA &amp; Dallas Warehouses'!C45,1))</f>
        <v>0</v>
      </c>
      <c r="G1388" s="64" t="str">
        <f t="shared" si="90"/>
        <v/>
      </c>
      <c r="H1388" s="64" t="str">
        <f t="shared" si="91"/>
        <v/>
      </c>
      <c r="I1388" s="63">
        <f>IF($G1388="",0,IF(COUNTIF($G$2:$G1388,$G1388)=1,1,0))</f>
        <v>0</v>
      </c>
      <c r="J1388" s="63" t="str">
        <f t="shared" si="92"/>
        <v/>
      </c>
      <c r="K1388" s="63" t="str">
        <f>IF($H1388="","",COUNTIF($H$2:$H1388,"?*"))</f>
        <v/>
      </c>
    </row>
    <row r="1389" spans="1:11" x14ac:dyDescent="0.25">
      <c r="A1389" s="63" t="s">
        <v>535</v>
      </c>
      <c r="B1389" s="63" t="s">
        <v>1402</v>
      </c>
      <c r="C1389" s="63" t="s">
        <v>1327</v>
      </c>
      <c r="D1389" s="63" t="str">
        <f>IF('SA &amp; Dallas Warehouses'!A46="","",TRIM('SA &amp; Dallas Warehouses'!A46))</f>
        <v/>
      </c>
      <c r="E1389" s="64" t="str">
        <f>IF($D1389="","",'SA &amp; Dallas Warehouses'!B46&amp;"")</f>
        <v/>
      </c>
      <c r="F1389" s="63">
        <f>IF($D1389="",0,IF(ISNUMBER('SA &amp; Dallas Warehouses'!C46),'SA &amp; Dallas Warehouses'!C46,1))</f>
        <v>0</v>
      </c>
      <c r="G1389" s="64" t="str">
        <f t="shared" si="90"/>
        <v/>
      </c>
      <c r="H1389" s="64" t="str">
        <f t="shared" si="91"/>
        <v/>
      </c>
      <c r="I1389" s="63">
        <f>IF($G1389="",0,IF(COUNTIF($G$2:$G1389,$G1389)=1,1,0))</f>
        <v>0</v>
      </c>
      <c r="J1389" s="63" t="str">
        <f t="shared" si="92"/>
        <v/>
      </c>
      <c r="K1389" s="63" t="str">
        <f>IF($H1389="","",COUNTIF($H$2:$H1389,"?*"))</f>
        <v/>
      </c>
    </row>
    <row r="1390" spans="1:11" x14ac:dyDescent="0.25">
      <c r="A1390" s="63" t="s">
        <v>535</v>
      </c>
      <c r="B1390" s="63" t="s">
        <v>1403</v>
      </c>
      <c r="C1390" s="63" t="s">
        <v>1327</v>
      </c>
      <c r="D1390" s="63" t="str">
        <f>IF('SA &amp; Dallas Warehouses'!A47="","",TRIM('SA &amp; Dallas Warehouses'!A47))</f>
        <v/>
      </c>
      <c r="E1390" s="64" t="str">
        <f>IF($D1390="","",'SA &amp; Dallas Warehouses'!B47&amp;"")</f>
        <v/>
      </c>
      <c r="F1390" s="63">
        <f>IF($D1390="",0,IF(ISNUMBER('SA &amp; Dallas Warehouses'!C47),'SA &amp; Dallas Warehouses'!C47,1))</f>
        <v>0</v>
      </c>
      <c r="G1390" s="64" t="str">
        <f t="shared" si="90"/>
        <v/>
      </c>
      <c r="H1390" s="64" t="str">
        <f t="shared" si="91"/>
        <v/>
      </c>
      <c r="I1390" s="63">
        <f>IF($G1390="",0,IF(COUNTIF($G$2:$G1390,$G1390)=1,1,0))</f>
        <v>0</v>
      </c>
      <c r="J1390" s="63" t="str">
        <f t="shared" si="92"/>
        <v/>
      </c>
      <c r="K1390" s="63" t="str">
        <f>IF($H1390="","",COUNTIF($H$2:$H1390,"?*"))</f>
        <v/>
      </c>
    </row>
    <row r="1391" spans="1:11" x14ac:dyDescent="0.25">
      <c r="A1391" s="63" t="s">
        <v>535</v>
      </c>
      <c r="B1391" s="63" t="s">
        <v>1404</v>
      </c>
      <c r="C1391" s="63" t="s">
        <v>1327</v>
      </c>
      <c r="D1391" s="63" t="str">
        <f>IF('SA &amp; Dallas Warehouses'!A48="","",TRIM('SA &amp; Dallas Warehouses'!A48))</f>
        <v/>
      </c>
      <c r="E1391" s="64" t="str">
        <f>IF($D1391="","",'SA &amp; Dallas Warehouses'!B48&amp;"")</f>
        <v/>
      </c>
      <c r="F1391" s="63">
        <f>IF($D1391="",0,IF(ISNUMBER('SA &amp; Dallas Warehouses'!C48),'SA &amp; Dallas Warehouses'!C48,1))</f>
        <v>0</v>
      </c>
      <c r="G1391" s="64" t="str">
        <f t="shared" si="90"/>
        <v/>
      </c>
      <c r="H1391" s="64" t="str">
        <f t="shared" si="91"/>
        <v/>
      </c>
      <c r="I1391" s="63">
        <f>IF($G1391="",0,IF(COUNTIF($G$2:$G1391,$G1391)=1,1,0))</f>
        <v>0</v>
      </c>
      <c r="J1391" s="63" t="str">
        <f t="shared" si="92"/>
        <v/>
      </c>
      <c r="K1391" s="63" t="str">
        <f>IF($H1391="","",COUNTIF($H$2:$H1391,"?*"))</f>
        <v/>
      </c>
    </row>
    <row r="1392" spans="1:11" x14ac:dyDescent="0.25">
      <c r="A1392" s="63" t="s">
        <v>535</v>
      </c>
      <c r="B1392" s="63" t="s">
        <v>1405</v>
      </c>
      <c r="C1392" s="63" t="s">
        <v>1327</v>
      </c>
      <c r="D1392" s="63" t="str">
        <f>IF('SA &amp; Dallas Warehouses'!A49="","",TRIM('SA &amp; Dallas Warehouses'!A49))</f>
        <v/>
      </c>
      <c r="E1392" s="64" t="str">
        <f>IF($D1392="","",'SA &amp; Dallas Warehouses'!B49&amp;"")</f>
        <v/>
      </c>
      <c r="F1392" s="63">
        <f>IF($D1392="",0,IF(ISNUMBER('SA &amp; Dallas Warehouses'!C49),'SA &amp; Dallas Warehouses'!C49,1))</f>
        <v>0</v>
      </c>
      <c r="G1392" s="64" t="str">
        <f t="shared" si="90"/>
        <v/>
      </c>
      <c r="H1392" s="64" t="str">
        <f t="shared" si="91"/>
        <v/>
      </c>
      <c r="I1392" s="63">
        <f>IF($G1392="",0,IF(COUNTIF($G$2:$G1392,$G1392)=1,1,0))</f>
        <v>0</v>
      </c>
      <c r="J1392" s="63" t="str">
        <f t="shared" si="92"/>
        <v/>
      </c>
      <c r="K1392" s="63" t="str">
        <f>IF($H1392="","",COUNTIF($H$2:$H1392,"?*"))</f>
        <v/>
      </c>
    </row>
    <row r="1393" spans="1:11" x14ac:dyDescent="0.25">
      <c r="A1393" s="63" t="s">
        <v>535</v>
      </c>
      <c r="B1393" s="63" t="s">
        <v>1406</v>
      </c>
      <c r="C1393" s="63" t="s">
        <v>1327</v>
      </c>
      <c r="D1393" s="63" t="str">
        <f>IF('SA &amp; Dallas Warehouses'!A50="","",TRIM('SA &amp; Dallas Warehouses'!A50))</f>
        <v/>
      </c>
      <c r="E1393" s="64" t="str">
        <f>IF($D1393="","",'SA &amp; Dallas Warehouses'!B50&amp;"")</f>
        <v/>
      </c>
      <c r="F1393" s="63">
        <f>IF($D1393="",0,IF(ISNUMBER('SA &amp; Dallas Warehouses'!C50),'SA &amp; Dallas Warehouses'!C50,1))</f>
        <v>0</v>
      </c>
      <c r="G1393" s="64" t="str">
        <f t="shared" si="90"/>
        <v/>
      </c>
      <c r="H1393" s="64" t="str">
        <f t="shared" si="91"/>
        <v/>
      </c>
      <c r="I1393" s="63">
        <f>IF($G1393="",0,IF(COUNTIF($G$2:$G1393,$G1393)=1,1,0))</f>
        <v>0</v>
      </c>
      <c r="J1393" s="63" t="str">
        <f t="shared" si="92"/>
        <v/>
      </c>
      <c r="K1393" s="63" t="str">
        <f>IF($H1393="","",COUNTIF($H$2:$H1393,"?*"))</f>
        <v/>
      </c>
    </row>
    <row r="1394" spans="1:11" x14ac:dyDescent="0.25">
      <c r="A1394" s="63" t="s">
        <v>535</v>
      </c>
      <c r="B1394" s="63" t="s">
        <v>1407</v>
      </c>
      <c r="C1394" s="63" t="s">
        <v>1408</v>
      </c>
      <c r="D1394" s="63" t="str">
        <f>IF('SA &amp; Dallas Warehouses'!E11="","",TRIM('SA &amp; Dallas Warehouses'!E11))</f>
        <v/>
      </c>
      <c r="E1394" s="64" t="str">
        <f>IF($D1394="","",'SA &amp; Dallas Warehouses'!F11&amp;"")</f>
        <v/>
      </c>
      <c r="F1394" s="63">
        <f>IF($D1394="",0,IF(ISNUMBER('SA &amp; Dallas Warehouses'!G11),'SA &amp; Dallas Warehouses'!G11,1))</f>
        <v>0</v>
      </c>
      <c r="G1394" s="64" t="str">
        <f t="shared" si="90"/>
        <v/>
      </c>
      <c r="H1394" s="64" t="str">
        <f t="shared" si="91"/>
        <v/>
      </c>
      <c r="I1394" s="63">
        <f>IF($G1394="",0,IF(COUNTIF($G$2:$G1394,$G1394)=1,1,0))</f>
        <v>0</v>
      </c>
      <c r="J1394" s="63" t="str">
        <f t="shared" si="92"/>
        <v/>
      </c>
      <c r="K1394" s="63" t="str">
        <f>IF($H1394="","",COUNTIF($H$2:$H1394,"?*"))</f>
        <v/>
      </c>
    </row>
    <row r="1395" spans="1:11" x14ac:dyDescent="0.25">
      <c r="A1395" s="63" t="s">
        <v>535</v>
      </c>
      <c r="B1395" s="63" t="s">
        <v>1409</v>
      </c>
      <c r="C1395" s="63" t="s">
        <v>1408</v>
      </c>
      <c r="D1395" s="63" t="str">
        <f>IF('SA &amp; Dallas Warehouses'!E12="","",TRIM('SA &amp; Dallas Warehouses'!E12))</f>
        <v/>
      </c>
      <c r="E1395" s="64" t="str">
        <f>IF($D1395="","",'SA &amp; Dallas Warehouses'!F12&amp;"")</f>
        <v/>
      </c>
      <c r="F1395" s="63">
        <f>IF($D1395="",0,IF(ISNUMBER('SA &amp; Dallas Warehouses'!G12),'SA &amp; Dallas Warehouses'!G12,1))</f>
        <v>0</v>
      </c>
      <c r="G1395" s="64" t="str">
        <f t="shared" si="90"/>
        <v/>
      </c>
      <c r="H1395" s="64" t="str">
        <f t="shared" si="91"/>
        <v/>
      </c>
      <c r="I1395" s="63">
        <f>IF($G1395="",0,IF(COUNTIF($G$2:$G1395,$G1395)=1,1,0))</f>
        <v>0</v>
      </c>
      <c r="J1395" s="63" t="str">
        <f t="shared" si="92"/>
        <v/>
      </c>
      <c r="K1395" s="63" t="str">
        <f>IF($H1395="","",COUNTIF($H$2:$H1395,"?*"))</f>
        <v/>
      </c>
    </row>
    <row r="1396" spans="1:11" x14ac:dyDescent="0.25">
      <c r="A1396" s="63" t="s">
        <v>535</v>
      </c>
      <c r="B1396" s="63" t="s">
        <v>1410</v>
      </c>
      <c r="C1396" s="63" t="s">
        <v>1408</v>
      </c>
      <c r="D1396" s="63" t="str">
        <f>IF('SA &amp; Dallas Warehouses'!E13="","",TRIM('SA &amp; Dallas Warehouses'!E13))</f>
        <v/>
      </c>
      <c r="E1396" s="64" t="str">
        <f>IF($D1396="","",'SA &amp; Dallas Warehouses'!F13&amp;"")</f>
        <v/>
      </c>
      <c r="F1396" s="63">
        <f>IF($D1396="",0,IF(ISNUMBER('SA &amp; Dallas Warehouses'!G13),'SA &amp; Dallas Warehouses'!G13,1))</f>
        <v>0</v>
      </c>
      <c r="G1396" s="64" t="str">
        <f t="shared" si="90"/>
        <v/>
      </c>
      <c r="H1396" s="64" t="str">
        <f t="shared" si="91"/>
        <v/>
      </c>
      <c r="I1396" s="63">
        <f>IF($G1396="",0,IF(COUNTIF($G$2:$G1396,$G1396)=1,1,0))</f>
        <v>0</v>
      </c>
      <c r="J1396" s="63" t="str">
        <f t="shared" si="92"/>
        <v/>
      </c>
      <c r="K1396" s="63" t="str">
        <f>IF($H1396="","",COUNTIF($H$2:$H1396,"?*"))</f>
        <v/>
      </c>
    </row>
    <row r="1397" spans="1:11" x14ac:dyDescent="0.25">
      <c r="A1397" s="63" t="s">
        <v>535</v>
      </c>
      <c r="B1397" s="63" t="s">
        <v>1411</v>
      </c>
      <c r="C1397" s="63" t="s">
        <v>1408</v>
      </c>
      <c r="D1397" s="63" t="str">
        <f>IF('SA &amp; Dallas Warehouses'!E14="","",TRIM('SA &amp; Dallas Warehouses'!E14))</f>
        <v/>
      </c>
      <c r="E1397" s="64" t="str">
        <f>IF($D1397="","",'SA &amp; Dallas Warehouses'!F14&amp;"")</f>
        <v/>
      </c>
      <c r="F1397" s="63">
        <f>IF($D1397="",0,IF(ISNUMBER('SA &amp; Dallas Warehouses'!G14),'SA &amp; Dallas Warehouses'!G14,1))</f>
        <v>0</v>
      </c>
      <c r="G1397" s="64" t="str">
        <f t="shared" si="90"/>
        <v/>
      </c>
      <c r="H1397" s="64" t="str">
        <f t="shared" si="91"/>
        <v/>
      </c>
      <c r="I1397" s="63">
        <f>IF($G1397="",0,IF(COUNTIF($G$2:$G1397,$G1397)=1,1,0))</f>
        <v>0</v>
      </c>
      <c r="J1397" s="63" t="str">
        <f t="shared" si="92"/>
        <v/>
      </c>
      <c r="K1397" s="63" t="str">
        <f>IF($H1397="","",COUNTIF($H$2:$H1397,"?*"))</f>
        <v/>
      </c>
    </row>
    <row r="1398" spans="1:11" x14ac:dyDescent="0.25">
      <c r="A1398" s="63" t="s">
        <v>535</v>
      </c>
      <c r="B1398" s="63" t="s">
        <v>1412</v>
      </c>
      <c r="C1398" s="63" t="s">
        <v>1408</v>
      </c>
      <c r="D1398" s="63" t="str">
        <f>IF('SA &amp; Dallas Warehouses'!E15="","",TRIM('SA &amp; Dallas Warehouses'!E15))</f>
        <v/>
      </c>
      <c r="E1398" s="64" t="str">
        <f>IF($D1398="","",'SA &amp; Dallas Warehouses'!F15&amp;"")</f>
        <v/>
      </c>
      <c r="F1398" s="63">
        <f>IF($D1398="",0,IF(ISNUMBER('SA &amp; Dallas Warehouses'!G15),'SA &amp; Dallas Warehouses'!G15,1))</f>
        <v>0</v>
      </c>
      <c r="G1398" s="64" t="str">
        <f t="shared" si="90"/>
        <v/>
      </c>
      <c r="H1398" s="64" t="str">
        <f t="shared" si="91"/>
        <v/>
      </c>
      <c r="I1398" s="63">
        <f>IF($G1398="",0,IF(COUNTIF($G$2:$G1398,$G1398)=1,1,0))</f>
        <v>0</v>
      </c>
      <c r="J1398" s="63" t="str">
        <f t="shared" si="92"/>
        <v/>
      </c>
      <c r="K1398" s="63" t="str">
        <f>IF($H1398="","",COUNTIF($H$2:$H1398,"?*"))</f>
        <v/>
      </c>
    </row>
    <row r="1399" spans="1:11" x14ac:dyDescent="0.25">
      <c r="A1399" s="63" t="s">
        <v>535</v>
      </c>
      <c r="B1399" s="63" t="s">
        <v>1413</v>
      </c>
      <c r="C1399" s="63" t="s">
        <v>1408</v>
      </c>
      <c r="D1399" s="63" t="str">
        <f>IF('SA &amp; Dallas Warehouses'!E16="","",TRIM('SA &amp; Dallas Warehouses'!E16))</f>
        <v/>
      </c>
      <c r="E1399" s="64" t="str">
        <f>IF($D1399="","",'SA &amp; Dallas Warehouses'!F16&amp;"")</f>
        <v/>
      </c>
      <c r="F1399" s="63">
        <f>IF($D1399="",0,IF(ISNUMBER('SA &amp; Dallas Warehouses'!G16),'SA &amp; Dallas Warehouses'!G16,1))</f>
        <v>0</v>
      </c>
      <c r="G1399" s="64" t="str">
        <f t="shared" si="90"/>
        <v/>
      </c>
      <c r="H1399" s="64" t="str">
        <f t="shared" si="91"/>
        <v/>
      </c>
      <c r="I1399" s="63">
        <f>IF($G1399="",0,IF(COUNTIF($G$2:$G1399,$G1399)=1,1,0))</f>
        <v>0</v>
      </c>
      <c r="J1399" s="63" t="str">
        <f t="shared" si="92"/>
        <v/>
      </c>
      <c r="K1399" s="63" t="str">
        <f>IF($H1399="","",COUNTIF($H$2:$H1399,"?*"))</f>
        <v/>
      </c>
    </row>
    <row r="1400" spans="1:11" x14ac:dyDescent="0.25">
      <c r="A1400" s="63" t="s">
        <v>535</v>
      </c>
      <c r="B1400" s="63" t="s">
        <v>1414</v>
      </c>
      <c r="C1400" s="63" t="s">
        <v>1408</v>
      </c>
      <c r="D1400" s="63" t="str">
        <f>IF('SA &amp; Dallas Warehouses'!E17="","",TRIM('SA &amp; Dallas Warehouses'!E17))</f>
        <v/>
      </c>
      <c r="E1400" s="64" t="str">
        <f>IF($D1400="","",'SA &amp; Dallas Warehouses'!F17&amp;"")</f>
        <v/>
      </c>
      <c r="F1400" s="63">
        <f>IF($D1400="",0,IF(ISNUMBER('SA &amp; Dallas Warehouses'!G17),'SA &amp; Dallas Warehouses'!G17,1))</f>
        <v>0</v>
      </c>
      <c r="G1400" s="64" t="str">
        <f t="shared" si="90"/>
        <v/>
      </c>
      <c r="H1400" s="64" t="str">
        <f t="shared" si="91"/>
        <v/>
      </c>
      <c r="I1400" s="63">
        <f>IF($G1400="",0,IF(COUNTIF($G$2:$G1400,$G1400)=1,1,0))</f>
        <v>0</v>
      </c>
      <c r="J1400" s="63" t="str">
        <f t="shared" si="92"/>
        <v/>
      </c>
      <c r="K1400" s="63" t="str">
        <f>IF($H1400="","",COUNTIF($H$2:$H1400,"?*"))</f>
        <v/>
      </c>
    </row>
    <row r="1401" spans="1:11" x14ac:dyDescent="0.25">
      <c r="A1401" s="63" t="s">
        <v>535</v>
      </c>
      <c r="B1401" s="63" t="s">
        <v>1415</v>
      </c>
      <c r="C1401" s="63" t="s">
        <v>1408</v>
      </c>
      <c r="D1401" s="63" t="str">
        <f>IF('SA &amp; Dallas Warehouses'!E18="","",TRIM('SA &amp; Dallas Warehouses'!E18))</f>
        <v/>
      </c>
      <c r="E1401" s="64" t="str">
        <f>IF($D1401="","",'SA &amp; Dallas Warehouses'!F18&amp;"")</f>
        <v/>
      </c>
      <c r="F1401" s="63">
        <f>IF($D1401="",0,IF(ISNUMBER('SA &amp; Dallas Warehouses'!G18),'SA &amp; Dallas Warehouses'!G18,1))</f>
        <v>0</v>
      </c>
      <c r="G1401" s="64" t="str">
        <f t="shared" si="90"/>
        <v/>
      </c>
      <c r="H1401" s="64" t="str">
        <f t="shared" si="91"/>
        <v/>
      </c>
      <c r="I1401" s="63">
        <f>IF($G1401="",0,IF(COUNTIF($G$2:$G1401,$G1401)=1,1,0))</f>
        <v>0</v>
      </c>
      <c r="J1401" s="63" t="str">
        <f t="shared" si="92"/>
        <v/>
      </c>
      <c r="K1401" s="63" t="str">
        <f>IF($H1401="","",COUNTIF($H$2:$H1401,"?*"))</f>
        <v/>
      </c>
    </row>
    <row r="1402" spans="1:11" x14ac:dyDescent="0.25">
      <c r="A1402" s="63" t="s">
        <v>535</v>
      </c>
      <c r="B1402" s="63" t="s">
        <v>1416</v>
      </c>
      <c r="C1402" s="63" t="s">
        <v>1408</v>
      </c>
      <c r="D1402" s="63" t="str">
        <f>IF('SA &amp; Dallas Warehouses'!E19="","",TRIM('SA &amp; Dallas Warehouses'!E19))</f>
        <v/>
      </c>
      <c r="E1402" s="64" t="str">
        <f>IF($D1402="","",'SA &amp; Dallas Warehouses'!F19&amp;"")</f>
        <v/>
      </c>
      <c r="F1402" s="63">
        <f>IF($D1402="",0,IF(ISNUMBER('SA &amp; Dallas Warehouses'!G19),'SA &amp; Dallas Warehouses'!G19,1))</f>
        <v>0</v>
      </c>
      <c r="G1402" s="64" t="str">
        <f t="shared" si="90"/>
        <v/>
      </c>
      <c r="H1402" s="64" t="str">
        <f t="shared" si="91"/>
        <v/>
      </c>
      <c r="I1402" s="63">
        <f>IF($G1402="",0,IF(COUNTIF($G$2:$G1402,$G1402)=1,1,0))</f>
        <v>0</v>
      </c>
      <c r="J1402" s="63" t="str">
        <f t="shared" si="92"/>
        <v/>
      </c>
      <c r="K1402" s="63" t="str">
        <f>IF($H1402="","",COUNTIF($H$2:$H1402,"?*"))</f>
        <v/>
      </c>
    </row>
    <row r="1403" spans="1:11" x14ac:dyDescent="0.25">
      <c r="A1403" s="63" t="s">
        <v>535</v>
      </c>
      <c r="B1403" s="63" t="s">
        <v>1417</v>
      </c>
      <c r="C1403" s="63" t="s">
        <v>1408</v>
      </c>
      <c r="D1403" s="63" t="str">
        <f>IF('SA &amp; Dallas Warehouses'!E20="","",TRIM('SA &amp; Dallas Warehouses'!E20))</f>
        <v/>
      </c>
      <c r="E1403" s="64" t="str">
        <f>IF($D1403="","",'SA &amp; Dallas Warehouses'!F20&amp;"")</f>
        <v/>
      </c>
      <c r="F1403" s="63">
        <f>IF($D1403="",0,IF(ISNUMBER('SA &amp; Dallas Warehouses'!G20),'SA &amp; Dallas Warehouses'!G20,1))</f>
        <v>0</v>
      </c>
      <c r="G1403" s="64" t="str">
        <f t="shared" si="90"/>
        <v/>
      </c>
      <c r="H1403" s="64" t="str">
        <f t="shared" si="91"/>
        <v/>
      </c>
      <c r="I1403" s="63">
        <f>IF($G1403="",0,IF(COUNTIF($G$2:$G1403,$G1403)=1,1,0))</f>
        <v>0</v>
      </c>
      <c r="J1403" s="63" t="str">
        <f t="shared" si="92"/>
        <v/>
      </c>
      <c r="K1403" s="63" t="str">
        <f>IF($H1403="","",COUNTIF($H$2:$H1403,"?*"))</f>
        <v/>
      </c>
    </row>
    <row r="1404" spans="1:11" x14ac:dyDescent="0.25">
      <c r="A1404" s="63" t="s">
        <v>535</v>
      </c>
      <c r="B1404" s="63" t="s">
        <v>1418</v>
      </c>
      <c r="C1404" s="63" t="s">
        <v>1408</v>
      </c>
      <c r="D1404" s="63" t="str">
        <f>IF('SA &amp; Dallas Warehouses'!E21="","",TRIM('SA &amp; Dallas Warehouses'!E21))</f>
        <v/>
      </c>
      <c r="E1404" s="64" t="str">
        <f>IF($D1404="","",'SA &amp; Dallas Warehouses'!F21&amp;"")</f>
        <v/>
      </c>
      <c r="F1404" s="63">
        <f>IF($D1404="",0,IF(ISNUMBER('SA &amp; Dallas Warehouses'!G21),'SA &amp; Dallas Warehouses'!G21,1))</f>
        <v>0</v>
      </c>
      <c r="G1404" s="64" t="str">
        <f t="shared" si="90"/>
        <v/>
      </c>
      <c r="H1404" s="64" t="str">
        <f t="shared" si="91"/>
        <v/>
      </c>
      <c r="I1404" s="63">
        <f>IF($G1404="",0,IF(COUNTIF($G$2:$G1404,$G1404)=1,1,0))</f>
        <v>0</v>
      </c>
      <c r="J1404" s="63" t="str">
        <f t="shared" si="92"/>
        <v/>
      </c>
      <c r="K1404" s="63" t="str">
        <f>IF($H1404="","",COUNTIF($H$2:$H1404,"?*"))</f>
        <v/>
      </c>
    </row>
    <row r="1405" spans="1:11" x14ac:dyDescent="0.25">
      <c r="A1405" s="63" t="s">
        <v>535</v>
      </c>
      <c r="B1405" s="63" t="s">
        <v>1419</v>
      </c>
      <c r="C1405" s="63" t="s">
        <v>1408</v>
      </c>
      <c r="D1405" s="63" t="str">
        <f>IF('SA &amp; Dallas Warehouses'!E22="","",TRIM('SA &amp; Dallas Warehouses'!E22))</f>
        <v/>
      </c>
      <c r="E1405" s="64" t="str">
        <f>IF($D1405="","",'SA &amp; Dallas Warehouses'!F22&amp;"")</f>
        <v/>
      </c>
      <c r="F1405" s="63">
        <f>IF($D1405="",0,IF(ISNUMBER('SA &amp; Dallas Warehouses'!G22),'SA &amp; Dallas Warehouses'!G22,1))</f>
        <v>0</v>
      </c>
      <c r="G1405" s="64" t="str">
        <f t="shared" si="90"/>
        <v/>
      </c>
      <c r="H1405" s="64" t="str">
        <f t="shared" si="91"/>
        <v/>
      </c>
      <c r="I1405" s="63">
        <f>IF($G1405="",0,IF(COUNTIF($G$2:$G1405,$G1405)=1,1,0))</f>
        <v>0</v>
      </c>
      <c r="J1405" s="63" t="str">
        <f t="shared" si="92"/>
        <v/>
      </c>
      <c r="K1405" s="63" t="str">
        <f>IF($H1405="","",COUNTIF($H$2:$H1405,"?*"))</f>
        <v/>
      </c>
    </row>
    <row r="1406" spans="1:11" x14ac:dyDescent="0.25">
      <c r="A1406" s="63" t="s">
        <v>535</v>
      </c>
      <c r="B1406" s="63" t="s">
        <v>1420</v>
      </c>
      <c r="C1406" s="63" t="s">
        <v>1408</v>
      </c>
      <c r="D1406" s="63" t="str">
        <f>IF('SA &amp; Dallas Warehouses'!E23="","",TRIM('SA &amp; Dallas Warehouses'!E23))</f>
        <v/>
      </c>
      <c r="E1406" s="64" t="str">
        <f>IF($D1406="","",'SA &amp; Dallas Warehouses'!F23&amp;"")</f>
        <v/>
      </c>
      <c r="F1406" s="63">
        <f>IF($D1406="",0,IF(ISNUMBER('SA &amp; Dallas Warehouses'!G23),'SA &amp; Dallas Warehouses'!G23,1))</f>
        <v>0</v>
      </c>
      <c r="G1406" s="64" t="str">
        <f t="shared" si="90"/>
        <v/>
      </c>
      <c r="H1406" s="64" t="str">
        <f t="shared" si="91"/>
        <v/>
      </c>
      <c r="I1406" s="63">
        <f>IF($G1406="",0,IF(COUNTIF($G$2:$G1406,$G1406)=1,1,0))</f>
        <v>0</v>
      </c>
      <c r="J1406" s="63" t="str">
        <f t="shared" si="92"/>
        <v/>
      </c>
      <c r="K1406" s="63" t="str">
        <f>IF($H1406="","",COUNTIF($H$2:$H1406,"?*"))</f>
        <v/>
      </c>
    </row>
    <row r="1407" spans="1:11" x14ac:dyDescent="0.25">
      <c r="A1407" s="63" t="s">
        <v>535</v>
      </c>
      <c r="B1407" s="63" t="s">
        <v>1421</v>
      </c>
      <c r="C1407" s="63" t="s">
        <v>1408</v>
      </c>
      <c r="D1407" s="63" t="str">
        <f>IF('SA &amp; Dallas Warehouses'!E24="","",TRIM('SA &amp; Dallas Warehouses'!E24))</f>
        <v/>
      </c>
      <c r="E1407" s="64" t="str">
        <f>IF($D1407="","",'SA &amp; Dallas Warehouses'!F24&amp;"")</f>
        <v/>
      </c>
      <c r="F1407" s="63">
        <f>IF($D1407="",0,IF(ISNUMBER('SA &amp; Dallas Warehouses'!G24),'SA &amp; Dallas Warehouses'!G24,1))</f>
        <v>0</v>
      </c>
      <c r="G1407" s="64" t="str">
        <f t="shared" si="90"/>
        <v/>
      </c>
      <c r="H1407" s="64" t="str">
        <f t="shared" si="91"/>
        <v/>
      </c>
      <c r="I1407" s="63">
        <f>IF($G1407="",0,IF(COUNTIF($G$2:$G1407,$G1407)=1,1,0))</f>
        <v>0</v>
      </c>
      <c r="J1407" s="63" t="str">
        <f t="shared" si="92"/>
        <v/>
      </c>
      <c r="K1407" s="63" t="str">
        <f>IF($H1407="","",COUNTIF($H$2:$H1407,"?*"))</f>
        <v/>
      </c>
    </row>
    <row r="1408" spans="1:11" x14ac:dyDescent="0.25">
      <c r="A1408" s="63" t="s">
        <v>535</v>
      </c>
      <c r="B1408" s="63" t="s">
        <v>1422</v>
      </c>
      <c r="C1408" s="63" t="s">
        <v>1408</v>
      </c>
      <c r="D1408" s="63" t="str">
        <f>IF('SA &amp; Dallas Warehouses'!E25="","",TRIM('SA &amp; Dallas Warehouses'!E25))</f>
        <v/>
      </c>
      <c r="E1408" s="64" t="str">
        <f>IF($D1408="","",'SA &amp; Dallas Warehouses'!F25&amp;"")</f>
        <v/>
      </c>
      <c r="F1408" s="63">
        <f>IF($D1408="",0,IF(ISNUMBER('SA &amp; Dallas Warehouses'!G25),'SA &amp; Dallas Warehouses'!G25,1))</f>
        <v>0</v>
      </c>
      <c r="G1408" s="64" t="str">
        <f t="shared" si="90"/>
        <v/>
      </c>
      <c r="H1408" s="64" t="str">
        <f t="shared" si="91"/>
        <v/>
      </c>
      <c r="I1408" s="63">
        <f>IF($G1408="",0,IF(COUNTIF($G$2:$G1408,$G1408)=1,1,0))</f>
        <v>0</v>
      </c>
      <c r="J1408" s="63" t="str">
        <f t="shared" si="92"/>
        <v/>
      </c>
      <c r="K1408" s="63" t="str">
        <f>IF($H1408="","",COUNTIF($H$2:$H1408,"?*"))</f>
        <v/>
      </c>
    </row>
    <row r="1409" spans="1:11" x14ac:dyDescent="0.25">
      <c r="A1409" s="63" t="s">
        <v>535</v>
      </c>
      <c r="B1409" s="63" t="s">
        <v>1423</v>
      </c>
      <c r="C1409" s="63" t="s">
        <v>1408</v>
      </c>
      <c r="D1409" s="63" t="str">
        <f>IF('SA &amp; Dallas Warehouses'!E26="","",TRIM('SA &amp; Dallas Warehouses'!E26))</f>
        <v/>
      </c>
      <c r="E1409" s="64" t="str">
        <f>IF($D1409="","",'SA &amp; Dallas Warehouses'!F26&amp;"")</f>
        <v/>
      </c>
      <c r="F1409" s="63">
        <f>IF($D1409="",0,IF(ISNUMBER('SA &amp; Dallas Warehouses'!G26),'SA &amp; Dallas Warehouses'!G26,1))</f>
        <v>0</v>
      </c>
      <c r="G1409" s="64" t="str">
        <f t="shared" si="90"/>
        <v/>
      </c>
      <c r="H1409" s="64" t="str">
        <f t="shared" si="91"/>
        <v/>
      </c>
      <c r="I1409" s="63">
        <f>IF($G1409="",0,IF(COUNTIF($G$2:$G1409,$G1409)=1,1,0))</f>
        <v>0</v>
      </c>
      <c r="J1409" s="63" t="str">
        <f t="shared" si="92"/>
        <v/>
      </c>
      <c r="K1409" s="63" t="str">
        <f>IF($H1409="","",COUNTIF($H$2:$H1409,"?*"))</f>
        <v/>
      </c>
    </row>
    <row r="1410" spans="1:11" x14ac:dyDescent="0.25">
      <c r="A1410" s="63" t="s">
        <v>535</v>
      </c>
      <c r="B1410" s="63" t="s">
        <v>1424</v>
      </c>
      <c r="C1410" s="63" t="s">
        <v>1408</v>
      </c>
      <c r="D1410" s="63" t="str">
        <f>IF('SA &amp; Dallas Warehouses'!E27="","",TRIM('SA &amp; Dallas Warehouses'!E27))</f>
        <v/>
      </c>
      <c r="E1410" s="64" t="str">
        <f>IF($D1410="","",'SA &amp; Dallas Warehouses'!F27&amp;"")</f>
        <v/>
      </c>
      <c r="F1410" s="63">
        <f>IF($D1410="",0,IF(ISNUMBER('SA &amp; Dallas Warehouses'!G27),'SA &amp; Dallas Warehouses'!G27,1))</f>
        <v>0</v>
      </c>
      <c r="G1410" s="64" t="str">
        <f t="shared" ref="G1410:G1473" si="93">IF($D1410="","",IF(ISNUMBER(FIND("(",$D1410)),TRIM(LEFT($D1410,FIND("(",$D1410)-1)),$D1410))</f>
        <v/>
      </c>
      <c r="H1410" s="64" t="str">
        <f t="shared" ref="H1410:H1473" si="94">IF($D1410="","",IF(ISNUMBER(FIND("(",$D1410)),TRIM(SUBSTITUTE(MID($D1410,FIND("(",$D1410)+1,200),")","")),""))</f>
        <v/>
      </c>
      <c r="I1410" s="63">
        <f>IF($G1410="",0,IF(COUNTIF($G$2:$G1410,$G1410)=1,1,0))</f>
        <v>0</v>
      </c>
      <c r="J1410" s="63" t="str">
        <f t="shared" ref="J1410:J1473" si="95">IF($I1410=0,"",SUMPRODUCT(($I$2:$I$1513=1)*($G$2:$G$1513&lt;$G1410))+1)</f>
        <v/>
      </c>
      <c r="K1410" s="63" t="str">
        <f>IF($H1410="","",COUNTIF($H$2:$H1410,"?*"))</f>
        <v/>
      </c>
    </row>
    <row r="1411" spans="1:11" x14ac:dyDescent="0.25">
      <c r="A1411" s="63" t="s">
        <v>535</v>
      </c>
      <c r="B1411" s="63" t="s">
        <v>1425</v>
      </c>
      <c r="C1411" s="63" t="s">
        <v>1408</v>
      </c>
      <c r="D1411" s="63" t="str">
        <f>IF('SA &amp; Dallas Warehouses'!E28="","",TRIM('SA &amp; Dallas Warehouses'!E28))</f>
        <v/>
      </c>
      <c r="E1411" s="64" t="str">
        <f>IF($D1411="","",'SA &amp; Dallas Warehouses'!F28&amp;"")</f>
        <v/>
      </c>
      <c r="F1411" s="63">
        <f>IF($D1411="",0,IF(ISNUMBER('SA &amp; Dallas Warehouses'!G28),'SA &amp; Dallas Warehouses'!G28,1))</f>
        <v>0</v>
      </c>
      <c r="G1411" s="64" t="str">
        <f t="shared" si="93"/>
        <v/>
      </c>
      <c r="H1411" s="64" t="str">
        <f t="shared" si="94"/>
        <v/>
      </c>
      <c r="I1411" s="63">
        <f>IF($G1411="",0,IF(COUNTIF($G$2:$G1411,$G1411)=1,1,0))</f>
        <v>0</v>
      </c>
      <c r="J1411" s="63" t="str">
        <f t="shared" si="95"/>
        <v/>
      </c>
      <c r="K1411" s="63" t="str">
        <f>IF($H1411="","",COUNTIF($H$2:$H1411,"?*"))</f>
        <v/>
      </c>
    </row>
    <row r="1412" spans="1:11" x14ac:dyDescent="0.25">
      <c r="A1412" s="63" t="s">
        <v>535</v>
      </c>
      <c r="B1412" s="63" t="s">
        <v>1426</v>
      </c>
      <c r="C1412" s="63" t="s">
        <v>1408</v>
      </c>
      <c r="D1412" s="63" t="str">
        <f>IF('SA &amp; Dallas Warehouses'!E29="","",TRIM('SA &amp; Dallas Warehouses'!E29))</f>
        <v/>
      </c>
      <c r="E1412" s="64" t="str">
        <f>IF($D1412="","",'SA &amp; Dallas Warehouses'!F29&amp;"")</f>
        <v/>
      </c>
      <c r="F1412" s="63">
        <f>IF($D1412="",0,IF(ISNUMBER('SA &amp; Dallas Warehouses'!G29),'SA &amp; Dallas Warehouses'!G29,1))</f>
        <v>0</v>
      </c>
      <c r="G1412" s="64" t="str">
        <f t="shared" si="93"/>
        <v/>
      </c>
      <c r="H1412" s="64" t="str">
        <f t="shared" si="94"/>
        <v/>
      </c>
      <c r="I1412" s="63">
        <f>IF($G1412="",0,IF(COUNTIF($G$2:$G1412,$G1412)=1,1,0))</f>
        <v>0</v>
      </c>
      <c r="J1412" s="63" t="str">
        <f t="shared" si="95"/>
        <v/>
      </c>
      <c r="K1412" s="63" t="str">
        <f>IF($H1412="","",COUNTIF($H$2:$H1412,"?*"))</f>
        <v/>
      </c>
    </row>
    <row r="1413" spans="1:11" x14ac:dyDescent="0.25">
      <c r="A1413" s="63" t="s">
        <v>535</v>
      </c>
      <c r="B1413" s="63" t="s">
        <v>1427</v>
      </c>
      <c r="C1413" s="63" t="s">
        <v>1408</v>
      </c>
      <c r="D1413" s="63" t="str">
        <f>IF('SA &amp; Dallas Warehouses'!E30="","",TRIM('SA &amp; Dallas Warehouses'!E30))</f>
        <v/>
      </c>
      <c r="E1413" s="64" t="str">
        <f>IF($D1413="","",'SA &amp; Dallas Warehouses'!F30&amp;"")</f>
        <v/>
      </c>
      <c r="F1413" s="63">
        <f>IF($D1413="",0,IF(ISNUMBER('SA &amp; Dallas Warehouses'!G30),'SA &amp; Dallas Warehouses'!G30,1))</f>
        <v>0</v>
      </c>
      <c r="G1413" s="64" t="str">
        <f t="shared" si="93"/>
        <v/>
      </c>
      <c r="H1413" s="64" t="str">
        <f t="shared" si="94"/>
        <v/>
      </c>
      <c r="I1413" s="63">
        <f>IF($G1413="",0,IF(COUNTIF($G$2:$G1413,$G1413)=1,1,0))</f>
        <v>0</v>
      </c>
      <c r="J1413" s="63" t="str">
        <f t="shared" si="95"/>
        <v/>
      </c>
      <c r="K1413" s="63" t="str">
        <f>IF($H1413="","",COUNTIF($H$2:$H1413,"?*"))</f>
        <v/>
      </c>
    </row>
    <row r="1414" spans="1:11" x14ac:dyDescent="0.25">
      <c r="A1414" s="63" t="s">
        <v>535</v>
      </c>
      <c r="B1414" s="63" t="s">
        <v>1428</v>
      </c>
      <c r="C1414" s="63" t="s">
        <v>1408</v>
      </c>
      <c r="D1414" s="63" t="str">
        <f>IF('SA &amp; Dallas Warehouses'!E31="","",TRIM('SA &amp; Dallas Warehouses'!E31))</f>
        <v/>
      </c>
      <c r="E1414" s="64" t="str">
        <f>IF($D1414="","",'SA &amp; Dallas Warehouses'!F31&amp;"")</f>
        <v/>
      </c>
      <c r="F1414" s="63">
        <f>IF($D1414="",0,IF(ISNUMBER('SA &amp; Dallas Warehouses'!G31),'SA &amp; Dallas Warehouses'!G31,1))</f>
        <v>0</v>
      </c>
      <c r="G1414" s="64" t="str">
        <f t="shared" si="93"/>
        <v/>
      </c>
      <c r="H1414" s="64" t="str">
        <f t="shared" si="94"/>
        <v/>
      </c>
      <c r="I1414" s="63">
        <f>IF($G1414="",0,IF(COUNTIF($G$2:$G1414,$G1414)=1,1,0))</f>
        <v>0</v>
      </c>
      <c r="J1414" s="63" t="str">
        <f t="shared" si="95"/>
        <v/>
      </c>
      <c r="K1414" s="63" t="str">
        <f>IF($H1414="","",COUNTIF($H$2:$H1414,"?*"))</f>
        <v/>
      </c>
    </row>
    <row r="1415" spans="1:11" x14ac:dyDescent="0.25">
      <c r="A1415" s="63" t="s">
        <v>535</v>
      </c>
      <c r="B1415" s="63" t="s">
        <v>1429</v>
      </c>
      <c r="C1415" s="63" t="s">
        <v>1408</v>
      </c>
      <c r="D1415" s="63" t="str">
        <f>IF('SA &amp; Dallas Warehouses'!E32="","",TRIM('SA &amp; Dallas Warehouses'!E32))</f>
        <v/>
      </c>
      <c r="E1415" s="64" t="str">
        <f>IF($D1415="","",'SA &amp; Dallas Warehouses'!F32&amp;"")</f>
        <v/>
      </c>
      <c r="F1415" s="63">
        <f>IF($D1415="",0,IF(ISNUMBER('SA &amp; Dallas Warehouses'!G32),'SA &amp; Dallas Warehouses'!G32,1))</f>
        <v>0</v>
      </c>
      <c r="G1415" s="64" t="str">
        <f t="shared" si="93"/>
        <v/>
      </c>
      <c r="H1415" s="64" t="str">
        <f t="shared" si="94"/>
        <v/>
      </c>
      <c r="I1415" s="63">
        <f>IF($G1415="",0,IF(COUNTIF($G$2:$G1415,$G1415)=1,1,0))</f>
        <v>0</v>
      </c>
      <c r="J1415" s="63" t="str">
        <f t="shared" si="95"/>
        <v/>
      </c>
      <c r="K1415" s="63" t="str">
        <f>IF($H1415="","",COUNTIF($H$2:$H1415,"?*"))</f>
        <v/>
      </c>
    </row>
    <row r="1416" spans="1:11" x14ac:dyDescent="0.25">
      <c r="A1416" s="63" t="s">
        <v>535</v>
      </c>
      <c r="B1416" s="63" t="s">
        <v>1430</v>
      </c>
      <c r="C1416" s="63" t="s">
        <v>1408</v>
      </c>
      <c r="D1416" s="63" t="str">
        <f>IF('SA &amp; Dallas Warehouses'!E33="","",TRIM('SA &amp; Dallas Warehouses'!E33))</f>
        <v/>
      </c>
      <c r="E1416" s="64" t="str">
        <f>IF($D1416="","",'SA &amp; Dallas Warehouses'!F33&amp;"")</f>
        <v/>
      </c>
      <c r="F1416" s="63">
        <f>IF($D1416="",0,IF(ISNUMBER('SA &amp; Dallas Warehouses'!G33),'SA &amp; Dallas Warehouses'!G33,1))</f>
        <v>0</v>
      </c>
      <c r="G1416" s="64" t="str">
        <f t="shared" si="93"/>
        <v/>
      </c>
      <c r="H1416" s="64" t="str">
        <f t="shared" si="94"/>
        <v/>
      </c>
      <c r="I1416" s="63">
        <f>IF($G1416="",0,IF(COUNTIF($G$2:$G1416,$G1416)=1,1,0))</f>
        <v>0</v>
      </c>
      <c r="J1416" s="63" t="str">
        <f t="shared" si="95"/>
        <v/>
      </c>
      <c r="K1416" s="63" t="str">
        <f>IF($H1416="","",COUNTIF($H$2:$H1416,"?*"))</f>
        <v/>
      </c>
    </row>
    <row r="1417" spans="1:11" x14ac:dyDescent="0.25">
      <c r="A1417" s="63" t="s">
        <v>535</v>
      </c>
      <c r="B1417" s="63" t="s">
        <v>1431</v>
      </c>
      <c r="C1417" s="63" t="s">
        <v>1408</v>
      </c>
      <c r="D1417" s="63" t="str">
        <f>IF('SA &amp; Dallas Warehouses'!E34="","",TRIM('SA &amp; Dallas Warehouses'!E34))</f>
        <v/>
      </c>
      <c r="E1417" s="64" t="str">
        <f>IF($D1417="","",'SA &amp; Dallas Warehouses'!F34&amp;"")</f>
        <v/>
      </c>
      <c r="F1417" s="63">
        <f>IF($D1417="",0,IF(ISNUMBER('SA &amp; Dallas Warehouses'!G34),'SA &amp; Dallas Warehouses'!G34,1))</f>
        <v>0</v>
      </c>
      <c r="G1417" s="64" t="str">
        <f t="shared" si="93"/>
        <v/>
      </c>
      <c r="H1417" s="64" t="str">
        <f t="shared" si="94"/>
        <v/>
      </c>
      <c r="I1417" s="63">
        <f>IF($G1417="",0,IF(COUNTIF($G$2:$G1417,$G1417)=1,1,0))</f>
        <v>0</v>
      </c>
      <c r="J1417" s="63" t="str">
        <f t="shared" si="95"/>
        <v/>
      </c>
      <c r="K1417" s="63" t="str">
        <f>IF($H1417="","",COUNTIF($H$2:$H1417,"?*"))</f>
        <v/>
      </c>
    </row>
    <row r="1418" spans="1:11" x14ac:dyDescent="0.25">
      <c r="A1418" s="63" t="s">
        <v>535</v>
      </c>
      <c r="B1418" s="63" t="s">
        <v>1432</v>
      </c>
      <c r="C1418" s="63" t="s">
        <v>1408</v>
      </c>
      <c r="D1418" s="63" t="str">
        <f>IF('SA &amp; Dallas Warehouses'!E35="","",TRIM('SA &amp; Dallas Warehouses'!E35))</f>
        <v/>
      </c>
      <c r="E1418" s="64" t="str">
        <f>IF($D1418="","",'SA &amp; Dallas Warehouses'!F35&amp;"")</f>
        <v/>
      </c>
      <c r="F1418" s="63">
        <f>IF($D1418="",0,IF(ISNUMBER('SA &amp; Dallas Warehouses'!G35),'SA &amp; Dallas Warehouses'!G35,1))</f>
        <v>0</v>
      </c>
      <c r="G1418" s="64" t="str">
        <f t="shared" si="93"/>
        <v/>
      </c>
      <c r="H1418" s="64" t="str">
        <f t="shared" si="94"/>
        <v/>
      </c>
      <c r="I1418" s="63">
        <f>IF($G1418="",0,IF(COUNTIF($G$2:$G1418,$G1418)=1,1,0))</f>
        <v>0</v>
      </c>
      <c r="J1418" s="63" t="str">
        <f t="shared" si="95"/>
        <v/>
      </c>
      <c r="K1418" s="63" t="str">
        <f>IF($H1418="","",COUNTIF($H$2:$H1418,"?*"))</f>
        <v/>
      </c>
    </row>
    <row r="1419" spans="1:11" x14ac:dyDescent="0.25">
      <c r="A1419" s="63" t="s">
        <v>535</v>
      </c>
      <c r="B1419" s="63" t="s">
        <v>1433</v>
      </c>
      <c r="C1419" s="63" t="s">
        <v>1408</v>
      </c>
      <c r="D1419" s="63" t="str">
        <f>IF('SA &amp; Dallas Warehouses'!E36="","",TRIM('SA &amp; Dallas Warehouses'!E36))</f>
        <v/>
      </c>
      <c r="E1419" s="64" t="str">
        <f>IF($D1419="","",'SA &amp; Dallas Warehouses'!F36&amp;"")</f>
        <v/>
      </c>
      <c r="F1419" s="63">
        <f>IF($D1419="",0,IF(ISNUMBER('SA &amp; Dallas Warehouses'!G36),'SA &amp; Dallas Warehouses'!G36,1))</f>
        <v>0</v>
      </c>
      <c r="G1419" s="64" t="str">
        <f t="shared" si="93"/>
        <v/>
      </c>
      <c r="H1419" s="64" t="str">
        <f t="shared" si="94"/>
        <v/>
      </c>
      <c r="I1419" s="63">
        <f>IF($G1419="",0,IF(COUNTIF($G$2:$G1419,$G1419)=1,1,0))</f>
        <v>0</v>
      </c>
      <c r="J1419" s="63" t="str">
        <f t="shared" si="95"/>
        <v/>
      </c>
      <c r="K1419" s="63" t="str">
        <f>IF($H1419="","",COUNTIF($H$2:$H1419,"?*"))</f>
        <v/>
      </c>
    </row>
    <row r="1420" spans="1:11" x14ac:dyDescent="0.25">
      <c r="A1420" s="63" t="s">
        <v>535</v>
      </c>
      <c r="B1420" s="63" t="s">
        <v>1434</v>
      </c>
      <c r="C1420" s="63" t="s">
        <v>1408</v>
      </c>
      <c r="D1420" s="63" t="str">
        <f>IF('SA &amp; Dallas Warehouses'!E37="","",TRIM('SA &amp; Dallas Warehouses'!E37))</f>
        <v/>
      </c>
      <c r="E1420" s="64" t="str">
        <f>IF($D1420="","",'SA &amp; Dallas Warehouses'!F37&amp;"")</f>
        <v/>
      </c>
      <c r="F1420" s="63">
        <f>IF($D1420="",0,IF(ISNUMBER('SA &amp; Dallas Warehouses'!G37),'SA &amp; Dallas Warehouses'!G37,1))</f>
        <v>0</v>
      </c>
      <c r="G1420" s="64" t="str">
        <f t="shared" si="93"/>
        <v/>
      </c>
      <c r="H1420" s="64" t="str">
        <f t="shared" si="94"/>
        <v/>
      </c>
      <c r="I1420" s="63">
        <f>IF($G1420="",0,IF(COUNTIF($G$2:$G1420,$G1420)=1,1,0))</f>
        <v>0</v>
      </c>
      <c r="J1420" s="63" t="str">
        <f t="shared" si="95"/>
        <v/>
      </c>
      <c r="K1420" s="63" t="str">
        <f>IF($H1420="","",COUNTIF($H$2:$H1420,"?*"))</f>
        <v/>
      </c>
    </row>
    <row r="1421" spans="1:11" x14ac:dyDescent="0.25">
      <c r="A1421" s="63" t="s">
        <v>535</v>
      </c>
      <c r="B1421" s="63" t="s">
        <v>1435</v>
      </c>
      <c r="C1421" s="63" t="s">
        <v>1408</v>
      </c>
      <c r="D1421" s="63" t="str">
        <f>IF('SA &amp; Dallas Warehouses'!E38="","",TRIM('SA &amp; Dallas Warehouses'!E38))</f>
        <v/>
      </c>
      <c r="E1421" s="64" t="str">
        <f>IF($D1421="","",'SA &amp; Dallas Warehouses'!F38&amp;"")</f>
        <v/>
      </c>
      <c r="F1421" s="63">
        <f>IF($D1421="",0,IF(ISNUMBER('SA &amp; Dallas Warehouses'!G38),'SA &amp; Dallas Warehouses'!G38,1))</f>
        <v>0</v>
      </c>
      <c r="G1421" s="64" t="str">
        <f t="shared" si="93"/>
        <v/>
      </c>
      <c r="H1421" s="64" t="str">
        <f t="shared" si="94"/>
        <v/>
      </c>
      <c r="I1421" s="63">
        <f>IF($G1421="",0,IF(COUNTIF($G$2:$G1421,$G1421)=1,1,0))</f>
        <v>0</v>
      </c>
      <c r="J1421" s="63" t="str">
        <f t="shared" si="95"/>
        <v/>
      </c>
      <c r="K1421" s="63" t="str">
        <f>IF($H1421="","",COUNTIF($H$2:$H1421,"?*"))</f>
        <v/>
      </c>
    </row>
    <row r="1422" spans="1:11" x14ac:dyDescent="0.25">
      <c r="A1422" s="63" t="s">
        <v>535</v>
      </c>
      <c r="B1422" s="63" t="s">
        <v>1436</v>
      </c>
      <c r="C1422" s="63" t="s">
        <v>1408</v>
      </c>
      <c r="D1422" s="63" t="str">
        <f>IF('SA &amp; Dallas Warehouses'!E39="","",TRIM('SA &amp; Dallas Warehouses'!E39))</f>
        <v/>
      </c>
      <c r="E1422" s="64" t="str">
        <f>IF($D1422="","",'SA &amp; Dallas Warehouses'!F39&amp;"")</f>
        <v/>
      </c>
      <c r="F1422" s="63">
        <f>IF($D1422="",0,IF(ISNUMBER('SA &amp; Dallas Warehouses'!G39),'SA &amp; Dallas Warehouses'!G39,1))</f>
        <v>0</v>
      </c>
      <c r="G1422" s="64" t="str">
        <f t="shared" si="93"/>
        <v/>
      </c>
      <c r="H1422" s="64" t="str">
        <f t="shared" si="94"/>
        <v/>
      </c>
      <c r="I1422" s="63">
        <f>IF($G1422="",0,IF(COUNTIF($G$2:$G1422,$G1422)=1,1,0))</f>
        <v>0</v>
      </c>
      <c r="J1422" s="63" t="str">
        <f t="shared" si="95"/>
        <v/>
      </c>
      <c r="K1422" s="63" t="str">
        <f>IF($H1422="","",COUNTIF($H$2:$H1422,"?*"))</f>
        <v/>
      </c>
    </row>
    <row r="1423" spans="1:11" x14ac:dyDescent="0.25">
      <c r="A1423" s="63" t="s">
        <v>535</v>
      </c>
      <c r="B1423" s="63" t="s">
        <v>1437</v>
      </c>
      <c r="C1423" s="63" t="s">
        <v>1408</v>
      </c>
      <c r="D1423" s="63" t="str">
        <f>IF('SA &amp; Dallas Warehouses'!E40="","",TRIM('SA &amp; Dallas Warehouses'!E40))</f>
        <v/>
      </c>
      <c r="E1423" s="64" t="str">
        <f>IF($D1423="","",'SA &amp; Dallas Warehouses'!F40&amp;"")</f>
        <v/>
      </c>
      <c r="F1423" s="63">
        <f>IF($D1423="",0,IF(ISNUMBER('SA &amp; Dallas Warehouses'!G40),'SA &amp; Dallas Warehouses'!G40,1))</f>
        <v>0</v>
      </c>
      <c r="G1423" s="64" t="str">
        <f t="shared" si="93"/>
        <v/>
      </c>
      <c r="H1423" s="64" t="str">
        <f t="shared" si="94"/>
        <v/>
      </c>
      <c r="I1423" s="63">
        <f>IF($G1423="",0,IF(COUNTIF($G$2:$G1423,$G1423)=1,1,0))</f>
        <v>0</v>
      </c>
      <c r="J1423" s="63" t="str">
        <f t="shared" si="95"/>
        <v/>
      </c>
      <c r="K1423" s="63" t="str">
        <f>IF($H1423="","",COUNTIF($H$2:$H1423,"?*"))</f>
        <v/>
      </c>
    </row>
    <row r="1424" spans="1:11" x14ac:dyDescent="0.25">
      <c r="A1424" s="63" t="s">
        <v>535</v>
      </c>
      <c r="B1424" s="63" t="s">
        <v>1438</v>
      </c>
      <c r="C1424" s="63" t="s">
        <v>1408</v>
      </c>
      <c r="D1424" s="63" t="str">
        <f>IF('SA &amp; Dallas Warehouses'!E41="","",TRIM('SA &amp; Dallas Warehouses'!E41))</f>
        <v/>
      </c>
      <c r="E1424" s="64" t="str">
        <f>IF($D1424="","",'SA &amp; Dallas Warehouses'!F41&amp;"")</f>
        <v/>
      </c>
      <c r="F1424" s="63">
        <f>IF($D1424="",0,IF(ISNUMBER('SA &amp; Dallas Warehouses'!G41),'SA &amp; Dallas Warehouses'!G41,1))</f>
        <v>0</v>
      </c>
      <c r="G1424" s="64" t="str">
        <f t="shared" si="93"/>
        <v/>
      </c>
      <c r="H1424" s="64" t="str">
        <f t="shared" si="94"/>
        <v/>
      </c>
      <c r="I1424" s="63">
        <f>IF($G1424="",0,IF(COUNTIF($G$2:$G1424,$G1424)=1,1,0))</f>
        <v>0</v>
      </c>
      <c r="J1424" s="63" t="str">
        <f t="shared" si="95"/>
        <v/>
      </c>
      <c r="K1424" s="63" t="str">
        <f>IF($H1424="","",COUNTIF($H$2:$H1424,"?*"))</f>
        <v/>
      </c>
    </row>
    <row r="1425" spans="1:11" x14ac:dyDescent="0.25">
      <c r="A1425" s="63" t="s">
        <v>535</v>
      </c>
      <c r="B1425" s="63" t="s">
        <v>1439</v>
      </c>
      <c r="C1425" s="63" t="s">
        <v>1408</v>
      </c>
      <c r="D1425" s="63" t="str">
        <f>IF('SA &amp; Dallas Warehouses'!E42="","",TRIM('SA &amp; Dallas Warehouses'!E42))</f>
        <v/>
      </c>
      <c r="E1425" s="64" t="str">
        <f>IF($D1425="","",'SA &amp; Dallas Warehouses'!F42&amp;"")</f>
        <v/>
      </c>
      <c r="F1425" s="63">
        <f>IF($D1425="",0,IF(ISNUMBER('SA &amp; Dallas Warehouses'!G42),'SA &amp; Dallas Warehouses'!G42,1))</f>
        <v>0</v>
      </c>
      <c r="G1425" s="64" t="str">
        <f t="shared" si="93"/>
        <v/>
      </c>
      <c r="H1425" s="64" t="str">
        <f t="shared" si="94"/>
        <v/>
      </c>
      <c r="I1425" s="63">
        <f>IF($G1425="",0,IF(COUNTIF($G$2:$G1425,$G1425)=1,1,0))</f>
        <v>0</v>
      </c>
      <c r="J1425" s="63" t="str">
        <f t="shared" si="95"/>
        <v/>
      </c>
      <c r="K1425" s="63" t="str">
        <f>IF($H1425="","",COUNTIF($H$2:$H1425,"?*"))</f>
        <v/>
      </c>
    </row>
    <row r="1426" spans="1:11" x14ac:dyDescent="0.25">
      <c r="A1426" s="63" t="s">
        <v>535</v>
      </c>
      <c r="B1426" s="63" t="s">
        <v>1440</v>
      </c>
      <c r="C1426" s="63" t="s">
        <v>1408</v>
      </c>
      <c r="D1426" s="63" t="str">
        <f>IF('SA &amp; Dallas Warehouses'!E43="","",TRIM('SA &amp; Dallas Warehouses'!E43))</f>
        <v/>
      </c>
      <c r="E1426" s="64" t="str">
        <f>IF($D1426="","",'SA &amp; Dallas Warehouses'!F43&amp;"")</f>
        <v/>
      </c>
      <c r="F1426" s="63">
        <f>IF($D1426="",0,IF(ISNUMBER('SA &amp; Dallas Warehouses'!G43),'SA &amp; Dallas Warehouses'!G43,1))</f>
        <v>0</v>
      </c>
      <c r="G1426" s="64" t="str">
        <f t="shared" si="93"/>
        <v/>
      </c>
      <c r="H1426" s="64" t="str">
        <f t="shared" si="94"/>
        <v/>
      </c>
      <c r="I1426" s="63">
        <f>IF($G1426="",0,IF(COUNTIF($G$2:$G1426,$G1426)=1,1,0))</f>
        <v>0</v>
      </c>
      <c r="J1426" s="63" t="str">
        <f t="shared" si="95"/>
        <v/>
      </c>
      <c r="K1426" s="63" t="str">
        <f>IF($H1426="","",COUNTIF($H$2:$H1426,"?*"))</f>
        <v/>
      </c>
    </row>
    <row r="1427" spans="1:11" x14ac:dyDescent="0.25">
      <c r="A1427" s="63" t="s">
        <v>535</v>
      </c>
      <c r="B1427" s="63" t="s">
        <v>1441</v>
      </c>
      <c r="C1427" s="63" t="s">
        <v>1408</v>
      </c>
      <c r="D1427" s="63" t="str">
        <f>IF('SA &amp; Dallas Warehouses'!E44="","",TRIM('SA &amp; Dallas Warehouses'!E44))</f>
        <v/>
      </c>
      <c r="E1427" s="64" t="str">
        <f>IF($D1427="","",'SA &amp; Dallas Warehouses'!F44&amp;"")</f>
        <v/>
      </c>
      <c r="F1427" s="63">
        <f>IF($D1427="",0,IF(ISNUMBER('SA &amp; Dallas Warehouses'!G44),'SA &amp; Dallas Warehouses'!G44,1))</f>
        <v>0</v>
      </c>
      <c r="G1427" s="64" t="str">
        <f t="shared" si="93"/>
        <v/>
      </c>
      <c r="H1427" s="64" t="str">
        <f t="shared" si="94"/>
        <v/>
      </c>
      <c r="I1427" s="63">
        <f>IF($G1427="",0,IF(COUNTIF($G$2:$G1427,$G1427)=1,1,0))</f>
        <v>0</v>
      </c>
      <c r="J1427" s="63" t="str">
        <f t="shared" si="95"/>
        <v/>
      </c>
      <c r="K1427" s="63" t="str">
        <f>IF($H1427="","",COUNTIF($H$2:$H1427,"?*"))</f>
        <v/>
      </c>
    </row>
    <row r="1428" spans="1:11" x14ac:dyDescent="0.25">
      <c r="A1428" s="63" t="s">
        <v>535</v>
      </c>
      <c r="B1428" s="63" t="s">
        <v>1442</v>
      </c>
      <c r="C1428" s="63" t="s">
        <v>1408</v>
      </c>
      <c r="D1428" s="63" t="str">
        <f>IF('SA &amp; Dallas Warehouses'!E45="","",TRIM('SA &amp; Dallas Warehouses'!E45))</f>
        <v/>
      </c>
      <c r="E1428" s="64" t="str">
        <f>IF($D1428="","",'SA &amp; Dallas Warehouses'!F45&amp;"")</f>
        <v/>
      </c>
      <c r="F1428" s="63">
        <f>IF($D1428="",0,IF(ISNUMBER('SA &amp; Dallas Warehouses'!G45),'SA &amp; Dallas Warehouses'!G45,1))</f>
        <v>0</v>
      </c>
      <c r="G1428" s="64" t="str">
        <f t="shared" si="93"/>
        <v/>
      </c>
      <c r="H1428" s="64" t="str">
        <f t="shared" si="94"/>
        <v/>
      </c>
      <c r="I1428" s="63">
        <f>IF($G1428="",0,IF(COUNTIF($G$2:$G1428,$G1428)=1,1,0))</f>
        <v>0</v>
      </c>
      <c r="J1428" s="63" t="str">
        <f t="shared" si="95"/>
        <v/>
      </c>
      <c r="K1428" s="63" t="str">
        <f>IF($H1428="","",COUNTIF($H$2:$H1428,"?*"))</f>
        <v/>
      </c>
    </row>
    <row r="1429" spans="1:11" x14ac:dyDescent="0.25">
      <c r="A1429" s="63" t="s">
        <v>535</v>
      </c>
      <c r="B1429" s="63" t="s">
        <v>1443</v>
      </c>
      <c r="C1429" s="63" t="s">
        <v>1408</v>
      </c>
      <c r="D1429" s="63" t="str">
        <f>IF('SA &amp; Dallas Warehouses'!E46="","",TRIM('SA &amp; Dallas Warehouses'!E46))</f>
        <v/>
      </c>
      <c r="E1429" s="64" t="str">
        <f>IF($D1429="","",'SA &amp; Dallas Warehouses'!F46&amp;"")</f>
        <v/>
      </c>
      <c r="F1429" s="63">
        <f>IF($D1429="",0,IF(ISNUMBER('SA &amp; Dallas Warehouses'!G46),'SA &amp; Dallas Warehouses'!G46,1))</f>
        <v>0</v>
      </c>
      <c r="G1429" s="64" t="str">
        <f t="shared" si="93"/>
        <v/>
      </c>
      <c r="H1429" s="64" t="str">
        <f t="shared" si="94"/>
        <v/>
      </c>
      <c r="I1429" s="63">
        <f>IF($G1429="",0,IF(COUNTIF($G$2:$G1429,$G1429)=1,1,0))</f>
        <v>0</v>
      </c>
      <c r="J1429" s="63" t="str">
        <f t="shared" si="95"/>
        <v/>
      </c>
      <c r="K1429" s="63" t="str">
        <f>IF($H1429="","",COUNTIF($H$2:$H1429,"?*"))</f>
        <v/>
      </c>
    </row>
    <row r="1430" spans="1:11" x14ac:dyDescent="0.25">
      <c r="A1430" s="63" t="s">
        <v>535</v>
      </c>
      <c r="B1430" s="63" t="s">
        <v>1444</v>
      </c>
      <c r="C1430" s="63" t="s">
        <v>1408</v>
      </c>
      <c r="D1430" s="63" t="str">
        <f>IF('SA &amp; Dallas Warehouses'!E47="","",TRIM('SA &amp; Dallas Warehouses'!E47))</f>
        <v/>
      </c>
      <c r="E1430" s="64" t="str">
        <f>IF($D1430="","",'SA &amp; Dallas Warehouses'!F47&amp;"")</f>
        <v/>
      </c>
      <c r="F1430" s="63">
        <f>IF($D1430="",0,IF(ISNUMBER('SA &amp; Dallas Warehouses'!G47),'SA &amp; Dallas Warehouses'!G47,1))</f>
        <v>0</v>
      </c>
      <c r="G1430" s="64" t="str">
        <f t="shared" si="93"/>
        <v/>
      </c>
      <c r="H1430" s="64" t="str">
        <f t="shared" si="94"/>
        <v/>
      </c>
      <c r="I1430" s="63">
        <f>IF($G1430="",0,IF(COUNTIF($G$2:$G1430,$G1430)=1,1,0))</f>
        <v>0</v>
      </c>
      <c r="J1430" s="63" t="str">
        <f t="shared" si="95"/>
        <v/>
      </c>
      <c r="K1430" s="63" t="str">
        <f>IF($H1430="","",COUNTIF($H$2:$H1430,"?*"))</f>
        <v/>
      </c>
    </row>
    <row r="1431" spans="1:11" x14ac:dyDescent="0.25">
      <c r="A1431" s="63" t="s">
        <v>535</v>
      </c>
      <c r="B1431" s="63" t="s">
        <v>1445</v>
      </c>
      <c r="C1431" s="63" t="s">
        <v>1408</v>
      </c>
      <c r="D1431" s="63" t="str">
        <f>IF('SA &amp; Dallas Warehouses'!E48="","",TRIM('SA &amp; Dallas Warehouses'!E48))</f>
        <v/>
      </c>
      <c r="E1431" s="64" t="str">
        <f>IF($D1431="","",'SA &amp; Dallas Warehouses'!F48&amp;"")</f>
        <v/>
      </c>
      <c r="F1431" s="63">
        <f>IF($D1431="",0,IF(ISNUMBER('SA &amp; Dallas Warehouses'!G48),'SA &amp; Dallas Warehouses'!G48,1))</f>
        <v>0</v>
      </c>
      <c r="G1431" s="64" t="str">
        <f t="shared" si="93"/>
        <v/>
      </c>
      <c r="H1431" s="64" t="str">
        <f t="shared" si="94"/>
        <v/>
      </c>
      <c r="I1431" s="63">
        <f>IF($G1431="",0,IF(COUNTIF($G$2:$G1431,$G1431)=1,1,0))</f>
        <v>0</v>
      </c>
      <c r="J1431" s="63" t="str">
        <f t="shared" si="95"/>
        <v/>
      </c>
      <c r="K1431" s="63" t="str">
        <f>IF($H1431="","",COUNTIF($H$2:$H1431,"?*"))</f>
        <v/>
      </c>
    </row>
    <row r="1432" spans="1:11" x14ac:dyDescent="0.25">
      <c r="A1432" s="63" t="s">
        <v>535</v>
      </c>
      <c r="B1432" s="63" t="s">
        <v>1446</v>
      </c>
      <c r="C1432" s="63" t="s">
        <v>1408</v>
      </c>
      <c r="D1432" s="63" t="str">
        <f>IF('SA &amp; Dallas Warehouses'!E49="","",TRIM('SA &amp; Dallas Warehouses'!E49))</f>
        <v/>
      </c>
      <c r="E1432" s="64" t="str">
        <f>IF($D1432="","",'SA &amp; Dallas Warehouses'!F49&amp;"")</f>
        <v/>
      </c>
      <c r="F1432" s="63">
        <f>IF($D1432="",0,IF(ISNUMBER('SA &amp; Dallas Warehouses'!G49),'SA &amp; Dallas Warehouses'!G49,1))</f>
        <v>0</v>
      </c>
      <c r="G1432" s="64" t="str">
        <f t="shared" si="93"/>
        <v/>
      </c>
      <c r="H1432" s="64" t="str">
        <f t="shared" si="94"/>
        <v/>
      </c>
      <c r="I1432" s="63">
        <f>IF($G1432="",0,IF(COUNTIF($G$2:$G1432,$G1432)=1,1,0))</f>
        <v>0</v>
      </c>
      <c r="J1432" s="63" t="str">
        <f t="shared" si="95"/>
        <v/>
      </c>
      <c r="K1432" s="63" t="str">
        <f>IF($H1432="","",COUNTIF($H$2:$H1432,"?*"))</f>
        <v/>
      </c>
    </row>
    <row r="1433" spans="1:11" x14ac:dyDescent="0.25">
      <c r="A1433" s="63" t="s">
        <v>535</v>
      </c>
      <c r="B1433" s="63" t="s">
        <v>1447</v>
      </c>
      <c r="C1433" s="63" t="s">
        <v>1408</v>
      </c>
      <c r="D1433" s="63" t="str">
        <f>IF('SA &amp; Dallas Warehouses'!E50="","",TRIM('SA &amp; Dallas Warehouses'!E50))</f>
        <v/>
      </c>
      <c r="E1433" s="64" t="str">
        <f>IF($D1433="","",'SA &amp; Dallas Warehouses'!F50&amp;"")</f>
        <v/>
      </c>
      <c r="F1433" s="63">
        <f>IF($D1433="",0,IF(ISNUMBER('SA &amp; Dallas Warehouses'!G50),'SA &amp; Dallas Warehouses'!G50,1))</f>
        <v>0</v>
      </c>
      <c r="G1433" s="64" t="str">
        <f t="shared" si="93"/>
        <v/>
      </c>
      <c r="H1433" s="64" t="str">
        <f t="shared" si="94"/>
        <v/>
      </c>
      <c r="I1433" s="63">
        <f>IF($G1433="",0,IF(COUNTIF($G$2:$G1433,$G1433)=1,1,0))</f>
        <v>0</v>
      </c>
      <c r="J1433" s="63" t="str">
        <f t="shared" si="95"/>
        <v/>
      </c>
      <c r="K1433" s="63" t="str">
        <f>IF($H1433="","",COUNTIF($H$2:$H1433,"?*"))</f>
        <v/>
      </c>
    </row>
    <row r="1434" spans="1:11" x14ac:dyDescent="0.25">
      <c r="A1434" s="63" t="s">
        <v>536</v>
      </c>
      <c r="B1434" s="63" t="s">
        <v>1367</v>
      </c>
      <c r="C1434" s="63" t="s">
        <v>1327</v>
      </c>
      <c r="D1434" s="63" t="str">
        <f>IF('SA &amp; Dallas Warehouses'!I11="","",TRIM('SA &amp; Dallas Warehouses'!I11))</f>
        <v/>
      </c>
      <c r="E1434" s="64" t="str">
        <f>IF($D1434="","",'SA &amp; Dallas Warehouses'!J11&amp;"")</f>
        <v/>
      </c>
      <c r="F1434" s="63">
        <f>IF($D1434="",0,IF(ISNUMBER('SA &amp; Dallas Warehouses'!K11),'SA &amp; Dallas Warehouses'!K11,1))</f>
        <v>0</v>
      </c>
      <c r="G1434" s="64" t="str">
        <f t="shared" si="93"/>
        <v/>
      </c>
      <c r="H1434" s="64" t="str">
        <f t="shared" si="94"/>
        <v/>
      </c>
      <c r="I1434" s="63">
        <f>IF($G1434="",0,IF(COUNTIF($G$2:$G1434,$G1434)=1,1,0))</f>
        <v>0</v>
      </c>
      <c r="J1434" s="63" t="str">
        <f t="shared" si="95"/>
        <v/>
      </c>
      <c r="K1434" s="63" t="str">
        <f>IF($H1434="","",COUNTIF($H$2:$H1434,"?*"))</f>
        <v/>
      </c>
    </row>
    <row r="1435" spans="1:11" x14ac:dyDescent="0.25">
      <c r="A1435" s="63" t="s">
        <v>536</v>
      </c>
      <c r="B1435" s="63" t="s">
        <v>1368</v>
      </c>
      <c r="C1435" s="63" t="s">
        <v>1327</v>
      </c>
      <c r="D1435" s="63" t="str">
        <f>IF('SA &amp; Dallas Warehouses'!I12="","",TRIM('SA &amp; Dallas Warehouses'!I12))</f>
        <v/>
      </c>
      <c r="E1435" s="64" t="str">
        <f>IF($D1435="","",'SA &amp; Dallas Warehouses'!J12&amp;"")</f>
        <v/>
      </c>
      <c r="F1435" s="63">
        <f>IF($D1435="",0,IF(ISNUMBER('SA &amp; Dallas Warehouses'!K12),'SA &amp; Dallas Warehouses'!K12,1))</f>
        <v>0</v>
      </c>
      <c r="G1435" s="64" t="str">
        <f t="shared" si="93"/>
        <v/>
      </c>
      <c r="H1435" s="64" t="str">
        <f t="shared" si="94"/>
        <v/>
      </c>
      <c r="I1435" s="63">
        <f>IF($G1435="",0,IF(COUNTIF($G$2:$G1435,$G1435)=1,1,0))</f>
        <v>0</v>
      </c>
      <c r="J1435" s="63" t="str">
        <f t="shared" si="95"/>
        <v/>
      </c>
      <c r="K1435" s="63" t="str">
        <f>IF($H1435="","",COUNTIF($H$2:$H1435,"?*"))</f>
        <v/>
      </c>
    </row>
    <row r="1436" spans="1:11" x14ac:dyDescent="0.25">
      <c r="A1436" s="63" t="s">
        <v>536</v>
      </c>
      <c r="B1436" s="63" t="s">
        <v>1369</v>
      </c>
      <c r="C1436" s="63" t="s">
        <v>1327</v>
      </c>
      <c r="D1436" s="63" t="str">
        <f>IF('SA &amp; Dallas Warehouses'!I13="","",TRIM('SA &amp; Dallas Warehouses'!I13))</f>
        <v/>
      </c>
      <c r="E1436" s="64" t="str">
        <f>IF($D1436="","",'SA &amp; Dallas Warehouses'!J13&amp;"")</f>
        <v/>
      </c>
      <c r="F1436" s="63">
        <f>IF($D1436="",0,IF(ISNUMBER('SA &amp; Dallas Warehouses'!K13),'SA &amp; Dallas Warehouses'!K13,1))</f>
        <v>0</v>
      </c>
      <c r="G1436" s="64" t="str">
        <f t="shared" si="93"/>
        <v/>
      </c>
      <c r="H1436" s="64" t="str">
        <f t="shared" si="94"/>
        <v/>
      </c>
      <c r="I1436" s="63">
        <f>IF($G1436="",0,IF(COUNTIF($G$2:$G1436,$G1436)=1,1,0))</f>
        <v>0</v>
      </c>
      <c r="J1436" s="63" t="str">
        <f t="shared" si="95"/>
        <v/>
      </c>
      <c r="K1436" s="63" t="str">
        <f>IF($H1436="","",COUNTIF($H$2:$H1436,"?*"))</f>
        <v/>
      </c>
    </row>
    <row r="1437" spans="1:11" x14ac:dyDescent="0.25">
      <c r="A1437" s="63" t="s">
        <v>536</v>
      </c>
      <c r="B1437" s="63" t="s">
        <v>1370</v>
      </c>
      <c r="C1437" s="63" t="s">
        <v>1327</v>
      </c>
      <c r="D1437" s="63" t="str">
        <f>IF('SA &amp; Dallas Warehouses'!I14="","",TRIM('SA &amp; Dallas Warehouses'!I14))</f>
        <v/>
      </c>
      <c r="E1437" s="64" t="str">
        <f>IF($D1437="","",'SA &amp; Dallas Warehouses'!J14&amp;"")</f>
        <v/>
      </c>
      <c r="F1437" s="63">
        <f>IF($D1437="",0,IF(ISNUMBER('SA &amp; Dallas Warehouses'!K14),'SA &amp; Dallas Warehouses'!K14,1))</f>
        <v>0</v>
      </c>
      <c r="G1437" s="64" t="str">
        <f t="shared" si="93"/>
        <v/>
      </c>
      <c r="H1437" s="64" t="str">
        <f t="shared" si="94"/>
        <v/>
      </c>
      <c r="I1437" s="63">
        <f>IF($G1437="",0,IF(COUNTIF($G$2:$G1437,$G1437)=1,1,0))</f>
        <v>0</v>
      </c>
      <c r="J1437" s="63" t="str">
        <f t="shared" si="95"/>
        <v/>
      </c>
      <c r="K1437" s="63" t="str">
        <f>IF($H1437="","",COUNTIF($H$2:$H1437,"?*"))</f>
        <v/>
      </c>
    </row>
    <row r="1438" spans="1:11" x14ac:dyDescent="0.25">
      <c r="A1438" s="63" t="s">
        <v>536</v>
      </c>
      <c r="B1438" s="63" t="s">
        <v>1371</v>
      </c>
      <c r="C1438" s="63" t="s">
        <v>1327</v>
      </c>
      <c r="D1438" s="63" t="str">
        <f>IF('SA &amp; Dallas Warehouses'!I15="","",TRIM('SA &amp; Dallas Warehouses'!I15))</f>
        <v/>
      </c>
      <c r="E1438" s="64" t="str">
        <f>IF($D1438="","",'SA &amp; Dallas Warehouses'!J15&amp;"")</f>
        <v/>
      </c>
      <c r="F1438" s="63">
        <f>IF($D1438="",0,IF(ISNUMBER('SA &amp; Dallas Warehouses'!K15),'SA &amp; Dallas Warehouses'!K15,1))</f>
        <v>0</v>
      </c>
      <c r="G1438" s="64" t="str">
        <f t="shared" si="93"/>
        <v/>
      </c>
      <c r="H1438" s="64" t="str">
        <f t="shared" si="94"/>
        <v/>
      </c>
      <c r="I1438" s="63">
        <f>IF($G1438="",0,IF(COUNTIF($G$2:$G1438,$G1438)=1,1,0))</f>
        <v>0</v>
      </c>
      <c r="J1438" s="63" t="str">
        <f t="shared" si="95"/>
        <v/>
      </c>
      <c r="K1438" s="63" t="str">
        <f>IF($H1438="","",COUNTIF($H$2:$H1438,"?*"))</f>
        <v/>
      </c>
    </row>
    <row r="1439" spans="1:11" x14ac:dyDescent="0.25">
      <c r="A1439" s="63" t="s">
        <v>536</v>
      </c>
      <c r="B1439" s="63" t="s">
        <v>1372</v>
      </c>
      <c r="C1439" s="63" t="s">
        <v>1327</v>
      </c>
      <c r="D1439" s="63" t="str">
        <f>IF('SA &amp; Dallas Warehouses'!I16="","",TRIM('SA &amp; Dallas Warehouses'!I16))</f>
        <v/>
      </c>
      <c r="E1439" s="64" t="str">
        <f>IF($D1439="","",'SA &amp; Dallas Warehouses'!J16&amp;"")</f>
        <v/>
      </c>
      <c r="F1439" s="63">
        <f>IF($D1439="",0,IF(ISNUMBER('SA &amp; Dallas Warehouses'!K16),'SA &amp; Dallas Warehouses'!K16,1))</f>
        <v>0</v>
      </c>
      <c r="G1439" s="64" t="str">
        <f t="shared" si="93"/>
        <v/>
      </c>
      <c r="H1439" s="64" t="str">
        <f t="shared" si="94"/>
        <v/>
      </c>
      <c r="I1439" s="63">
        <f>IF($G1439="",0,IF(COUNTIF($G$2:$G1439,$G1439)=1,1,0))</f>
        <v>0</v>
      </c>
      <c r="J1439" s="63" t="str">
        <f t="shared" si="95"/>
        <v/>
      </c>
      <c r="K1439" s="63" t="str">
        <f>IF($H1439="","",COUNTIF($H$2:$H1439,"?*"))</f>
        <v/>
      </c>
    </row>
    <row r="1440" spans="1:11" x14ac:dyDescent="0.25">
      <c r="A1440" s="63" t="s">
        <v>536</v>
      </c>
      <c r="B1440" s="63" t="s">
        <v>1373</v>
      </c>
      <c r="C1440" s="63" t="s">
        <v>1327</v>
      </c>
      <c r="D1440" s="63" t="str">
        <f>IF('SA &amp; Dallas Warehouses'!I17="","",TRIM('SA &amp; Dallas Warehouses'!I17))</f>
        <v/>
      </c>
      <c r="E1440" s="64" t="str">
        <f>IF($D1440="","",'SA &amp; Dallas Warehouses'!J17&amp;"")</f>
        <v/>
      </c>
      <c r="F1440" s="63">
        <f>IF($D1440="",0,IF(ISNUMBER('SA &amp; Dallas Warehouses'!K17),'SA &amp; Dallas Warehouses'!K17,1))</f>
        <v>0</v>
      </c>
      <c r="G1440" s="64" t="str">
        <f t="shared" si="93"/>
        <v/>
      </c>
      <c r="H1440" s="64" t="str">
        <f t="shared" si="94"/>
        <v/>
      </c>
      <c r="I1440" s="63">
        <f>IF($G1440="",0,IF(COUNTIF($G$2:$G1440,$G1440)=1,1,0))</f>
        <v>0</v>
      </c>
      <c r="J1440" s="63" t="str">
        <f t="shared" si="95"/>
        <v/>
      </c>
      <c r="K1440" s="63" t="str">
        <f>IF($H1440="","",COUNTIF($H$2:$H1440,"?*"))</f>
        <v/>
      </c>
    </row>
    <row r="1441" spans="1:11" x14ac:dyDescent="0.25">
      <c r="A1441" s="63" t="s">
        <v>536</v>
      </c>
      <c r="B1441" s="63" t="s">
        <v>1374</v>
      </c>
      <c r="C1441" s="63" t="s">
        <v>1327</v>
      </c>
      <c r="D1441" s="63" t="str">
        <f>IF('SA &amp; Dallas Warehouses'!I18="","",TRIM('SA &amp; Dallas Warehouses'!I18))</f>
        <v/>
      </c>
      <c r="E1441" s="64" t="str">
        <f>IF($D1441="","",'SA &amp; Dallas Warehouses'!J18&amp;"")</f>
        <v/>
      </c>
      <c r="F1441" s="63">
        <f>IF($D1441="",0,IF(ISNUMBER('SA &amp; Dallas Warehouses'!K18),'SA &amp; Dallas Warehouses'!K18,1))</f>
        <v>0</v>
      </c>
      <c r="G1441" s="64" t="str">
        <f t="shared" si="93"/>
        <v/>
      </c>
      <c r="H1441" s="64" t="str">
        <f t="shared" si="94"/>
        <v/>
      </c>
      <c r="I1441" s="63">
        <f>IF($G1441="",0,IF(COUNTIF($G$2:$G1441,$G1441)=1,1,0))</f>
        <v>0</v>
      </c>
      <c r="J1441" s="63" t="str">
        <f t="shared" si="95"/>
        <v/>
      </c>
      <c r="K1441" s="63" t="str">
        <f>IF($H1441="","",COUNTIF($H$2:$H1441,"?*"))</f>
        <v/>
      </c>
    </row>
    <row r="1442" spans="1:11" x14ac:dyDescent="0.25">
      <c r="A1442" s="63" t="s">
        <v>536</v>
      </c>
      <c r="B1442" s="63" t="s">
        <v>1375</v>
      </c>
      <c r="C1442" s="63" t="s">
        <v>1327</v>
      </c>
      <c r="D1442" s="63" t="str">
        <f>IF('SA &amp; Dallas Warehouses'!I19="","",TRIM('SA &amp; Dallas Warehouses'!I19))</f>
        <v/>
      </c>
      <c r="E1442" s="64" t="str">
        <f>IF($D1442="","",'SA &amp; Dallas Warehouses'!J19&amp;"")</f>
        <v/>
      </c>
      <c r="F1442" s="63">
        <f>IF($D1442="",0,IF(ISNUMBER('SA &amp; Dallas Warehouses'!K19),'SA &amp; Dallas Warehouses'!K19,1))</f>
        <v>0</v>
      </c>
      <c r="G1442" s="64" t="str">
        <f t="shared" si="93"/>
        <v/>
      </c>
      <c r="H1442" s="64" t="str">
        <f t="shared" si="94"/>
        <v/>
      </c>
      <c r="I1442" s="63">
        <f>IF($G1442="",0,IF(COUNTIF($G$2:$G1442,$G1442)=1,1,0))</f>
        <v>0</v>
      </c>
      <c r="J1442" s="63" t="str">
        <f t="shared" si="95"/>
        <v/>
      </c>
      <c r="K1442" s="63" t="str">
        <f>IF($H1442="","",COUNTIF($H$2:$H1442,"?*"))</f>
        <v/>
      </c>
    </row>
    <row r="1443" spans="1:11" x14ac:dyDescent="0.25">
      <c r="A1443" s="63" t="s">
        <v>536</v>
      </c>
      <c r="B1443" s="63" t="s">
        <v>1376</v>
      </c>
      <c r="C1443" s="63" t="s">
        <v>1327</v>
      </c>
      <c r="D1443" s="63" t="str">
        <f>IF('SA &amp; Dallas Warehouses'!I20="","",TRIM('SA &amp; Dallas Warehouses'!I20))</f>
        <v/>
      </c>
      <c r="E1443" s="64" t="str">
        <f>IF($D1443="","",'SA &amp; Dallas Warehouses'!J20&amp;"")</f>
        <v/>
      </c>
      <c r="F1443" s="63">
        <f>IF($D1443="",0,IF(ISNUMBER('SA &amp; Dallas Warehouses'!K20),'SA &amp; Dallas Warehouses'!K20,1))</f>
        <v>0</v>
      </c>
      <c r="G1443" s="64" t="str">
        <f t="shared" si="93"/>
        <v/>
      </c>
      <c r="H1443" s="64" t="str">
        <f t="shared" si="94"/>
        <v/>
      </c>
      <c r="I1443" s="63">
        <f>IF($G1443="",0,IF(COUNTIF($G$2:$G1443,$G1443)=1,1,0))</f>
        <v>0</v>
      </c>
      <c r="J1443" s="63" t="str">
        <f t="shared" si="95"/>
        <v/>
      </c>
      <c r="K1443" s="63" t="str">
        <f>IF($H1443="","",COUNTIF($H$2:$H1443,"?*"))</f>
        <v/>
      </c>
    </row>
    <row r="1444" spans="1:11" x14ac:dyDescent="0.25">
      <c r="A1444" s="63" t="s">
        <v>536</v>
      </c>
      <c r="B1444" s="63" t="s">
        <v>1377</v>
      </c>
      <c r="C1444" s="63" t="s">
        <v>1327</v>
      </c>
      <c r="D1444" s="63" t="str">
        <f>IF('SA &amp; Dallas Warehouses'!I21="","",TRIM('SA &amp; Dallas Warehouses'!I21))</f>
        <v/>
      </c>
      <c r="E1444" s="64" t="str">
        <f>IF($D1444="","",'SA &amp; Dallas Warehouses'!J21&amp;"")</f>
        <v/>
      </c>
      <c r="F1444" s="63">
        <f>IF($D1444="",0,IF(ISNUMBER('SA &amp; Dallas Warehouses'!K21),'SA &amp; Dallas Warehouses'!K21,1))</f>
        <v>0</v>
      </c>
      <c r="G1444" s="64" t="str">
        <f t="shared" si="93"/>
        <v/>
      </c>
      <c r="H1444" s="64" t="str">
        <f t="shared" si="94"/>
        <v/>
      </c>
      <c r="I1444" s="63">
        <f>IF($G1444="",0,IF(COUNTIF($G$2:$G1444,$G1444)=1,1,0))</f>
        <v>0</v>
      </c>
      <c r="J1444" s="63" t="str">
        <f t="shared" si="95"/>
        <v/>
      </c>
      <c r="K1444" s="63" t="str">
        <f>IF($H1444="","",COUNTIF($H$2:$H1444,"?*"))</f>
        <v/>
      </c>
    </row>
    <row r="1445" spans="1:11" x14ac:dyDescent="0.25">
      <c r="A1445" s="63" t="s">
        <v>536</v>
      </c>
      <c r="B1445" s="63" t="s">
        <v>1378</v>
      </c>
      <c r="C1445" s="63" t="s">
        <v>1327</v>
      </c>
      <c r="D1445" s="63" t="str">
        <f>IF('SA &amp; Dallas Warehouses'!I22="","",TRIM('SA &amp; Dallas Warehouses'!I22))</f>
        <v/>
      </c>
      <c r="E1445" s="64" t="str">
        <f>IF($D1445="","",'SA &amp; Dallas Warehouses'!J22&amp;"")</f>
        <v/>
      </c>
      <c r="F1445" s="63">
        <f>IF($D1445="",0,IF(ISNUMBER('SA &amp; Dallas Warehouses'!K22),'SA &amp; Dallas Warehouses'!K22,1))</f>
        <v>0</v>
      </c>
      <c r="G1445" s="64" t="str">
        <f t="shared" si="93"/>
        <v/>
      </c>
      <c r="H1445" s="64" t="str">
        <f t="shared" si="94"/>
        <v/>
      </c>
      <c r="I1445" s="63">
        <f>IF($G1445="",0,IF(COUNTIF($G$2:$G1445,$G1445)=1,1,0))</f>
        <v>0</v>
      </c>
      <c r="J1445" s="63" t="str">
        <f t="shared" si="95"/>
        <v/>
      </c>
      <c r="K1445" s="63" t="str">
        <f>IF($H1445="","",COUNTIF($H$2:$H1445,"?*"))</f>
        <v/>
      </c>
    </row>
    <row r="1446" spans="1:11" x14ac:dyDescent="0.25">
      <c r="A1446" s="63" t="s">
        <v>536</v>
      </c>
      <c r="B1446" s="63" t="s">
        <v>1379</v>
      </c>
      <c r="C1446" s="63" t="s">
        <v>1327</v>
      </c>
      <c r="D1446" s="63" t="str">
        <f>IF('SA &amp; Dallas Warehouses'!I23="","",TRIM('SA &amp; Dallas Warehouses'!I23))</f>
        <v/>
      </c>
      <c r="E1446" s="64" t="str">
        <f>IF($D1446="","",'SA &amp; Dallas Warehouses'!J23&amp;"")</f>
        <v/>
      </c>
      <c r="F1446" s="63">
        <f>IF($D1446="",0,IF(ISNUMBER('SA &amp; Dallas Warehouses'!K23),'SA &amp; Dallas Warehouses'!K23,1))</f>
        <v>0</v>
      </c>
      <c r="G1446" s="64" t="str">
        <f t="shared" si="93"/>
        <v/>
      </c>
      <c r="H1446" s="64" t="str">
        <f t="shared" si="94"/>
        <v/>
      </c>
      <c r="I1446" s="63">
        <f>IF($G1446="",0,IF(COUNTIF($G$2:$G1446,$G1446)=1,1,0))</f>
        <v>0</v>
      </c>
      <c r="J1446" s="63" t="str">
        <f t="shared" si="95"/>
        <v/>
      </c>
      <c r="K1446" s="63" t="str">
        <f>IF($H1446="","",COUNTIF($H$2:$H1446,"?*"))</f>
        <v/>
      </c>
    </row>
    <row r="1447" spans="1:11" x14ac:dyDescent="0.25">
      <c r="A1447" s="63" t="s">
        <v>536</v>
      </c>
      <c r="B1447" s="63" t="s">
        <v>1380</v>
      </c>
      <c r="C1447" s="63" t="s">
        <v>1327</v>
      </c>
      <c r="D1447" s="63" t="str">
        <f>IF('SA &amp; Dallas Warehouses'!I24="","",TRIM('SA &amp; Dallas Warehouses'!I24))</f>
        <v/>
      </c>
      <c r="E1447" s="64" t="str">
        <f>IF($D1447="","",'SA &amp; Dallas Warehouses'!J24&amp;"")</f>
        <v/>
      </c>
      <c r="F1447" s="63">
        <f>IF($D1447="",0,IF(ISNUMBER('SA &amp; Dallas Warehouses'!K24),'SA &amp; Dallas Warehouses'!K24,1))</f>
        <v>0</v>
      </c>
      <c r="G1447" s="64" t="str">
        <f t="shared" si="93"/>
        <v/>
      </c>
      <c r="H1447" s="64" t="str">
        <f t="shared" si="94"/>
        <v/>
      </c>
      <c r="I1447" s="63">
        <f>IF($G1447="",0,IF(COUNTIF($G$2:$G1447,$G1447)=1,1,0))</f>
        <v>0</v>
      </c>
      <c r="J1447" s="63" t="str">
        <f t="shared" si="95"/>
        <v/>
      </c>
      <c r="K1447" s="63" t="str">
        <f>IF($H1447="","",COUNTIF($H$2:$H1447,"?*"))</f>
        <v/>
      </c>
    </row>
    <row r="1448" spans="1:11" x14ac:dyDescent="0.25">
      <c r="A1448" s="63" t="s">
        <v>536</v>
      </c>
      <c r="B1448" s="63" t="s">
        <v>1381</v>
      </c>
      <c r="C1448" s="63" t="s">
        <v>1327</v>
      </c>
      <c r="D1448" s="63" t="str">
        <f>IF('SA &amp; Dallas Warehouses'!I25="","",TRIM('SA &amp; Dallas Warehouses'!I25))</f>
        <v/>
      </c>
      <c r="E1448" s="64" t="str">
        <f>IF($D1448="","",'SA &amp; Dallas Warehouses'!J25&amp;"")</f>
        <v/>
      </c>
      <c r="F1448" s="63">
        <f>IF($D1448="",0,IF(ISNUMBER('SA &amp; Dallas Warehouses'!K25),'SA &amp; Dallas Warehouses'!K25,1))</f>
        <v>0</v>
      </c>
      <c r="G1448" s="64" t="str">
        <f t="shared" si="93"/>
        <v/>
      </c>
      <c r="H1448" s="64" t="str">
        <f t="shared" si="94"/>
        <v/>
      </c>
      <c r="I1448" s="63">
        <f>IF($G1448="",0,IF(COUNTIF($G$2:$G1448,$G1448)=1,1,0))</f>
        <v>0</v>
      </c>
      <c r="J1448" s="63" t="str">
        <f t="shared" si="95"/>
        <v/>
      </c>
      <c r="K1448" s="63" t="str">
        <f>IF($H1448="","",COUNTIF($H$2:$H1448,"?*"))</f>
        <v/>
      </c>
    </row>
    <row r="1449" spans="1:11" x14ac:dyDescent="0.25">
      <c r="A1449" s="63" t="s">
        <v>536</v>
      </c>
      <c r="B1449" s="63" t="s">
        <v>1382</v>
      </c>
      <c r="C1449" s="63" t="s">
        <v>1327</v>
      </c>
      <c r="D1449" s="63" t="str">
        <f>IF('SA &amp; Dallas Warehouses'!I26="","",TRIM('SA &amp; Dallas Warehouses'!I26))</f>
        <v/>
      </c>
      <c r="E1449" s="64" t="str">
        <f>IF($D1449="","",'SA &amp; Dallas Warehouses'!J26&amp;"")</f>
        <v/>
      </c>
      <c r="F1449" s="63">
        <f>IF($D1449="",0,IF(ISNUMBER('SA &amp; Dallas Warehouses'!K26),'SA &amp; Dallas Warehouses'!K26,1))</f>
        <v>0</v>
      </c>
      <c r="G1449" s="64" t="str">
        <f t="shared" si="93"/>
        <v/>
      </c>
      <c r="H1449" s="64" t="str">
        <f t="shared" si="94"/>
        <v/>
      </c>
      <c r="I1449" s="63">
        <f>IF($G1449="",0,IF(COUNTIF($G$2:$G1449,$G1449)=1,1,0))</f>
        <v>0</v>
      </c>
      <c r="J1449" s="63" t="str">
        <f t="shared" si="95"/>
        <v/>
      </c>
      <c r="K1449" s="63" t="str">
        <f>IF($H1449="","",COUNTIF($H$2:$H1449,"?*"))</f>
        <v/>
      </c>
    </row>
    <row r="1450" spans="1:11" x14ac:dyDescent="0.25">
      <c r="A1450" s="63" t="s">
        <v>536</v>
      </c>
      <c r="B1450" s="63" t="s">
        <v>1383</v>
      </c>
      <c r="C1450" s="63" t="s">
        <v>1327</v>
      </c>
      <c r="D1450" s="63" t="str">
        <f>IF('SA &amp; Dallas Warehouses'!I27="","",TRIM('SA &amp; Dallas Warehouses'!I27))</f>
        <v/>
      </c>
      <c r="E1450" s="64" t="str">
        <f>IF($D1450="","",'SA &amp; Dallas Warehouses'!J27&amp;"")</f>
        <v/>
      </c>
      <c r="F1450" s="63">
        <f>IF($D1450="",0,IF(ISNUMBER('SA &amp; Dallas Warehouses'!K27),'SA &amp; Dallas Warehouses'!K27,1))</f>
        <v>0</v>
      </c>
      <c r="G1450" s="64" t="str">
        <f t="shared" si="93"/>
        <v/>
      </c>
      <c r="H1450" s="64" t="str">
        <f t="shared" si="94"/>
        <v/>
      </c>
      <c r="I1450" s="63">
        <f>IF($G1450="",0,IF(COUNTIF($G$2:$G1450,$G1450)=1,1,0))</f>
        <v>0</v>
      </c>
      <c r="J1450" s="63" t="str">
        <f t="shared" si="95"/>
        <v/>
      </c>
      <c r="K1450" s="63" t="str">
        <f>IF($H1450="","",COUNTIF($H$2:$H1450,"?*"))</f>
        <v/>
      </c>
    </row>
    <row r="1451" spans="1:11" x14ac:dyDescent="0.25">
      <c r="A1451" s="63" t="s">
        <v>536</v>
      </c>
      <c r="B1451" s="63" t="s">
        <v>1384</v>
      </c>
      <c r="C1451" s="63" t="s">
        <v>1327</v>
      </c>
      <c r="D1451" s="63" t="str">
        <f>IF('SA &amp; Dallas Warehouses'!I28="","",TRIM('SA &amp; Dallas Warehouses'!I28))</f>
        <v/>
      </c>
      <c r="E1451" s="64" t="str">
        <f>IF($D1451="","",'SA &amp; Dallas Warehouses'!J28&amp;"")</f>
        <v/>
      </c>
      <c r="F1451" s="63">
        <f>IF($D1451="",0,IF(ISNUMBER('SA &amp; Dallas Warehouses'!K28),'SA &amp; Dallas Warehouses'!K28,1))</f>
        <v>0</v>
      </c>
      <c r="G1451" s="64" t="str">
        <f t="shared" si="93"/>
        <v/>
      </c>
      <c r="H1451" s="64" t="str">
        <f t="shared" si="94"/>
        <v/>
      </c>
      <c r="I1451" s="63">
        <f>IF($G1451="",0,IF(COUNTIF($G$2:$G1451,$G1451)=1,1,0))</f>
        <v>0</v>
      </c>
      <c r="J1451" s="63" t="str">
        <f t="shared" si="95"/>
        <v/>
      </c>
      <c r="K1451" s="63" t="str">
        <f>IF($H1451="","",COUNTIF($H$2:$H1451,"?*"))</f>
        <v/>
      </c>
    </row>
    <row r="1452" spans="1:11" x14ac:dyDescent="0.25">
      <c r="A1452" s="63" t="s">
        <v>536</v>
      </c>
      <c r="B1452" s="63" t="s">
        <v>1385</v>
      </c>
      <c r="C1452" s="63" t="s">
        <v>1327</v>
      </c>
      <c r="D1452" s="63" t="str">
        <f>IF('SA &amp; Dallas Warehouses'!I29="","",TRIM('SA &amp; Dallas Warehouses'!I29))</f>
        <v/>
      </c>
      <c r="E1452" s="64" t="str">
        <f>IF($D1452="","",'SA &amp; Dallas Warehouses'!J29&amp;"")</f>
        <v/>
      </c>
      <c r="F1452" s="63">
        <f>IF($D1452="",0,IF(ISNUMBER('SA &amp; Dallas Warehouses'!K29),'SA &amp; Dallas Warehouses'!K29,1))</f>
        <v>0</v>
      </c>
      <c r="G1452" s="64" t="str">
        <f t="shared" si="93"/>
        <v/>
      </c>
      <c r="H1452" s="64" t="str">
        <f t="shared" si="94"/>
        <v/>
      </c>
      <c r="I1452" s="63">
        <f>IF($G1452="",0,IF(COUNTIF($G$2:$G1452,$G1452)=1,1,0))</f>
        <v>0</v>
      </c>
      <c r="J1452" s="63" t="str">
        <f t="shared" si="95"/>
        <v/>
      </c>
      <c r="K1452" s="63" t="str">
        <f>IF($H1452="","",COUNTIF($H$2:$H1452,"?*"))</f>
        <v/>
      </c>
    </row>
    <row r="1453" spans="1:11" x14ac:dyDescent="0.25">
      <c r="A1453" s="63" t="s">
        <v>536</v>
      </c>
      <c r="B1453" s="63" t="s">
        <v>1386</v>
      </c>
      <c r="C1453" s="63" t="s">
        <v>1327</v>
      </c>
      <c r="D1453" s="63" t="str">
        <f>IF('SA &amp; Dallas Warehouses'!I30="","",TRIM('SA &amp; Dallas Warehouses'!I30))</f>
        <v/>
      </c>
      <c r="E1453" s="64" t="str">
        <f>IF($D1453="","",'SA &amp; Dallas Warehouses'!J30&amp;"")</f>
        <v/>
      </c>
      <c r="F1453" s="63">
        <f>IF($D1453="",0,IF(ISNUMBER('SA &amp; Dallas Warehouses'!K30),'SA &amp; Dallas Warehouses'!K30,1))</f>
        <v>0</v>
      </c>
      <c r="G1453" s="64" t="str">
        <f t="shared" si="93"/>
        <v/>
      </c>
      <c r="H1453" s="64" t="str">
        <f t="shared" si="94"/>
        <v/>
      </c>
      <c r="I1453" s="63">
        <f>IF($G1453="",0,IF(COUNTIF($G$2:$G1453,$G1453)=1,1,0))</f>
        <v>0</v>
      </c>
      <c r="J1453" s="63" t="str">
        <f t="shared" si="95"/>
        <v/>
      </c>
      <c r="K1453" s="63" t="str">
        <f>IF($H1453="","",COUNTIF($H$2:$H1453,"?*"))</f>
        <v/>
      </c>
    </row>
    <row r="1454" spans="1:11" x14ac:dyDescent="0.25">
      <c r="A1454" s="63" t="s">
        <v>536</v>
      </c>
      <c r="B1454" s="63" t="s">
        <v>1387</v>
      </c>
      <c r="C1454" s="63" t="s">
        <v>1327</v>
      </c>
      <c r="D1454" s="63" t="str">
        <f>IF('SA &amp; Dallas Warehouses'!I31="","",TRIM('SA &amp; Dallas Warehouses'!I31))</f>
        <v/>
      </c>
      <c r="E1454" s="64" t="str">
        <f>IF($D1454="","",'SA &amp; Dallas Warehouses'!J31&amp;"")</f>
        <v/>
      </c>
      <c r="F1454" s="63">
        <f>IF($D1454="",0,IF(ISNUMBER('SA &amp; Dallas Warehouses'!K31),'SA &amp; Dallas Warehouses'!K31,1))</f>
        <v>0</v>
      </c>
      <c r="G1454" s="64" t="str">
        <f t="shared" si="93"/>
        <v/>
      </c>
      <c r="H1454" s="64" t="str">
        <f t="shared" si="94"/>
        <v/>
      </c>
      <c r="I1454" s="63">
        <f>IF($G1454="",0,IF(COUNTIF($G$2:$G1454,$G1454)=1,1,0))</f>
        <v>0</v>
      </c>
      <c r="J1454" s="63" t="str">
        <f t="shared" si="95"/>
        <v/>
      </c>
      <c r="K1454" s="63" t="str">
        <f>IF($H1454="","",COUNTIF($H$2:$H1454,"?*"))</f>
        <v/>
      </c>
    </row>
    <row r="1455" spans="1:11" x14ac:dyDescent="0.25">
      <c r="A1455" s="63" t="s">
        <v>536</v>
      </c>
      <c r="B1455" s="63" t="s">
        <v>1388</v>
      </c>
      <c r="C1455" s="63" t="s">
        <v>1327</v>
      </c>
      <c r="D1455" s="63" t="str">
        <f>IF('SA &amp; Dallas Warehouses'!I32="","",TRIM('SA &amp; Dallas Warehouses'!I32))</f>
        <v/>
      </c>
      <c r="E1455" s="64" t="str">
        <f>IF($D1455="","",'SA &amp; Dallas Warehouses'!J32&amp;"")</f>
        <v/>
      </c>
      <c r="F1455" s="63">
        <f>IF($D1455="",0,IF(ISNUMBER('SA &amp; Dallas Warehouses'!K32),'SA &amp; Dallas Warehouses'!K32,1))</f>
        <v>0</v>
      </c>
      <c r="G1455" s="64" t="str">
        <f t="shared" si="93"/>
        <v/>
      </c>
      <c r="H1455" s="64" t="str">
        <f t="shared" si="94"/>
        <v/>
      </c>
      <c r="I1455" s="63">
        <f>IF($G1455="",0,IF(COUNTIF($G$2:$G1455,$G1455)=1,1,0))</f>
        <v>0</v>
      </c>
      <c r="J1455" s="63" t="str">
        <f t="shared" si="95"/>
        <v/>
      </c>
      <c r="K1455" s="63" t="str">
        <f>IF($H1455="","",COUNTIF($H$2:$H1455,"?*"))</f>
        <v/>
      </c>
    </row>
    <row r="1456" spans="1:11" x14ac:dyDescent="0.25">
      <c r="A1456" s="63" t="s">
        <v>536</v>
      </c>
      <c r="B1456" s="63" t="s">
        <v>1389</v>
      </c>
      <c r="C1456" s="63" t="s">
        <v>1327</v>
      </c>
      <c r="D1456" s="63" t="str">
        <f>IF('SA &amp; Dallas Warehouses'!I33="","",TRIM('SA &amp; Dallas Warehouses'!I33))</f>
        <v/>
      </c>
      <c r="E1456" s="64" t="str">
        <f>IF($D1456="","",'SA &amp; Dallas Warehouses'!J33&amp;"")</f>
        <v/>
      </c>
      <c r="F1456" s="63">
        <f>IF($D1456="",0,IF(ISNUMBER('SA &amp; Dallas Warehouses'!K33),'SA &amp; Dallas Warehouses'!K33,1))</f>
        <v>0</v>
      </c>
      <c r="G1456" s="64" t="str">
        <f t="shared" si="93"/>
        <v/>
      </c>
      <c r="H1456" s="64" t="str">
        <f t="shared" si="94"/>
        <v/>
      </c>
      <c r="I1456" s="63">
        <f>IF($G1456="",0,IF(COUNTIF($G$2:$G1456,$G1456)=1,1,0))</f>
        <v>0</v>
      </c>
      <c r="J1456" s="63" t="str">
        <f t="shared" si="95"/>
        <v/>
      </c>
      <c r="K1456" s="63" t="str">
        <f>IF($H1456="","",COUNTIF($H$2:$H1456,"?*"))</f>
        <v/>
      </c>
    </row>
    <row r="1457" spans="1:11" x14ac:dyDescent="0.25">
      <c r="A1457" s="63" t="s">
        <v>536</v>
      </c>
      <c r="B1457" s="63" t="s">
        <v>1390</v>
      </c>
      <c r="C1457" s="63" t="s">
        <v>1327</v>
      </c>
      <c r="D1457" s="63" t="str">
        <f>IF('SA &amp; Dallas Warehouses'!I34="","",TRIM('SA &amp; Dallas Warehouses'!I34))</f>
        <v/>
      </c>
      <c r="E1457" s="64" t="str">
        <f>IF($D1457="","",'SA &amp; Dallas Warehouses'!J34&amp;"")</f>
        <v/>
      </c>
      <c r="F1457" s="63">
        <f>IF($D1457="",0,IF(ISNUMBER('SA &amp; Dallas Warehouses'!K34),'SA &amp; Dallas Warehouses'!K34,1))</f>
        <v>0</v>
      </c>
      <c r="G1457" s="64" t="str">
        <f t="shared" si="93"/>
        <v/>
      </c>
      <c r="H1457" s="64" t="str">
        <f t="shared" si="94"/>
        <v/>
      </c>
      <c r="I1457" s="63">
        <f>IF($G1457="",0,IF(COUNTIF($G$2:$G1457,$G1457)=1,1,0))</f>
        <v>0</v>
      </c>
      <c r="J1457" s="63" t="str">
        <f t="shared" si="95"/>
        <v/>
      </c>
      <c r="K1457" s="63" t="str">
        <f>IF($H1457="","",COUNTIF($H$2:$H1457,"?*"))</f>
        <v/>
      </c>
    </row>
    <row r="1458" spans="1:11" x14ac:dyDescent="0.25">
      <c r="A1458" s="63" t="s">
        <v>536</v>
      </c>
      <c r="B1458" s="63" t="s">
        <v>1391</v>
      </c>
      <c r="C1458" s="63" t="s">
        <v>1327</v>
      </c>
      <c r="D1458" s="63" t="str">
        <f>IF('SA &amp; Dallas Warehouses'!I35="","",TRIM('SA &amp; Dallas Warehouses'!I35))</f>
        <v/>
      </c>
      <c r="E1458" s="64" t="str">
        <f>IF($D1458="","",'SA &amp; Dallas Warehouses'!J35&amp;"")</f>
        <v/>
      </c>
      <c r="F1458" s="63">
        <f>IF($D1458="",0,IF(ISNUMBER('SA &amp; Dallas Warehouses'!K35),'SA &amp; Dallas Warehouses'!K35,1))</f>
        <v>0</v>
      </c>
      <c r="G1458" s="64" t="str">
        <f t="shared" si="93"/>
        <v/>
      </c>
      <c r="H1458" s="64" t="str">
        <f t="shared" si="94"/>
        <v/>
      </c>
      <c r="I1458" s="63">
        <f>IF($G1458="",0,IF(COUNTIF($G$2:$G1458,$G1458)=1,1,0))</f>
        <v>0</v>
      </c>
      <c r="J1458" s="63" t="str">
        <f t="shared" si="95"/>
        <v/>
      </c>
      <c r="K1458" s="63" t="str">
        <f>IF($H1458="","",COUNTIF($H$2:$H1458,"?*"))</f>
        <v/>
      </c>
    </row>
    <row r="1459" spans="1:11" x14ac:dyDescent="0.25">
      <c r="A1459" s="63" t="s">
        <v>536</v>
      </c>
      <c r="B1459" s="63" t="s">
        <v>1392</v>
      </c>
      <c r="C1459" s="63" t="s">
        <v>1327</v>
      </c>
      <c r="D1459" s="63" t="str">
        <f>IF('SA &amp; Dallas Warehouses'!I36="","",TRIM('SA &amp; Dallas Warehouses'!I36))</f>
        <v/>
      </c>
      <c r="E1459" s="64" t="str">
        <f>IF($D1459="","",'SA &amp; Dallas Warehouses'!J36&amp;"")</f>
        <v/>
      </c>
      <c r="F1459" s="63">
        <f>IF($D1459="",0,IF(ISNUMBER('SA &amp; Dallas Warehouses'!K36),'SA &amp; Dallas Warehouses'!K36,1))</f>
        <v>0</v>
      </c>
      <c r="G1459" s="64" t="str">
        <f t="shared" si="93"/>
        <v/>
      </c>
      <c r="H1459" s="64" t="str">
        <f t="shared" si="94"/>
        <v/>
      </c>
      <c r="I1459" s="63">
        <f>IF($G1459="",0,IF(COUNTIF($G$2:$G1459,$G1459)=1,1,0))</f>
        <v>0</v>
      </c>
      <c r="J1459" s="63" t="str">
        <f t="shared" si="95"/>
        <v/>
      </c>
      <c r="K1459" s="63" t="str">
        <f>IF($H1459="","",COUNTIF($H$2:$H1459,"?*"))</f>
        <v/>
      </c>
    </row>
    <row r="1460" spans="1:11" x14ac:dyDescent="0.25">
      <c r="A1460" s="63" t="s">
        <v>536</v>
      </c>
      <c r="B1460" s="63" t="s">
        <v>1393</v>
      </c>
      <c r="C1460" s="63" t="s">
        <v>1327</v>
      </c>
      <c r="D1460" s="63" t="str">
        <f>IF('SA &amp; Dallas Warehouses'!I37="","",TRIM('SA &amp; Dallas Warehouses'!I37))</f>
        <v/>
      </c>
      <c r="E1460" s="64" t="str">
        <f>IF($D1460="","",'SA &amp; Dallas Warehouses'!J37&amp;"")</f>
        <v/>
      </c>
      <c r="F1460" s="63">
        <f>IF($D1460="",0,IF(ISNUMBER('SA &amp; Dallas Warehouses'!K37),'SA &amp; Dallas Warehouses'!K37,1))</f>
        <v>0</v>
      </c>
      <c r="G1460" s="64" t="str">
        <f t="shared" si="93"/>
        <v/>
      </c>
      <c r="H1460" s="64" t="str">
        <f t="shared" si="94"/>
        <v/>
      </c>
      <c r="I1460" s="63">
        <f>IF($G1460="",0,IF(COUNTIF($G$2:$G1460,$G1460)=1,1,0))</f>
        <v>0</v>
      </c>
      <c r="J1460" s="63" t="str">
        <f t="shared" si="95"/>
        <v/>
      </c>
      <c r="K1460" s="63" t="str">
        <f>IF($H1460="","",COUNTIF($H$2:$H1460,"?*"))</f>
        <v/>
      </c>
    </row>
    <row r="1461" spans="1:11" x14ac:dyDescent="0.25">
      <c r="A1461" s="63" t="s">
        <v>536</v>
      </c>
      <c r="B1461" s="63" t="s">
        <v>1394</v>
      </c>
      <c r="C1461" s="63" t="s">
        <v>1327</v>
      </c>
      <c r="D1461" s="63" t="str">
        <f>IF('SA &amp; Dallas Warehouses'!I38="","",TRIM('SA &amp; Dallas Warehouses'!I38))</f>
        <v/>
      </c>
      <c r="E1461" s="64" t="str">
        <f>IF($D1461="","",'SA &amp; Dallas Warehouses'!J38&amp;"")</f>
        <v/>
      </c>
      <c r="F1461" s="63">
        <f>IF($D1461="",0,IF(ISNUMBER('SA &amp; Dallas Warehouses'!K38),'SA &amp; Dallas Warehouses'!K38,1))</f>
        <v>0</v>
      </c>
      <c r="G1461" s="64" t="str">
        <f t="shared" si="93"/>
        <v/>
      </c>
      <c r="H1461" s="64" t="str">
        <f t="shared" si="94"/>
        <v/>
      </c>
      <c r="I1461" s="63">
        <f>IF($G1461="",0,IF(COUNTIF($G$2:$G1461,$G1461)=1,1,0))</f>
        <v>0</v>
      </c>
      <c r="J1461" s="63" t="str">
        <f t="shared" si="95"/>
        <v/>
      </c>
      <c r="K1461" s="63" t="str">
        <f>IF($H1461="","",COUNTIF($H$2:$H1461,"?*"))</f>
        <v/>
      </c>
    </row>
    <row r="1462" spans="1:11" x14ac:dyDescent="0.25">
      <c r="A1462" s="63" t="s">
        <v>536</v>
      </c>
      <c r="B1462" s="63" t="s">
        <v>1395</v>
      </c>
      <c r="C1462" s="63" t="s">
        <v>1327</v>
      </c>
      <c r="D1462" s="63" t="str">
        <f>IF('SA &amp; Dallas Warehouses'!I39="","",TRIM('SA &amp; Dallas Warehouses'!I39))</f>
        <v/>
      </c>
      <c r="E1462" s="64" t="str">
        <f>IF($D1462="","",'SA &amp; Dallas Warehouses'!J39&amp;"")</f>
        <v/>
      </c>
      <c r="F1462" s="63">
        <f>IF($D1462="",0,IF(ISNUMBER('SA &amp; Dallas Warehouses'!K39),'SA &amp; Dallas Warehouses'!K39,1))</f>
        <v>0</v>
      </c>
      <c r="G1462" s="64" t="str">
        <f t="shared" si="93"/>
        <v/>
      </c>
      <c r="H1462" s="64" t="str">
        <f t="shared" si="94"/>
        <v/>
      </c>
      <c r="I1462" s="63">
        <f>IF($G1462="",0,IF(COUNTIF($G$2:$G1462,$G1462)=1,1,0))</f>
        <v>0</v>
      </c>
      <c r="J1462" s="63" t="str">
        <f t="shared" si="95"/>
        <v/>
      </c>
      <c r="K1462" s="63" t="str">
        <f>IF($H1462="","",COUNTIF($H$2:$H1462,"?*"))</f>
        <v/>
      </c>
    </row>
    <row r="1463" spans="1:11" x14ac:dyDescent="0.25">
      <c r="A1463" s="63" t="s">
        <v>536</v>
      </c>
      <c r="B1463" s="63" t="s">
        <v>1396</v>
      </c>
      <c r="C1463" s="63" t="s">
        <v>1327</v>
      </c>
      <c r="D1463" s="63" t="str">
        <f>IF('SA &amp; Dallas Warehouses'!I40="","",TRIM('SA &amp; Dallas Warehouses'!I40))</f>
        <v/>
      </c>
      <c r="E1463" s="64" t="str">
        <f>IF($D1463="","",'SA &amp; Dallas Warehouses'!J40&amp;"")</f>
        <v/>
      </c>
      <c r="F1463" s="63">
        <f>IF($D1463="",0,IF(ISNUMBER('SA &amp; Dallas Warehouses'!K40),'SA &amp; Dallas Warehouses'!K40,1))</f>
        <v>0</v>
      </c>
      <c r="G1463" s="64" t="str">
        <f t="shared" si="93"/>
        <v/>
      </c>
      <c r="H1463" s="64" t="str">
        <f t="shared" si="94"/>
        <v/>
      </c>
      <c r="I1463" s="63">
        <f>IF($G1463="",0,IF(COUNTIF($G$2:$G1463,$G1463)=1,1,0))</f>
        <v>0</v>
      </c>
      <c r="J1463" s="63" t="str">
        <f t="shared" si="95"/>
        <v/>
      </c>
      <c r="K1463" s="63" t="str">
        <f>IF($H1463="","",COUNTIF($H$2:$H1463,"?*"))</f>
        <v/>
      </c>
    </row>
    <row r="1464" spans="1:11" x14ac:dyDescent="0.25">
      <c r="A1464" s="63" t="s">
        <v>536</v>
      </c>
      <c r="B1464" s="63" t="s">
        <v>1397</v>
      </c>
      <c r="C1464" s="63" t="s">
        <v>1327</v>
      </c>
      <c r="D1464" s="63" t="str">
        <f>IF('SA &amp; Dallas Warehouses'!I41="","",TRIM('SA &amp; Dallas Warehouses'!I41))</f>
        <v/>
      </c>
      <c r="E1464" s="64" t="str">
        <f>IF($D1464="","",'SA &amp; Dallas Warehouses'!J41&amp;"")</f>
        <v/>
      </c>
      <c r="F1464" s="63">
        <f>IF($D1464="",0,IF(ISNUMBER('SA &amp; Dallas Warehouses'!K41),'SA &amp; Dallas Warehouses'!K41,1))</f>
        <v>0</v>
      </c>
      <c r="G1464" s="64" t="str">
        <f t="shared" si="93"/>
        <v/>
      </c>
      <c r="H1464" s="64" t="str">
        <f t="shared" si="94"/>
        <v/>
      </c>
      <c r="I1464" s="63">
        <f>IF($G1464="",0,IF(COUNTIF($G$2:$G1464,$G1464)=1,1,0))</f>
        <v>0</v>
      </c>
      <c r="J1464" s="63" t="str">
        <f t="shared" si="95"/>
        <v/>
      </c>
      <c r="K1464" s="63" t="str">
        <f>IF($H1464="","",COUNTIF($H$2:$H1464,"?*"))</f>
        <v/>
      </c>
    </row>
    <row r="1465" spans="1:11" x14ac:dyDescent="0.25">
      <c r="A1465" s="63" t="s">
        <v>536</v>
      </c>
      <c r="B1465" s="63" t="s">
        <v>1398</v>
      </c>
      <c r="C1465" s="63" t="s">
        <v>1327</v>
      </c>
      <c r="D1465" s="63" t="str">
        <f>IF('SA &amp; Dallas Warehouses'!I42="","",TRIM('SA &amp; Dallas Warehouses'!I42))</f>
        <v/>
      </c>
      <c r="E1465" s="64" t="str">
        <f>IF($D1465="","",'SA &amp; Dallas Warehouses'!J42&amp;"")</f>
        <v/>
      </c>
      <c r="F1465" s="63">
        <f>IF($D1465="",0,IF(ISNUMBER('SA &amp; Dallas Warehouses'!K42),'SA &amp; Dallas Warehouses'!K42,1))</f>
        <v>0</v>
      </c>
      <c r="G1465" s="64" t="str">
        <f t="shared" si="93"/>
        <v/>
      </c>
      <c r="H1465" s="64" t="str">
        <f t="shared" si="94"/>
        <v/>
      </c>
      <c r="I1465" s="63">
        <f>IF($G1465="",0,IF(COUNTIF($G$2:$G1465,$G1465)=1,1,0))</f>
        <v>0</v>
      </c>
      <c r="J1465" s="63" t="str">
        <f t="shared" si="95"/>
        <v/>
      </c>
      <c r="K1465" s="63" t="str">
        <f>IF($H1465="","",COUNTIF($H$2:$H1465,"?*"))</f>
        <v/>
      </c>
    </row>
    <row r="1466" spans="1:11" x14ac:dyDescent="0.25">
      <c r="A1466" s="63" t="s">
        <v>536</v>
      </c>
      <c r="B1466" s="63" t="s">
        <v>1399</v>
      </c>
      <c r="C1466" s="63" t="s">
        <v>1327</v>
      </c>
      <c r="D1466" s="63" t="str">
        <f>IF('SA &amp; Dallas Warehouses'!I43="","",TRIM('SA &amp; Dallas Warehouses'!I43))</f>
        <v/>
      </c>
      <c r="E1466" s="64" t="str">
        <f>IF($D1466="","",'SA &amp; Dallas Warehouses'!J43&amp;"")</f>
        <v/>
      </c>
      <c r="F1466" s="63">
        <f>IF($D1466="",0,IF(ISNUMBER('SA &amp; Dallas Warehouses'!K43),'SA &amp; Dallas Warehouses'!K43,1))</f>
        <v>0</v>
      </c>
      <c r="G1466" s="64" t="str">
        <f t="shared" si="93"/>
        <v/>
      </c>
      <c r="H1466" s="64" t="str">
        <f t="shared" si="94"/>
        <v/>
      </c>
      <c r="I1466" s="63">
        <f>IF($G1466="",0,IF(COUNTIF($G$2:$G1466,$G1466)=1,1,0))</f>
        <v>0</v>
      </c>
      <c r="J1466" s="63" t="str">
        <f t="shared" si="95"/>
        <v/>
      </c>
      <c r="K1466" s="63" t="str">
        <f>IF($H1466="","",COUNTIF($H$2:$H1466,"?*"))</f>
        <v/>
      </c>
    </row>
    <row r="1467" spans="1:11" x14ac:dyDescent="0.25">
      <c r="A1467" s="63" t="s">
        <v>536</v>
      </c>
      <c r="B1467" s="63" t="s">
        <v>1400</v>
      </c>
      <c r="C1467" s="63" t="s">
        <v>1327</v>
      </c>
      <c r="D1467" s="63" t="str">
        <f>IF('SA &amp; Dallas Warehouses'!I44="","",TRIM('SA &amp; Dallas Warehouses'!I44))</f>
        <v/>
      </c>
      <c r="E1467" s="64" t="str">
        <f>IF($D1467="","",'SA &amp; Dallas Warehouses'!J44&amp;"")</f>
        <v/>
      </c>
      <c r="F1467" s="63">
        <f>IF($D1467="",0,IF(ISNUMBER('SA &amp; Dallas Warehouses'!K44),'SA &amp; Dallas Warehouses'!K44,1))</f>
        <v>0</v>
      </c>
      <c r="G1467" s="64" t="str">
        <f t="shared" si="93"/>
        <v/>
      </c>
      <c r="H1467" s="64" t="str">
        <f t="shared" si="94"/>
        <v/>
      </c>
      <c r="I1467" s="63">
        <f>IF($G1467="",0,IF(COUNTIF($G$2:$G1467,$G1467)=1,1,0))</f>
        <v>0</v>
      </c>
      <c r="J1467" s="63" t="str">
        <f t="shared" si="95"/>
        <v/>
      </c>
      <c r="K1467" s="63" t="str">
        <f>IF($H1467="","",COUNTIF($H$2:$H1467,"?*"))</f>
        <v/>
      </c>
    </row>
    <row r="1468" spans="1:11" x14ac:dyDescent="0.25">
      <c r="A1468" s="63" t="s">
        <v>536</v>
      </c>
      <c r="B1468" s="63" t="s">
        <v>1401</v>
      </c>
      <c r="C1468" s="63" t="s">
        <v>1327</v>
      </c>
      <c r="D1468" s="63" t="str">
        <f>IF('SA &amp; Dallas Warehouses'!I45="","",TRIM('SA &amp; Dallas Warehouses'!I45))</f>
        <v/>
      </c>
      <c r="E1468" s="64" t="str">
        <f>IF($D1468="","",'SA &amp; Dallas Warehouses'!J45&amp;"")</f>
        <v/>
      </c>
      <c r="F1468" s="63">
        <f>IF($D1468="",0,IF(ISNUMBER('SA &amp; Dallas Warehouses'!K45),'SA &amp; Dallas Warehouses'!K45,1))</f>
        <v>0</v>
      </c>
      <c r="G1468" s="64" t="str">
        <f t="shared" si="93"/>
        <v/>
      </c>
      <c r="H1468" s="64" t="str">
        <f t="shared" si="94"/>
        <v/>
      </c>
      <c r="I1468" s="63">
        <f>IF($G1468="",0,IF(COUNTIF($G$2:$G1468,$G1468)=1,1,0))</f>
        <v>0</v>
      </c>
      <c r="J1468" s="63" t="str">
        <f t="shared" si="95"/>
        <v/>
      </c>
      <c r="K1468" s="63" t="str">
        <f>IF($H1468="","",COUNTIF($H$2:$H1468,"?*"))</f>
        <v/>
      </c>
    </row>
    <row r="1469" spans="1:11" x14ac:dyDescent="0.25">
      <c r="A1469" s="63" t="s">
        <v>536</v>
      </c>
      <c r="B1469" s="63" t="s">
        <v>1402</v>
      </c>
      <c r="C1469" s="63" t="s">
        <v>1327</v>
      </c>
      <c r="D1469" s="63" t="str">
        <f>IF('SA &amp; Dallas Warehouses'!I46="","",TRIM('SA &amp; Dallas Warehouses'!I46))</f>
        <v/>
      </c>
      <c r="E1469" s="64" t="str">
        <f>IF($D1469="","",'SA &amp; Dallas Warehouses'!J46&amp;"")</f>
        <v/>
      </c>
      <c r="F1469" s="63">
        <f>IF($D1469="",0,IF(ISNUMBER('SA &amp; Dallas Warehouses'!K46),'SA &amp; Dallas Warehouses'!K46,1))</f>
        <v>0</v>
      </c>
      <c r="G1469" s="64" t="str">
        <f t="shared" si="93"/>
        <v/>
      </c>
      <c r="H1469" s="64" t="str">
        <f t="shared" si="94"/>
        <v/>
      </c>
      <c r="I1469" s="63">
        <f>IF($G1469="",0,IF(COUNTIF($G$2:$G1469,$G1469)=1,1,0))</f>
        <v>0</v>
      </c>
      <c r="J1469" s="63" t="str">
        <f t="shared" si="95"/>
        <v/>
      </c>
      <c r="K1469" s="63" t="str">
        <f>IF($H1469="","",COUNTIF($H$2:$H1469,"?*"))</f>
        <v/>
      </c>
    </row>
    <row r="1470" spans="1:11" x14ac:dyDescent="0.25">
      <c r="A1470" s="63" t="s">
        <v>536</v>
      </c>
      <c r="B1470" s="63" t="s">
        <v>1403</v>
      </c>
      <c r="C1470" s="63" t="s">
        <v>1327</v>
      </c>
      <c r="D1470" s="63" t="str">
        <f>IF('SA &amp; Dallas Warehouses'!I47="","",TRIM('SA &amp; Dallas Warehouses'!I47))</f>
        <v/>
      </c>
      <c r="E1470" s="64" t="str">
        <f>IF($D1470="","",'SA &amp; Dallas Warehouses'!J47&amp;"")</f>
        <v/>
      </c>
      <c r="F1470" s="63">
        <f>IF($D1470="",0,IF(ISNUMBER('SA &amp; Dallas Warehouses'!K47),'SA &amp; Dallas Warehouses'!K47,1))</f>
        <v>0</v>
      </c>
      <c r="G1470" s="64" t="str">
        <f t="shared" si="93"/>
        <v/>
      </c>
      <c r="H1470" s="64" t="str">
        <f t="shared" si="94"/>
        <v/>
      </c>
      <c r="I1470" s="63">
        <f>IF($G1470="",0,IF(COUNTIF($G$2:$G1470,$G1470)=1,1,0))</f>
        <v>0</v>
      </c>
      <c r="J1470" s="63" t="str">
        <f t="shared" si="95"/>
        <v/>
      </c>
      <c r="K1470" s="63" t="str">
        <f>IF($H1470="","",COUNTIF($H$2:$H1470,"?*"))</f>
        <v/>
      </c>
    </row>
    <row r="1471" spans="1:11" x14ac:dyDescent="0.25">
      <c r="A1471" s="63" t="s">
        <v>536</v>
      </c>
      <c r="B1471" s="63" t="s">
        <v>1404</v>
      </c>
      <c r="C1471" s="63" t="s">
        <v>1327</v>
      </c>
      <c r="D1471" s="63" t="str">
        <f>IF('SA &amp; Dallas Warehouses'!I48="","",TRIM('SA &amp; Dallas Warehouses'!I48))</f>
        <v/>
      </c>
      <c r="E1471" s="64" t="str">
        <f>IF($D1471="","",'SA &amp; Dallas Warehouses'!J48&amp;"")</f>
        <v/>
      </c>
      <c r="F1471" s="63">
        <f>IF($D1471="",0,IF(ISNUMBER('SA &amp; Dallas Warehouses'!K48),'SA &amp; Dallas Warehouses'!K48,1))</f>
        <v>0</v>
      </c>
      <c r="G1471" s="64" t="str">
        <f t="shared" si="93"/>
        <v/>
      </c>
      <c r="H1471" s="64" t="str">
        <f t="shared" si="94"/>
        <v/>
      </c>
      <c r="I1471" s="63">
        <f>IF($G1471="",0,IF(COUNTIF($G$2:$G1471,$G1471)=1,1,0))</f>
        <v>0</v>
      </c>
      <c r="J1471" s="63" t="str">
        <f t="shared" si="95"/>
        <v/>
      </c>
      <c r="K1471" s="63" t="str">
        <f>IF($H1471="","",COUNTIF($H$2:$H1471,"?*"))</f>
        <v/>
      </c>
    </row>
    <row r="1472" spans="1:11" x14ac:dyDescent="0.25">
      <c r="A1472" s="63" t="s">
        <v>536</v>
      </c>
      <c r="B1472" s="63" t="s">
        <v>1405</v>
      </c>
      <c r="C1472" s="63" t="s">
        <v>1327</v>
      </c>
      <c r="D1472" s="63" t="str">
        <f>IF('SA &amp; Dallas Warehouses'!I49="","",TRIM('SA &amp; Dallas Warehouses'!I49))</f>
        <v/>
      </c>
      <c r="E1472" s="64" t="str">
        <f>IF($D1472="","",'SA &amp; Dallas Warehouses'!J49&amp;"")</f>
        <v/>
      </c>
      <c r="F1472" s="63">
        <f>IF($D1472="",0,IF(ISNUMBER('SA &amp; Dallas Warehouses'!K49),'SA &amp; Dallas Warehouses'!K49,1))</f>
        <v>0</v>
      </c>
      <c r="G1472" s="64" t="str">
        <f t="shared" si="93"/>
        <v/>
      </c>
      <c r="H1472" s="64" t="str">
        <f t="shared" si="94"/>
        <v/>
      </c>
      <c r="I1472" s="63">
        <f>IF($G1472="",0,IF(COUNTIF($G$2:$G1472,$G1472)=1,1,0))</f>
        <v>0</v>
      </c>
      <c r="J1472" s="63" t="str">
        <f t="shared" si="95"/>
        <v/>
      </c>
      <c r="K1472" s="63" t="str">
        <f>IF($H1472="","",COUNTIF($H$2:$H1472,"?*"))</f>
        <v/>
      </c>
    </row>
    <row r="1473" spans="1:11" x14ac:dyDescent="0.25">
      <c r="A1473" s="63" t="s">
        <v>536</v>
      </c>
      <c r="B1473" s="63" t="s">
        <v>1406</v>
      </c>
      <c r="C1473" s="63" t="s">
        <v>1327</v>
      </c>
      <c r="D1473" s="63" t="str">
        <f>IF('SA &amp; Dallas Warehouses'!I50="","",TRIM('SA &amp; Dallas Warehouses'!I50))</f>
        <v/>
      </c>
      <c r="E1473" s="64" t="str">
        <f>IF($D1473="","",'SA &amp; Dallas Warehouses'!J50&amp;"")</f>
        <v/>
      </c>
      <c r="F1473" s="63">
        <f>IF($D1473="",0,IF(ISNUMBER('SA &amp; Dallas Warehouses'!K50),'SA &amp; Dallas Warehouses'!K50,1))</f>
        <v>0</v>
      </c>
      <c r="G1473" s="64" t="str">
        <f t="shared" si="93"/>
        <v/>
      </c>
      <c r="H1473" s="64" t="str">
        <f t="shared" si="94"/>
        <v/>
      </c>
      <c r="I1473" s="63">
        <f>IF($G1473="",0,IF(COUNTIF($G$2:$G1473,$G1473)=1,1,0))</f>
        <v>0</v>
      </c>
      <c r="J1473" s="63" t="str">
        <f t="shared" si="95"/>
        <v/>
      </c>
      <c r="K1473" s="63" t="str">
        <f>IF($H1473="","",COUNTIF($H$2:$H1473,"?*"))</f>
        <v/>
      </c>
    </row>
    <row r="1474" spans="1:11" x14ac:dyDescent="0.25">
      <c r="A1474" s="63" t="s">
        <v>536</v>
      </c>
      <c r="B1474" s="63" t="s">
        <v>1407</v>
      </c>
      <c r="C1474" s="63" t="s">
        <v>1408</v>
      </c>
      <c r="D1474" s="63" t="str">
        <f>IF('SA &amp; Dallas Warehouses'!M11="","",TRIM('SA &amp; Dallas Warehouses'!M11))</f>
        <v/>
      </c>
      <c r="E1474" s="64" t="str">
        <f>IF($D1474="","",'SA &amp; Dallas Warehouses'!N11&amp;"")</f>
        <v/>
      </c>
      <c r="F1474" s="63">
        <f>IF($D1474="",0,IF(ISNUMBER('SA &amp; Dallas Warehouses'!O11),'SA &amp; Dallas Warehouses'!O11,1))</f>
        <v>0</v>
      </c>
      <c r="G1474" s="64" t="str">
        <f t="shared" ref="G1474:G1513" si="96">IF($D1474="","",IF(ISNUMBER(FIND("(",$D1474)),TRIM(LEFT($D1474,FIND("(",$D1474)-1)),$D1474))</f>
        <v/>
      </c>
      <c r="H1474" s="64" t="str">
        <f t="shared" ref="H1474:H1513" si="97">IF($D1474="","",IF(ISNUMBER(FIND("(",$D1474)),TRIM(SUBSTITUTE(MID($D1474,FIND("(",$D1474)+1,200),")","")),""))</f>
        <v/>
      </c>
      <c r="I1474" s="63">
        <f>IF($G1474="",0,IF(COUNTIF($G$2:$G1474,$G1474)=1,1,0))</f>
        <v>0</v>
      </c>
      <c r="J1474" s="63" t="str">
        <f t="shared" ref="J1474:J1513" si="98">IF($I1474=0,"",SUMPRODUCT(($I$2:$I$1513=1)*($G$2:$G$1513&lt;$G1474))+1)</f>
        <v/>
      </c>
      <c r="K1474" s="63" t="str">
        <f>IF($H1474="","",COUNTIF($H$2:$H1474,"?*"))</f>
        <v/>
      </c>
    </row>
    <row r="1475" spans="1:11" x14ac:dyDescent="0.25">
      <c r="A1475" s="63" t="s">
        <v>536</v>
      </c>
      <c r="B1475" s="63" t="s">
        <v>1409</v>
      </c>
      <c r="C1475" s="63" t="s">
        <v>1408</v>
      </c>
      <c r="D1475" s="63" t="str">
        <f>IF('SA &amp; Dallas Warehouses'!M12="","",TRIM('SA &amp; Dallas Warehouses'!M12))</f>
        <v/>
      </c>
      <c r="E1475" s="64" t="str">
        <f>IF($D1475="","",'SA &amp; Dallas Warehouses'!N12&amp;"")</f>
        <v/>
      </c>
      <c r="F1475" s="63">
        <f>IF($D1475="",0,IF(ISNUMBER('SA &amp; Dallas Warehouses'!O12),'SA &amp; Dallas Warehouses'!O12,1))</f>
        <v>0</v>
      </c>
      <c r="G1475" s="64" t="str">
        <f t="shared" si="96"/>
        <v/>
      </c>
      <c r="H1475" s="64" t="str">
        <f t="shared" si="97"/>
        <v/>
      </c>
      <c r="I1475" s="63">
        <f>IF($G1475="",0,IF(COUNTIF($G$2:$G1475,$G1475)=1,1,0))</f>
        <v>0</v>
      </c>
      <c r="J1475" s="63" t="str">
        <f t="shared" si="98"/>
        <v/>
      </c>
      <c r="K1475" s="63" t="str">
        <f>IF($H1475="","",COUNTIF($H$2:$H1475,"?*"))</f>
        <v/>
      </c>
    </row>
    <row r="1476" spans="1:11" x14ac:dyDescent="0.25">
      <c r="A1476" s="63" t="s">
        <v>536</v>
      </c>
      <c r="B1476" s="63" t="s">
        <v>1410</v>
      </c>
      <c r="C1476" s="63" t="s">
        <v>1408</v>
      </c>
      <c r="D1476" s="63" t="str">
        <f>IF('SA &amp; Dallas Warehouses'!M13="","",TRIM('SA &amp; Dallas Warehouses'!M13))</f>
        <v/>
      </c>
      <c r="E1476" s="64" t="str">
        <f>IF($D1476="","",'SA &amp; Dallas Warehouses'!N13&amp;"")</f>
        <v/>
      </c>
      <c r="F1476" s="63">
        <f>IF($D1476="",0,IF(ISNUMBER('SA &amp; Dallas Warehouses'!O13),'SA &amp; Dallas Warehouses'!O13,1))</f>
        <v>0</v>
      </c>
      <c r="G1476" s="64" t="str">
        <f t="shared" si="96"/>
        <v/>
      </c>
      <c r="H1476" s="64" t="str">
        <f t="shared" si="97"/>
        <v/>
      </c>
      <c r="I1476" s="63">
        <f>IF($G1476="",0,IF(COUNTIF($G$2:$G1476,$G1476)=1,1,0))</f>
        <v>0</v>
      </c>
      <c r="J1476" s="63" t="str">
        <f t="shared" si="98"/>
        <v/>
      </c>
      <c r="K1476" s="63" t="str">
        <f>IF($H1476="","",COUNTIF($H$2:$H1476,"?*"))</f>
        <v/>
      </c>
    </row>
    <row r="1477" spans="1:11" x14ac:dyDescent="0.25">
      <c r="A1477" s="63" t="s">
        <v>536</v>
      </c>
      <c r="B1477" s="63" t="s">
        <v>1411</v>
      </c>
      <c r="C1477" s="63" t="s">
        <v>1408</v>
      </c>
      <c r="D1477" s="63" t="str">
        <f>IF('SA &amp; Dallas Warehouses'!M14="","",TRIM('SA &amp; Dallas Warehouses'!M14))</f>
        <v/>
      </c>
      <c r="E1477" s="64" t="str">
        <f>IF($D1477="","",'SA &amp; Dallas Warehouses'!N14&amp;"")</f>
        <v/>
      </c>
      <c r="F1477" s="63">
        <f>IF($D1477="",0,IF(ISNUMBER('SA &amp; Dallas Warehouses'!O14),'SA &amp; Dallas Warehouses'!O14,1))</f>
        <v>0</v>
      </c>
      <c r="G1477" s="64" t="str">
        <f t="shared" si="96"/>
        <v/>
      </c>
      <c r="H1477" s="64" t="str">
        <f t="shared" si="97"/>
        <v/>
      </c>
      <c r="I1477" s="63">
        <f>IF($G1477="",0,IF(COUNTIF($G$2:$G1477,$G1477)=1,1,0))</f>
        <v>0</v>
      </c>
      <c r="J1477" s="63" t="str">
        <f t="shared" si="98"/>
        <v/>
      </c>
      <c r="K1477" s="63" t="str">
        <f>IF($H1477="","",COUNTIF($H$2:$H1477,"?*"))</f>
        <v/>
      </c>
    </row>
    <row r="1478" spans="1:11" x14ac:dyDescent="0.25">
      <c r="A1478" s="63" t="s">
        <v>536</v>
      </c>
      <c r="B1478" s="63" t="s">
        <v>1412</v>
      </c>
      <c r="C1478" s="63" t="s">
        <v>1408</v>
      </c>
      <c r="D1478" s="63" t="str">
        <f>IF('SA &amp; Dallas Warehouses'!M15="","",TRIM('SA &amp; Dallas Warehouses'!M15))</f>
        <v/>
      </c>
      <c r="E1478" s="64" t="str">
        <f>IF($D1478="","",'SA &amp; Dallas Warehouses'!N15&amp;"")</f>
        <v/>
      </c>
      <c r="F1478" s="63">
        <f>IF($D1478="",0,IF(ISNUMBER('SA &amp; Dallas Warehouses'!O15),'SA &amp; Dallas Warehouses'!O15,1))</f>
        <v>0</v>
      </c>
      <c r="G1478" s="64" t="str">
        <f t="shared" si="96"/>
        <v/>
      </c>
      <c r="H1478" s="64" t="str">
        <f t="shared" si="97"/>
        <v/>
      </c>
      <c r="I1478" s="63">
        <f>IF($G1478="",0,IF(COUNTIF($G$2:$G1478,$G1478)=1,1,0))</f>
        <v>0</v>
      </c>
      <c r="J1478" s="63" t="str">
        <f t="shared" si="98"/>
        <v/>
      </c>
      <c r="K1478" s="63" t="str">
        <f>IF($H1478="","",COUNTIF($H$2:$H1478,"?*"))</f>
        <v/>
      </c>
    </row>
    <row r="1479" spans="1:11" x14ac:dyDescent="0.25">
      <c r="A1479" s="63" t="s">
        <v>536</v>
      </c>
      <c r="B1479" s="63" t="s">
        <v>1413</v>
      </c>
      <c r="C1479" s="63" t="s">
        <v>1408</v>
      </c>
      <c r="D1479" s="63" t="str">
        <f>IF('SA &amp; Dallas Warehouses'!M16="","",TRIM('SA &amp; Dallas Warehouses'!M16))</f>
        <v/>
      </c>
      <c r="E1479" s="64" t="str">
        <f>IF($D1479="","",'SA &amp; Dallas Warehouses'!N16&amp;"")</f>
        <v/>
      </c>
      <c r="F1479" s="63">
        <f>IF($D1479="",0,IF(ISNUMBER('SA &amp; Dallas Warehouses'!O16),'SA &amp; Dallas Warehouses'!O16,1))</f>
        <v>0</v>
      </c>
      <c r="G1479" s="64" t="str">
        <f t="shared" si="96"/>
        <v/>
      </c>
      <c r="H1479" s="64" t="str">
        <f t="shared" si="97"/>
        <v/>
      </c>
      <c r="I1479" s="63">
        <f>IF($G1479="",0,IF(COUNTIF($G$2:$G1479,$G1479)=1,1,0))</f>
        <v>0</v>
      </c>
      <c r="J1479" s="63" t="str">
        <f t="shared" si="98"/>
        <v/>
      </c>
      <c r="K1479" s="63" t="str">
        <f>IF($H1479="","",COUNTIF($H$2:$H1479,"?*"))</f>
        <v/>
      </c>
    </row>
    <row r="1480" spans="1:11" x14ac:dyDescent="0.25">
      <c r="A1480" s="63" t="s">
        <v>536</v>
      </c>
      <c r="B1480" s="63" t="s">
        <v>1414</v>
      </c>
      <c r="C1480" s="63" t="s">
        <v>1408</v>
      </c>
      <c r="D1480" s="63" t="str">
        <f>IF('SA &amp; Dallas Warehouses'!M17="","",TRIM('SA &amp; Dallas Warehouses'!M17))</f>
        <v/>
      </c>
      <c r="E1480" s="64" t="str">
        <f>IF($D1480="","",'SA &amp; Dallas Warehouses'!N17&amp;"")</f>
        <v/>
      </c>
      <c r="F1480" s="63">
        <f>IF($D1480="",0,IF(ISNUMBER('SA &amp; Dallas Warehouses'!O17),'SA &amp; Dallas Warehouses'!O17,1))</f>
        <v>0</v>
      </c>
      <c r="G1480" s="64" t="str">
        <f t="shared" si="96"/>
        <v/>
      </c>
      <c r="H1480" s="64" t="str">
        <f t="shared" si="97"/>
        <v/>
      </c>
      <c r="I1480" s="63">
        <f>IF($G1480="",0,IF(COUNTIF($G$2:$G1480,$G1480)=1,1,0))</f>
        <v>0</v>
      </c>
      <c r="J1480" s="63" t="str">
        <f t="shared" si="98"/>
        <v/>
      </c>
      <c r="K1480" s="63" t="str">
        <f>IF($H1480="","",COUNTIF($H$2:$H1480,"?*"))</f>
        <v/>
      </c>
    </row>
    <row r="1481" spans="1:11" x14ac:dyDescent="0.25">
      <c r="A1481" s="63" t="s">
        <v>536</v>
      </c>
      <c r="B1481" s="63" t="s">
        <v>1415</v>
      </c>
      <c r="C1481" s="63" t="s">
        <v>1408</v>
      </c>
      <c r="D1481" s="63" t="str">
        <f>IF('SA &amp; Dallas Warehouses'!M18="","",TRIM('SA &amp; Dallas Warehouses'!M18))</f>
        <v/>
      </c>
      <c r="E1481" s="64" t="str">
        <f>IF($D1481="","",'SA &amp; Dallas Warehouses'!N18&amp;"")</f>
        <v/>
      </c>
      <c r="F1481" s="63">
        <f>IF($D1481="",0,IF(ISNUMBER('SA &amp; Dallas Warehouses'!O18),'SA &amp; Dallas Warehouses'!O18,1))</f>
        <v>0</v>
      </c>
      <c r="G1481" s="64" t="str">
        <f t="shared" si="96"/>
        <v/>
      </c>
      <c r="H1481" s="64" t="str">
        <f t="shared" si="97"/>
        <v/>
      </c>
      <c r="I1481" s="63">
        <f>IF($G1481="",0,IF(COUNTIF($G$2:$G1481,$G1481)=1,1,0))</f>
        <v>0</v>
      </c>
      <c r="J1481" s="63" t="str">
        <f t="shared" si="98"/>
        <v/>
      </c>
      <c r="K1481" s="63" t="str">
        <f>IF($H1481="","",COUNTIF($H$2:$H1481,"?*"))</f>
        <v/>
      </c>
    </row>
    <row r="1482" spans="1:11" x14ac:dyDescent="0.25">
      <c r="A1482" s="63" t="s">
        <v>536</v>
      </c>
      <c r="B1482" s="63" t="s">
        <v>1416</v>
      </c>
      <c r="C1482" s="63" t="s">
        <v>1408</v>
      </c>
      <c r="D1482" s="63" t="str">
        <f>IF('SA &amp; Dallas Warehouses'!M19="","",TRIM('SA &amp; Dallas Warehouses'!M19))</f>
        <v/>
      </c>
      <c r="E1482" s="64" t="str">
        <f>IF($D1482="","",'SA &amp; Dallas Warehouses'!N19&amp;"")</f>
        <v/>
      </c>
      <c r="F1482" s="63">
        <f>IF($D1482="",0,IF(ISNUMBER('SA &amp; Dallas Warehouses'!O19),'SA &amp; Dallas Warehouses'!O19,1))</f>
        <v>0</v>
      </c>
      <c r="G1482" s="64" t="str">
        <f t="shared" si="96"/>
        <v/>
      </c>
      <c r="H1482" s="64" t="str">
        <f t="shared" si="97"/>
        <v/>
      </c>
      <c r="I1482" s="63">
        <f>IF($G1482="",0,IF(COUNTIF($G$2:$G1482,$G1482)=1,1,0))</f>
        <v>0</v>
      </c>
      <c r="J1482" s="63" t="str">
        <f t="shared" si="98"/>
        <v/>
      </c>
      <c r="K1482" s="63" t="str">
        <f>IF($H1482="","",COUNTIF($H$2:$H1482,"?*"))</f>
        <v/>
      </c>
    </row>
    <row r="1483" spans="1:11" x14ac:dyDescent="0.25">
      <c r="A1483" s="63" t="s">
        <v>536</v>
      </c>
      <c r="B1483" s="63" t="s">
        <v>1417</v>
      </c>
      <c r="C1483" s="63" t="s">
        <v>1408</v>
      </c>
      <c r="D1483" s="63" t="str">
        <f>IF('SA &amp; Dallas Warehouses'!M20="","",TRIM('SA &amp; Dallas Warehouses'!M20))</f>
        <v/>
      </c>
      <c r="E1483" s="64" t="str">
        <f>IF($D1483="","",'SA &amp; Dallas Warehouses'!N20&amp;"")</f>
        <v/>
      </c>
      <c r="F1483" s="63">
        <f>IF($D1483="",0,IF(ISNUMBER('SA &amp; Dallas Warehouses'!O20),'SA &amp; Dallas Warehouses'!O20,1))</f>
        <v>0</v>
      </c>
      <c r="G1483" s="64" t="str">
        <f t="shared" si="96"/>
        <v/>
      </c>
      <c r="H1483" s="64" t="str">
        <f t="shared" si="97"/>
        <v/>
      </c>
      <c r="I1483" s="63">
        <f>IF($G1483="",0,IF(COUNTIF($G$2:$G1483,$G1483)=1,1,0))</f>
        <v>0</v>
      </c>
      <c r="J1483" s="63" t="str">
        <f t="shared" si="98"/>
        <v/>
      </c>
      <c r="K1483" s="63" t="str">
        <f>IF($H1483="","",COUNTIF($H$2:$H1483,"?*"))</f>
        <v/>
      </c>
    </row>
    <row r="1484" spans="1:11" x14ac:dyDescent="0.25">
      <c r="A1484" s="63" t="s">
        <v>536</v>
      </c>
      <c r="B1484" s="63" t="s">
        <v>1418</v>
      </c>
      <c r="C1484" s="63" t="s">
        <v>1408</v>
      </c>
      <c r="D1484" s="63" t="str">
        <f>IF('SA &amp; Dallas Warehouses'!M21="","",TRIM('SA &amp; Dallas Warehouses'!M21))</f>
        <v/>
      </c>
      <c r="E1484" s="64" t="str">
        <f>IF($D1484="","",'SA &amp; Dallas Warehouses'!N21&amp;"")</f>
        <v/>
      </c>
      <c r="F1484" s="63">
        <f>IF($D1484="",0,IF(ISNUMBER('SA &amp; Dallas Warehouses'!O21),'SA &amp; Dallas Warehouses'!O21,1))</f>
        <v>0</v>
      </c>
      <c r="G1484" s="64" t="str">
        <f t="shared" si="96"/>
        <v/>
      </c>
      <c r="H1484" s="64" t="str">
        <f t="shared" si="97"/>
        <v/>
      </c>
      <c r="I1484" s="63">
        <f>IF($G1484="",0,IF(COUNTIF($G$2:$G1484,$G1484)=1,1,0))</f>
        <v>0</v>
      </c>
      <c r="J1484" s="63" t="str">
        <f t="shared" si="98"/>
        <v/>
      </c>
      <c r="K1484" s="63" t="str">
        <f>IF($H1484="","",COUNTIF($H$2:$H1484,"?*"))</f>
        <v/>
      </c>
    </row>
    <row r="1485" spans="1:11" x14ac:dyDescent="0.25">
      <c r="A1485" s="63" t="s">
        <v>536</v>
      </c>
      <c r="B1485" s="63" t="s">
        <v>1419</v>
      </c>
      <c r="C1485" s="63" t="s">
        <v>1408</v>
      </c>
      <c r="D1485" s="63" t="str">
        <f>IF('SA &amp; Dallas Warehouses'!M22="","",TRIM('SA &amp; Dallas Warehouses'!M22))</f>
        <v/>
      </c>
      <c r="E1485" s="64" t="str">
        <f>IF($D1485="","",'SA &amp; Dallas Warehouses'!N22&amp;"")</f>
        <v/>
      </c>
      <c r="F1485" s="63">
        <f>IF($D1485="",0,IF(ISNUMBER('SA &amp; Dallas Warehouses'!O22),'SA &amp; Dallas Warehouses'!O22,1))</f>
        <v>0</v>
      </c>
      <c r="G1485" s="64" t="str">
        <f t="shared" si="96"/>
        <v/>
      </c>
      <c r="H1485" s="64" t="str">
        <f t="shared" si="97"/>
        <v/>
      </c>
      <c r="I1485" s="63">
        <f>IF($G1485="",0,IF(COUNTIF($G$2:$G1485,$G1485)=1,1,0))</f>
        <v>0</v>
      </c>
      <c r="J1485" s="63" t="str">
        <f t="shared" si="98"/>
        <v/>
      </c>
      <c r="K1485" s="63" t="str">
        <f>IF($H1485="","",COUNTIF($H$2:$H1485,"?*"))</f>
        <v/>
      </c>
    </row>
    <row r="1486" spans="1:11" x14ac:dyDescent="0.25">
      <c r="A1486" s="63" t="s">
        <v>536</v>
      </c>
      <c r="B1486" s="63" t="s">
        <v>1420</v>
      </c>
      <c r="C1486" s="63" t="s">
        <v>1408</v>
      </c>
      <c r="D1486" s="63" t="str">
        <f>IF('SA &amp; Dallas Warehouses'!M23="","",TRIM('SA &amp; Dallas Warehouses'!M23))</f>
        <v/>
      </c>
      <c r="E1486" s="64" t="str">
        <f>IF($D1486="","",'SA &amp; Dallas Warehouses'!N23&amp;"")</f>
        <v/>
      </c>
      <c r="F1486" s="63">
        <f>IF($D1486="",0,IF(ISNUMBER('SA &amp; Dallas Warehouses'!O23),'SA &amp; Dallas Warehouses'!O23,1))</f>
        <v>0</v>
      </c>
      <c r="G1486" s="64" t="str">
        <f t="shared" si="96"/>
        <v/>
      </c>
      <c r="H1486" s="64" t="str">
        <f t="shared" si="97"/>
        <v/>
      </c>
      <c r="I1486" s="63">
        <f>IF($G1486="",0,IF(COUNTIF($G$2:$G1486,$G1486)=1,1,0))</f>
        <v>0</v>
      </c>
      <c r="J1486" s="63" t="str">
        <f t="shared" si="98"/>
        <v/>
      </c>
      <c r="K1486" s="63" t="str">
        <f>IF($H1486="","",COUNTIF($H$2:$H1486,"?*"))</f>
        <v/>
      </c>
    </row>
    <row r="1487" spans="1:11" x14ac:dyDescent="0.25">
      <c r="A1487" s="63" t="s">
        <v>536</v>
      </c>
      <c r="B1487" s="63" t="s">
        <v>1421</v>
      </c>
      <c r="C1487" s="63" t="s">
        <v>1408</v>
      </c>
      <c r="D1487" s="63" t="str">
        <f>IF('SA &amp; Dallas Warehouses'!M24="","",TRIM('SA &amp; Dallas Warehouses'!M24))</f>
        <v/>
      </c>
      <c r="E1487" s="64" t="str">
        <f>IF($D1487="","",'SA &amp; Dallas Warehouses'!N24&amp;"")</f>
        <v/>
      </c>
      <c r="F1487" s="63">
        <f>IF($D1487="",0,IF(ISNUMBER('SA &amp; Dallas Warehouses'!O24),'SA &amp; Dallas Warehouses'!O24,1))</f>
        <v>0</v>
      </c>
      <c r="G1487" s="64" t="str">
        <f t="shared" si="96"/>
        <v/>
      </c>
      <c r="H1487" s="64" t="str">
        <f t="shared" si="97"/>
        <v/>
      </c>
      <c r="I1487" s="63">
        <f>IF($G1487="",0,IF(COUNTIF($G$2:$G1487,$G1487)=1,1,0))</f>
        <v>0</v>
      </c>
      <c r="J1487" s="63" t="str">
        <f t="shared" si="98"/>
        <v/>
      </c>
      <c r="K1487" s="63" t="str">
        <f>IF($H1487="","",COUNTIF($H$2:$H1487,"?*"))</f>
        <v/>
      </c>
    </row>
    <row r="1488" spans="1:11" x14ac:dyDescent="0.25">
      <c r="A1488" s="63" t="s">
        <v>536</v>
      </c>
      <c r="B1488" s="63" t="s">
        <v>1422</v>
      </c>
      <c r="C1488" s="63" t="s">
        <v>1408</v>
      </c>
      <c r="D1488" s="63" t="str">
        <f>IF('SA &amp; Dallas Warehouses'!M25="","",TRIM('SA &amp; Dallas Warehouses'!M25))</f>
        <v/>
      </c>
      <c r="E1488" s="64" t="str">
        <f>IF($D1488="","",'SA &amp; Dallas Warehouses'!N25&amp;"")</f>
        <v/>
      </c>
      <c r="F1488" s="63">
        <f>IF($D1488="",0,IF(ISNUMBER('SA &amp; Dallas Warehouses'!O25),'SA &amp; Dallas Warehouses'!O25,1))</f>
        <v>0</v>
      </c>
      <c r="G1488" s="64" t="str">
        <f t="shared" si="96"/>
        <v/>
      </c>
      <c r="H1488" s="64" t="str">
        <f t="shared" si="97"/>
        <v/>
      </c>
      <c r="I1488" s="63">
        <f>IF($G1488="",0,IF(COUNTIF($G$2:$G1488,$G1488)=1,1,0))</f>
        <v>0</v>
      </c>
      <c r="J1488" s="63" t="str">
        <f t="shared" si="98"/>
        <v/>
      </c>
      <c r="K1488" s="63" t="str">
        <f>IF($H1488="","",COUNTIF($H$2:$H1488,"?*"))</f>
        <v/>
      </c>
    </row>
    <row r="1489" spans="1:11" x14ac:dyDescent="0.25">
      <c r="A1489" s="63" t="s">
        <v>536</v>
      </c>
      <c r="B1489" s="63" t="s">
        <v>1423</v>
      </c>
      <c r="C1489" s="63" t="s">
        <v>1408</v>
      </c>
      <c r="D1489" s="63" t="str">
        <f>IF('SA &amp; Dallas Warehouses'!M26="","",TRIM('SA &amp; Dallas Warehouses'!M26))</f>
        <v/>
      </c>
      <c r="E1489" s="64" t="str">
        <f>IF($D1489="","",'SA &amp; Dallas Warehouses'!N26&amp;"")</f>
        <v/>
      </c>
      <c r="F1489" s="63">
        <f>IF($D1489="",0,IF(ISNUMBER('SA &amp; Dallas Warehouses'!O26),'SA &amp; Dallas Warehouses'!O26,1))</f>
        <v>0</v>
      </c>
      <c r="G1489" s="64" t="str">
        <f t="shared" si="96"/>
        <v/>
      </c>
      <c r="H1489" s="64" t="str">
        <f t="shared" si="97"/>
        <v/>
      </c>
      <c r="I1489" s="63">
        <f>IF($G1489="",0,IF(COUNTIF($G$2:$G1489,$G1489)=1,1,0))</f>
        <v>0</v>
      </c>
      <c r="J1489" s="63" t="str">
        <f t="shared" si="98"/>
        <v/>
      </c>
      <c r="K1489" s="63" t="str">
        <f>IF($H1489="","",COUNTIF($H$2:$H1489,"?*"))</f>
        <v/>
      </c>
    </row>
    <row r="1490" spans="1:11" x14ac:dyDescent="0.25">
      <c r="A1490" s="63" t="s">
        <v>536</v>
      </c>
      <c r="B1490" s="63" t="s">
        <v>1424</v>
      </c>
      <c r="C1490" s="63" t="s">
        <v>1408</v>
      </c>
      <c r="D1490" s="63" t="str">
        <f>IF('SA &amp; Dallas Warehouses'!M27="","",TRIM('SA &amp; Dallas Warehouses'!M27))</f>
        <v/>
      </c>
      <c r="E1490" s="64" t="str">
        <f>IF($D1490="","",'SA &amp; Dallas Warehouses'!N27&amp;"")</f>
        <v/>
      </c>
      <c r="F1490" s="63">
        <f>IF($D1490="",0,IF(ISNUMBER('SA &amp; Dallas Warehouses'!O27),'SA &amp; Dallas Warehouses'!O27,1))</f>
        <v>0</v>
      </c>
      <c r="G1490" s="64" t="str">
        <f t="shared" si="96"/>
        <v/>
      </c>
      <c r="H1490" s="64" t="str">
        <f t="shared" si="97"/>
        <v/>
      </c>
      <c r="I1490" s="63">
        <f>IF($G1490="",0,IF(COUNTIF($G$2:$G1490,$G1490)=1,1,0))</f>
        <v>0</v>
      </c>
      <c r="J1490" s="63" t="str">
        <f t="shared" si="98"/>
        <v/>
      </c>
      <c r="K1490" s="63" t="str">
        <f>IF($H1490="","",COUNTIF($H$2:$H1490,"?*"))</f>
        <v/>
      </c>
    </row>
    <row r="1491" spans="1:11" x14ac:dyDescent="0.25">
      <c r="A1491" s="63" t="s">
        <v>536</v>
      </c>
      <c r="B1491" s="63" t="s">
        <v>1425</v>
      </c>
      <c r="C1491" s="63" t="s">
        <v>1408</v>
      </c>
      <c r="D1491" s="63" t="str">
        <f>IF('SA &amp; Dallas Warehouses'!M28="","",TRIM('SA &amp; Dallas Warehouses'!M28))</f>
        <v/>
      </c>
      <c r="E1491" s="64" t="str">
        <f>IF($D1491="","",'SA &amp; Dallas Warehouses'!N28&amp;"")</f>
        <v/>
      </c>
      <c r="F1491" s="63">
        <f>IF($D1491="",0,IF(ISNUMBER('SA &amp; Dallas Warehouses'!O28),'SA &amp; Dallas Warehouses'!O28,1))</f>
        <v>0</v>
      </c>
      <c r="G1491" s="64" t="str">
        <f t="shared" si="96"/>
        <v/>
      </c>
      <c r="H1491" s="64" t="str">
        <f t="shared" si="97"/>
        <v/>
      </c>
      <c r="I1491" s="63">
        <f>IF($G1491="",0,IF(COUNTIF($G$2:$G1491,$G1491)=1,1,0))</f>
        <v>0</v>
      </c>
      <c r="J1491" s="63" t="str">
        <f t="shared" si="98"/>
        <v/>
      </c>
      <c r="K1491" s="63" t="str">
        <f>IF($H1491="","",COUNTIF($H$2:$H1491,"?*"))</f>
        <v/>
      </c>
    </row>
    <row r="1492" spans="1:11" x14ac:dyDescent="0.25">
      <c r="A1492" s="63" t="s">
        <v>536</v>
      </c>
      <c r="B1492" s="63" t="s">
        <v>1426</v>
      </c>
      <c r="C1492" s="63" t="s">
        <v>1408</v>
      </c>
      <c r="D1492" s="63" t="str">
        <f>IF('SA &amp; Dallas Warehouses'!M29="","",TRIM('SA &amp; Dallas Warehouses'!M29))</f>
        <v/>
      </c>
      <c r="E1492" s="64" t="str">
        <f>IF($D1492="","",'SA &amp; Dallas Warehouses'!N29&amp;"")</f>
        <v/>
      </c>
      <c r="F1492" s="63">
        <f>IF($D1492="",0,IF(ISNUMBER('SA &amp; Dallas Warehouses'!O29),'SA &amp; Dallas Warehouses'!O29,1))</f>
        <v>0</v>
      </c>
      <c r="G1492" s="64" t="str">
        <f t="shared" si="96"/>
        <v/>
      </c>
      <c r="H1492" s="64" t="str">
        <f t="shared" si="97"/>
        <v/>
      </c>
      <c r="I1492" s="63">
        <f>IF($G1492="",0,IF(COUNTIF($G$2:$G1492,$G1492)=1,1,0))</f>
        <v>0</v>
      </c>
      <c r="J1492" s="63" t="str">
        <f t="shared" si="98"/>
        <v/>
      </c>
      <c r="K1492" s="63" t="str">
        <f>IF($H1492="","",COUNTIF($H$2:$H1492,"?*"))</f>
        <v/>
      </c>
    </row>
    <row r="1493" spans="1:11" x14ac:dyDescent="0.25">
      <c r="A1493" s="63" t="s">
        <v>536</v>
      </c>
      <c r="B1493" s="63" t="s">
        <v>1427</v>
      </c>
      <c r="C1493" s="63" t="s">
        <v>1408</v>
      </c>
      <c r="D1493" s="63" t="str">
        <f>IF('SA &amp; Dallas Warehouses'!M30="","",TRIM('SA &amp; Dallas Warehouses'!M30))</f>
        <v/>
      </c>
      <c r="E1493" s="64" t="str">
        <f>IF($D1493="","",'SA &amp; Dallas Warehouses'!N30&amp;"")</f>
        <v/>
      </c>
      <c r="F1493" s="63">
        <f>IF($D1493="",0,IF(ISNUMBER('SA &amp; Dallas Warehouses'!O30),'SA &amp; Dallas Warehouses'!O30,1))</f>
        <v>0</v>
      </c>
      <c r="G1493" s="64" t="str">
        <f t="shared" si="96"/>
        <v/>
      </c>
      <c r="H1493" s="64" t="str">
        <f t="shared" si="97"/>
        <v/>
      </c>
      <c r="I1493" s="63">
        <f>IF($G1493="",0,IF(COUNTIF($G$2:$G1493,$G1493)=1,1,0))</f>
        <v>0</v>
      </c>
      <c r="J1493" s="63" t="str">
        <f t="shared" si="98"/>
        <v/>
      </c>
      <c r="K1493" s="63" t="str">
        <f>IF($H1493="","",COUNTIF($H$2:$H1493,"?*"))</f>
        <v/>
      </c>
    </row>
    <row r="1494" spans="1:11" x14ac:dyDescent="0.25">
      <c r="A1494" s="63" t="s">
        <v>536</v>
      </c>
      <c r="B1494" s="63" t="s">
        <v>1428</v>
      </c>
      <c r="C1494" s="63" t="s">
        <v>1408</v>
      </c>
      <c r="D1494" s="63" t="str">
        <f>IF('SA &amp; Dallas Warehouses'!M31="","",TRIM('SA &amp; Dallas Warehouses'!M31))</f>
        <v/>
      </c>
      <c r="E1494" s="64" t="str">
        <f>IF($D1494="","",'SA &amp; Dallas Warehouses'!N31&amp;"")</f>
        <v/>
      </c>
      <c r="F1494" s="63">
        <f>IF($D1494="",0,IF(ISNUMBER('SA &amp; Dallas Warehouses'!O31),'SA &amp; Dallas Warehouses'!O31,1))</f>
        <v>0</v>
      </c>
      <c r="G1494" s="64" t="str">
        <f t="shared" si="96"/>
        <v/>
      </c>
      <c r="H1494" s="64" t="str">
        <f t="shared" si="97"/>
        <v/>
      </c>
      <c r="I1494" s="63">
        <f>IF($G1494="",0,IF(COUNTIF($G$2:$G1494,$G1494)=1,1,0))</f>
        <v>0</v>
      </c>
      <c r="J1494" s="63" t="str">
        <f t="shared" si="98"/>
        <v/>
      </c>
      <c r="K1494" s="63" t="str">
        <f>IF($H1494="","",COUNTIF($H$2:$H1494,"?*"))</f>
        <v/>
      </c>
    </row>
    <row r="1495" spans="1:11" x14ac:dyDescent="0.25">
      <c r="A1495" s="63" t="s">
        <v>536</v>
      </c>
      <c r="B1495" s="63" t="s">
        <v>1429</v>
      </c>
      <c r="C1495" s="63" t="s">
        <v>1408</v>
      </c>
      <c r="D1495" s="63" t="str">
        <f>IF('SA &amp; Dallas Warehouses'!M32="","",TRIM('SA &amp; Dallas Warehouses'!M32))</f>
        <v/>
      </c>
      <c r="E1495" s="64" t="str">
        <f>IF($D1495="","",'SA &amp; Dallas Warehouses'!N32&amp;"")</f>
        <v/>
      </c>
      <c r="F1495" s="63">
        <f>IF($D1495="",0,IF(ISNUMBER('SA &amp; Dallas Warehouses'!O32),'SA &amp; Dallas Warehouses'!O32,1))</f>
        <v>0</v>
      </c>
      <c r="G1495" s="64" t="str">
        <f t="shared" si="96"/>
        <v/>
      </c>
      <c r="H1495" s="64" t="str">
        <f t="shared" si="97"/>
        <v/>
      </c>
      <c r="I1495" s="63">
        <f>IF($G1495="",0,IF(COUNTIF($G$2:$G1495,$G1495)=1,1,0))</f>
        <v>0</v>
      </c>
      <c r="J1495" s="63" t="str">
        <f t="shared" si="98"/>
        <v/>
      </c>
      <c r="K1495" s="63" t="str">
        <f>IF($H1495="","",COUNTIF($H$2:$H1495,"?*"))</f>
        <v/>
      </c>
    </row>
    <row r="1496" spans="1:11" x14ac:dyDescent="0.25">
      <c r="A1496" s="63" t="s">
        <v>536</v>
      </c>
      <c r="B1496" s="63" t="s">
        <v>1430</v>
      </c>
      <c r="C1496" s="63" t="s">
        <v>1408</v>
      </c>
      <c r="D1496" s="63" t="str">
        <f>IF('SA &amp; Dallas Warehouses'!M33="","",TRIM('SA &amp; Dallas Warehouses'!M33))</f>
        <v/>
      </c>
      <c r="E1496" s="64" t="str">
        <f>IF($D1496="","",'SA &amp; Dallas Warehouses'!N33&amp;"")</f>
        <v/>
      </c>
      <c r="F1496" s="63">
        <f>IF($D1496="",0,IF(ISNUMBER('SA &amp; Dallas Warehouses'!O33),'SA &amp; Dallas Warehouses'!O33,1))</f>
        <v>0</v>
      </c>
      <c r="G1496" s="64" t="str">
        <f t="shared" si="96"/>
        <v/>
      </c>
      <c r="H1496" s="64" t="str">
        <f t="shared" si="97"/>
        <v/>
      </c>
      <c r="I1496" s="63">
        <f>IF($G1496="",0,IF(COUNTIF($G$2:$G1496,$G1496)=1,1,0))</f>
        <v>0</v>
      </c>
      <c r="J1496" s="63" t="str">
        <f t="shared" si="98"/>
        <v/>
      </c>
      <c r="K1496" s="63" t="str">
        <f>IF($H1496="","",COUNTIF($H$2:$H1496,"?*"))</f>
        <v/>
      </c>
    </row>
    <row r="1497" spans="1:11" x14ac:dyDescent="0.25">
      <c r="A1497" s="63" t="s">
        <v>536</v>
      </c>
      <c r="B1497" s="63" t="s">
        <v>1431</v>
      </c>
      <c r="C1497" s="63" t="s">
        <v>1408</v>
      </c>
      <c r="D1497" s="63" t="str">
        <f>IF('SA &amp; Dallas Warehouses'!M34="","",TRIM('SA &amp; Dallas Warehouses'!M34))</f>
        <v/>
      </c>
      <c r="E1497" s="64" t="str">
        <f>IF($D1497="","",'SA &amp; Dallas Warehouses'!N34&amp;"")</f>
        <v/>
      </c>
      <c r="F1497" s="63">
        <f>IF($D1497="",0,IF(ISNUMBER('SA &amp; Dallas Warehouses'!O34),'SA &amp; Dallas Warehouses'!O34,1))</f>
        <v>0</v>
      </c>
      <c r="G1497" s="64" t="str">
        <f t="shared" si="96"/>
        <v/>
      </c>
      <c r="H1497" s="64" t="str">
        <f t="shared" si="97"/>
        <v/>
      </c>
      <c r="I1497" s="63">
        <f>IF($G1497="",0,IF(COUNTIF($G$2:$G1497,$G1497)=1,1,0))</f>
        <v>0</v>
      </c>
      <c r="J1497" s="63" t="str">
        <f t="shared" si="98"/>
        <v/>
      </c>
      <c r="K1497" s="63" t="str">
        <f>IF($H1497="","",COUNTIF($H$2:$H1497,"?*"))</f>
        <v/>
      </c>
    </row>
    <row r="1498" spans="1:11" x14ac:dyDescent="0.25">
      <c r="A1498" s="63" t="s">
        <v>536</v>
      </c>
      <c r="B1498" s="63" t="s">
        <v>1432</v>
      </c>
      <c r="C1498" s="63" t="s">
        <v>1408</v>
      </c>
      <c r="D1498" s="63" t="str">
        <f>IF('SA &amp; Dallas Warehouses'!M35="","",TRIM('SA &amp; Dallas Warehouses'!M35))</f>
        <v/>
      </c>
      <c r="E1498" s="64" t="str">
        <f>IF($D1498="","",'SA &amp; Dallas Warehouses'!N35&amp;"")</f>
        <v/>
      </c>
      <c r="F1498" s="63">
        <f>IF($D1498="",0,IF(ISNUMBER('SA &amp; Dallas Warehouses'!O35),'SA &amp; Dallas Warehouses'!O35,1))</f>
        <v>0</v>
      </c>
      <c r="G1498" s="64" t="str">
        <f t="shared" si="96"/>
        <v/>
      </c>
      <c r="H1498" s="64" t="str">
        <f t="shared" si="97"/>
        <v/>
      </c>
      <c r="I1498" s="63">
        <f>IF($G1498="",0,IF(COUNTIF($G$2:$G1498,$G1498)=1,1,0))</f>
        <v>0</v>
      </c>
      <c r="J1498" s="63" t="str">
        <f t="shared" si="98"/>
        <v/>
      </c>
      <c r="K1498" s="63" t="str">
        <f>IF($H1498="","",COUNTIF($H$2:$H1498,"?*"))</f>
        <v/>
      </c>
    </row>
    <row r="1499" spans="1:11" x14ac:dyDescent="0.25">
      <c r="A1499" s="63" t="s">
        <v>536</v>
      </c>
      <c r="B1499" s="63" t="s">
        <v>1433</v>
      </c>
      <c r="C1499" s="63" t="s">
        <v>1408</v>
      </c>
      <c r="D1499" s="63" t="str">
        <f>IF('SA &amp; Dallas Warehouses'!M36="","",TRIM('SA &amp; Dallas Warehouses'!M36))</f>
        <v/>
      </c>
      <c r="E1499" s="64" t="str">
        <f>IF($D1499="","",'SA &amp; Dallas Warehouses'!N36&amp;"")</f>
        <v/>
      </c>
      <c r="F1499" s="63">
        <f>IF($D1499="",0,IF(ISNUMBER('SA &amp; Dallas Warehouses'!O36),'SA &amp; Dallas Warehouses'!O36,1))</f>
        <v>0</v>
      </c>
      <c r="G1499" s="64" t="str">
        <f t="shared" si="96"/>
        <v/>
      </c>
      <c r="H1499" s="64" t="str">
        <f t="shared" si="97"/>
        <v/>
      </c>
      <c r="I1499" s="63">
        <f>IF($G1499="",0,IF(COUNTIF($G$2:$G1499,$G1499)=1,1,0))</f>
        <v>0</v>
      </c>
      <c r="J1499" s="63" t="str">
        <f t="shared" si="98"/>
        <v/>
      </c>
      <c r="K1499" s="63" t="str">
        <f>IF($H1499="","",COUNTIF($H$2:$H1499,"?*"))</f>
        <v/>
      </c>
    </row>
    <row r="1500" spans="1:11" x14ac:dyDescent="0.25">
      <c r="A1500" s="63" t="s">
        <v>536</v>
      </c>
      <c r="B1500" s="63" t="s">
        <v>1434</v>
      </c>
      <c r="C1500" s="63" t="s">
        <v>1408</v>
      </c>
      <c r="D1500" s="63" t="str">
        <f>IF('SA &amp; Dallas Warehouses'!M37="","",TRIM('SA &amp; Dallas Warehouses'!M37))</f>
        <v/>
      </c>
      <c r="E1500" s="64" t="str">
        <f>IF($D1500="","",'SA &amp; Dallas Warehouses'!N37&amp;"")</f>
        <v/>
      </c>
      <c r="F1500" s="63">
        <f>IF($D1500="",0,IF(ISNUMBER('SA &amp; Dallas Warehouses'!O37),'SA &amp; Dallas Warehouses'!O37,1))</f>
        <v>0</v>
      </c>
      <c r="G1500" s="64" t="str">
        <f t="shared" si="96"/>
        <v/>
      </c>
      <c r="H1500" s="64" t="str">
        <f t="shared" si="97"/>
        <v/>
      </c>
      <c r="I1500" s="63">
        <f>IF($G1500="",0,IF(COUNTIF($G$2:$G1500,$G1500)=1,1,0))</f>
        <v>0</v>
      </c>
      <c r="J1500" s="63" t="str">
        <f t="shared" si="98"/>
        <v/>
      </c>
      <c r="K1500" s="63" t="str">
        <f>IF($H1500="","",COUNTIF($H$2:$H1500,"?*"))</f>
        <v/>
      </c>
    </row>
    <row r="1501" spans="1:11" x14ac:dyDescent="0.25">
      <c r="A1501" s="63" t="s">
        <v>536</v>
      </c>
      <c r="B1501" s="63" t="s">
        <v>1435</v>
      </c>
      <c r="C1501" s="63" t="s">
        <v>1408</v>
      </c>
      <c r="D1501" s="63" t="str">
        <f>IF('SA &amp; Dallas Warehouses'!M38="","",TRIM('SA &amp; Dallas Warehouses'!M38))</f>
        <v/>
      </c>
      <c r="E1501" s="64" t="str">
        <f>IF($D1501="","",'SA &amp; Dallas Warehouses'!N38&amp;"")</f>
        <v/>
      </c>
      <c r="F1501" s="63">
        <f>IF($D1501="",0,IF(ISNUMBER('SA &amp; Dallas Warehouses'!O38),'SA &amp; Dallas Warehouses'!O38,1))</f>
        <v>0</v>
      </c>
      <c r="G1501" s="64" t="str">
        <f t="shared" si="96"/>
        <v/>
      </c>
      <c r="H1501" s="64" t="str">
        <f t="shared" si="97"/>
        <v/>
      </c>
      <c r="I1501" s="63">
        <f>IF($G1501="",0,IF(COUNTIF($G$2:$G1501,$G1501)=1,1,0))</f>
        <v>0</v>
      </c>
      <c r="J1501" s="63" t="str">
        <f t="shared" si="98"/>
        <v/>
      </c>
      <c r="K1501" s="63" t="str">
        <f>IF($H1501="","",COUNTIF($H$2:$H1501,"?*"))</f>
        <v/>
      </c>
    </row>
    <row r="1502" spans="1:11" x14ac:dyDescent="0.25">
      <c r="A1502" s="63" t="s">
        <v>536</v>
      </c>
      <c r="B1502" s="63" t="s">
        <v>1436</v>
      </c>
      <c r="C1502" s="63" t="s">
        <v>1408</v>
      </c>
      <c r="D1502" s="63" t="str">
        <f>IF('SA &amp; Dallas Warehouses'!M39="","",TRIM('SA &amp; Dallas Warehouses'!M39))</f>
        <v/>
      </c>
      <c r="E1502" s="64" t="str">
        <f>IF($D1502="","",'SA &amp; Dallas Warehouses'!N39&amp;"")</f>
        <v/>
      </c>
      <c r="F1502" s="63">
        <f>IF($D1502="",0,IF(ISNUMBER('SA &amp; Dallas Warehouses'!O39),'SA &amp; Dallas Warehouses'!O39,1))</f>
        <v>0</v>
      </c>
      <c r="G1502" s="64" t="str">
        <f t="shared" si="96"/>
        <v/>
      </c>
      <c r="H1502" s="64" t="str">
        <f t="shared" si="97"/>
        <v/>
      </c>
      <c r="I1502" s="63">
        <f>IF($G1502="",0,IF(COUNTIF($G$2:$G1502,$G1502)=1,1,0))</f>
        <v>0</v>
      </c>
      <c r="J1502" s="63" t="str">
        <f t="shared" si="98"/>
        <v/>
      </c>
      <c r="K1502" s="63" t="str">
        <f>IF($H1502="","",COUNTIF($H$2:$H1502,"?*"))</f>
        <v/>
      </c>
    </row>
    <row r="1503" spans="1:11" x14ac:dyDescent="0.25">
      <c r="A1503" s="63" t="s">
        <v>536</v>
      </c>
      <c r="B1503" s="63" t="s">
        <v>1437</v>
      </c>
      <c r="C1503" s="63" t="s">
        <v>1408</v>
      </c>
      <c r="D1503" s="63" t="str">
        <f>IF('SA &amp; Dallas Warehouses'!M40="","",TRIM('SA &amp; Dallas Warehouses'!M40))</f>
        <v/>
      </c>
      <c r="E1503" s="64" t="str">
        <f>IF($D1503="","",'SA &amp; Dallas Warehouses'!N40&amp;"")</f>
        <v/>
      </c>
      <c r="F1503" s="63">
        <f>IF($D1503="",0,IF(ISNUMBER('SA &amp; Dallas Warehouses'!O40),'SA &amp; Dallas Warehouses'!O40,1))</f>
        <v>0</v>
      </c>
      <c r="G1503" s="64" t="str">
        <f t="shared" si="96"/>
        <v/>
      </c>
      <c r="H1503" s="64" t="str">
        <f t="shared" si="97"/>
        <v/>
      </c>
      <c r="I1503" s="63">
        <f>IF($G1503="",0,IF(COUNTIF($G$2:$G1503,$G1503)=1,1,0))</f>
        <v>0</v>
      </c>
      <c r="J1503" s="63" t="str">
        <f t="shared" si="98"/>
        <v/>
      </c>
      <c r="K1503" s="63" t="str">
        <f>IF($H1503="","",COUNTIF($H$2:$H1503,"?*"))</f>
        <v/>
      </c>
    </row>
    <row r="1504" spans="1:11" x14ac:dyDescent="0.25">
      <c r="A1504" s="63" t="s">
        <v>536</v>
      </c>
      <c r="B1504" s="63" t="s">
        <v>1438</v>
      </c>
      <c r="C1504" s="63" t="s">
        <v>1408</v>
      </c>
      <c r="D1504" s="63" t="str">
        <f>IF('SA &amp; Dallas Warehouses'!M41="","",TRIM('SA &amp; Dallas Warehouses'!M41))</f>
        <v/>
      </c>
      <c r="E1504" s="64" t="str">
        <f>IF($D1504="","",'SA &amp; Dallas Warehouses'!N41&amp;"")</f>
        <v/>
      </c>
      <c r="F1504" s="63">
        <f>IF($D1504="",0,IF(ISNUMBER('SA &amp; Dallas Warehouses'!O41),'SA &amp; Dallas Warehouses'!O41,1))</f>
        <v>0</v>
      </c>
      <c r="G1504" s="64" t="str">
        <f t="shared" si="96"/>
        <v/>
      </c>
      <c r="H1504" s="64" t="str">
        <f t="shared" si="97"/>
        <v/>
      </c>
      <c r="I1504" s="63">
        <f>IF($G1504="",0,IF(COUNTIF($G$2:$G1504,$G1504)=1,1,0))</f>
        <v>0</v>
      </c>
      <c r="J1504" s="63" t="str">
        <f t="shared" si="98"/>
        <v/>
      </c>
      <c r="K1504" s="63" t="str">
        <f>IF($H1504="","",COUNTIF($H$2:$H1504,"?*"))</f>
        <v/>
      </c>
    </row>
    <row r="1505" spans="1:11" x14ac:dyDescent="0.25">
      <c r="A1505" s="63" t="s">
        <v>536</v>
      </c>
      <c r="B1505" s="63" t="s">
        <v>1439</v>
      </c>
      <c r="C1505" s="63" t="s">
        <v>1408</v>
      </c>
      <c r="D1505" s="63" t="str">
        <f>IF('SA &amp; Dallas Warehouses'!M42="","",TRIM('SA &amp; Dallas Warehouses'!M42))</f>
        <v/>
      </c>
      <c r="E1505" s="64" t="str">
        <f>IF($D1505="","",'SA &amp; Dallas Warehouses'!N42&amp;"")</f>
        <v/>
      </c>
      <c r="F1505" s="63">
        <f>IF($D1505="",0,IF(ISNUMBER('SA &amp; Dallas Warehouses'!O42),'SA &amp; Dallas Warehouses'!O42,1))</f>
        <v>0</v>
      </c>
      <c r="G1505" s="64" t="str">
        <f t="shared" si="96"/>
        <v/>
      </c>
      <c r="H1505" s="64" t="str">
        <f t="shared" si="97"/>
        <v/>
      </c>
      <c r="I1505" s="63">
        <f>IF($G1505="",0,IF(COUNTIF($G$2:$G1505,$G1505)=1,1,0))</f>
        <v>0</v>
      </c>
      <c r="J1505" s="63" t="str">
        <f t="shared" si="98"/>
        <v/>
      </c>
      <c r="K1505" s="63" t="str">
        <f>IF($H1505="","",COUNTIF($H$2:$H1505,"?*"))</f>
        <v/>
      </c>
    </row>
    <row r="1506" spans="1:11" x14ac:dyDescent="0.25">
      <c r="A1506" s="63" t="s">
        <v>536</v>
      </c>
      <c r="B1506" s="63" t="s">
        <v>1440</v>
      </c>
      <c r="C1506" s="63" t="s">
        <v>1408</v>
      </c>
      <c r="D1506" s="63" t="str">
        <f>IF('SA &amp; Dallas Warehouses'!M43="","",TRIM('SA &amp; Dallas Warehouses'!M43))</f>
        <v/>
      </c>
      <c r="E1506" s="64" t="str">
        <f>IF($D1506="","",'SA &amp; Dallas Warehouses'!N43&amp;"")</f>
        <v/>
      </c>
      <c r="F1506" s="63">
        <f>IF($D1506="",0,IF(ISNUMBER('SA &amp; Dallas Warehouses'!O43),'SA &amp; Dallas Warehouses'!O43,1))</f>
        <v>0</v>
      </c>
      <c r="G1506" s="64" t="str">
        <f t="shared" si="96"/>
        <v/>
      </c>
      <c r="H1506" s="64" t="str">
        <f t="shared" si="97"/>
        <v/>
      </c>
      <c r="I1506" s="63">
        <f>IF($G1506="",0,IF(COUNTIF($G$2:$G1506,$G1506)=1,1,0))</f>
        <v>0</v>
      </c>
      <c r="J1506" s="63" t="str">
        <f t="shared" si="98"/>
        <v/>
      </c>
      <c r="K1506" s="63" t="str">
        <f>IF($H1506="","",COUNTIF($H$2:$H1506,"?*"))</f>
        <v/>
      </c>
    </row>
    <row r="1507" spans="1:11" x14ac:dyDescent="0.25">
      <c r="A1507" s="63" t="s">
        <v>536</v>
      </c>
      <c r="B1507" s="63" t="s">
        <v>1441</v>
      </c>
      <c r="C1507" s="63" t="s">
        <v>1408</v>
      </c>
      <c r="D1507" s="63" t="str">
        <f>IF('SA &amp; Dallas Warehouses'!M44="","",TRIM('SA &amp; Dallas Warehouses'!M44))</f>
        <v/>
      </c>
      <c r="E1507" s="64" t="str">
        <f>IF($D1507="","",'SA &amp; Dallas Warehouses'!N44&amp;"")</f>
        <v/>
      </c>
      <c r="F1507" s="63">
        <f>IF($D1507="",0,IF(ISNUMBER('SA &amp; Dallas Warehouses'!O44),'SA &amp; Dallas Warehouses'!O44,1))</f>
        <v>0</v>
      </c>
      <c r="G1507" s="64" t="str">
        <f t="shared" si="96"/>
        <v/>
      </c>
      <c r="H1507" s="64" t="str">
        <f t="shared" si="97"/>
        <v/>
      </c>
      <c r="I1507" s="63">
        <f>IF($G1507="",0,IF(COUNTIF($G$2:$G1507,$G1507)=1,1,0))</f>
        <v>0</v>
      </c>
      <c r="J1507" s="63" t="str">
        <f t="shared" si="98"/>
        <v/>
      </c>
      <c r="K1507" s="63" t="str">
        <f>IF($H1507="","",COUNTIF($H$2:$H1507,"?*"))</f>
        <v/>
      </c>
    </row>
    <row r="1508" spans="1:11" x14ac:dyDescent="0.25">
      <c r="A1508" s="63" t="s">
        <v>536</v>
      </c>
      <c r="B1508" s="63" t="s">
        <v>1442</v>
      </c>
      <c r="C1508" s="63" t="s">
        <v>1408</v>
      </c>
      <c r="D1508" s="63" t="str">
        <f>IF('SA &amp; Dallas Warehouses'!M45="","",TRIM('SA &amp; Dallas Warehouses'!M45))</f>
        <v/>
      </c>
      <c r="E1508" s="64" t="str">
        <f>IF($D1508="","",'SA &amp; Dallas Warehouses'!N45&amp;"")</f>
        <v/>
      </c>
      <c r="F1508" s="63">
        <f>IF($D1508="",0,IF(ISNUMBER('SA &amp; Dallas Warehouses'!O45),'SA &amp; Dallas Warehouses'!O45,1))</f>
        <v>0</v>
      </c>
      <c r="G1508" s="64" t="str">
        <f t="shared" si="96"/>
        <v/>
      </c>
      <c r="H1508" s="64" t="str">
        <f t="shared" si="97"/>
        <v/>
      </c>
      <c r="I1508" s="63">
        <f>IF($G1508="",0,IF(COUNTIF($G$2:$G1508,$G1508)=1,1,0))</f>
        <v>0</v>
      </c>
      <c r="J1508" s="63" t="str">
        <f t="shared" si="98"/>
        <v/>
      </c>
      <c r="K1508" s="63" t="str">
        <f>IF($H1508="","",COUNTIF($H$2:$H1508,"?*"))</f>
        <v/>
      </c>
    </row>
    <row r="1509" spans="1:11" x14ac:dyDescent="0.25">
      <c r="A1509" s="63" t="s">
        <v>536</v>
      </c>
      <c r="B1509" s="63" t="s">
        <v>1443</v>
      </c>
      <c r="C1509" s="63" t="s">
        <v>1408</v>
      </c>
      <c r="D1509" s="63" t="str">
        <f>IF('SA &amp; Dallas Warehouses'!M46="","",TRIM('SA &amp; Dallas Warehouses'!M46))</f>
        <v/>
      </c>
      <c r="E1509" s="64" t="str">
        <f>IF($D1509="","",'SA &amp; Dallas Warehouses'!N46&amp;"")</f>
        <v/>
      </c>
      <c r="F1509" s="63">
        <f>IF($D1509="",0,IF(ISNUMBER('SA &amp; Dallas Warehouses'!O46),'SA &amp; Dallas Warehouses'!O46,1))</f>
        <v>0</v>
      </c>
      <c r="G1509" s="64" t="str">
        <f t="shared" si="96"/>
        <v/>
      </c>
      <c r="H1509" s="64" t="str">
        <f t="shared" si="97"/>
        <v/>
      </c>
      <c r="I1509" s="63">
        <f>IF($G1509="",0,IF(COUNTIF($G$2:$G1509,$G1509)=1,1,0))</f>
        <v>0</v>
      </c>
      <c r="J1509" s="63" t="str">
        <f t="shared" si="98"/>
        <v/>
      </c>
      <c r="K1509" s="63" t="str">
        <f>IF($H1509="","",COUNTIF($H$2:$H1509,"?*"))</f>
        <v/>
      </c>
    </row>
    <row r="1510" spans="1:11" x14ac:dyDescent="0.25">
      <c r="A1510" s="63" t="s">
        <v>536</v>
      </c>
      <c r="B1510" s="63" t="s">
        <v>1444</v>
      </c>
      <c r="C1510" s="63" t="s">
        <v>1408</v>
      </c>
      <c r="D1510" s="63" t="str">
        <f>IF('SA &amp; Dallas Warehouses'!M47="","",TRIM('SA &amp; Dallas Warehouses'!M47))</f>
        <v/>
      </c>
      <c r="E1510" s="64" t="str">
        <f>IF($D1510="","",'SA &amp; Dallas Warehouses'!N47&amp;"")</f>
        <v/>
      </c>
      <c r="F1510" s="63">
        <f>IF($D1510="",0,IF(ISNUMBER('SA &amp; Dallas Warehouses'!O47),'SA &amp; Dallas Warehouses'!O47,1))</f>
        <v>0</v>
      </c>
      <c r="G1510" s="64" t="str">
        <f t="shared" si="96"/>
        <v/>
      </c>
      <c r="H1510" s="64" t="str">
        <f t="shared" si="97"/>
        <v/>
      </c>
      <c r="I1510" s="63">
        <f>IF($G1510="",0,IF(COUNTIF($G$2:$G1510,$G1510)=1,1,0))</f>
        <v>0</v>
      </c>
      <c r="J1510" s="63" t="str">
        <f t="shared" si="98"/>
        <v/>
      </c>
      <c r="K1510" s="63" t="str">
        <f>IF($H1510="","",COUNTIF($H$2:$H1510,"?*"))</f>
        <v/>
      </c>
    </row>
    <row r="1511" spans="1:11" x14ac:dyDescent="0.25">
      <c r="A1511" s="63" t="s">
        <v>536</v>
      </c>
      <c r="B1511" s="63" t="s">
        <v>1445</v>
      </c>
      <c r="C1511" s="63" t="s">
        <v>1408</v>
      </c>
      <c r="D1511" s="63" t="str">
        <f>IF('SA &amp; Dallas Warehouses'!M48="","",TRIM('SA &amp; Dallas Warehouses'!M48))</f>
        <v/>
      </c>
      <c r="E1511" s="64" t="str">
        <f>IF($D1511="","",'SA &amp; Dallas Warehouses'!N48&amp;"")</f>
        <v/>
      </c>
      <c r="F1511" s="63">
        <f>IF($D1511="",0,IF(ISNUMBER('SA &amp; Dallas Warehouses'!O48),'SA &amp; Dallas Warehouses'!O48,1))</f>
        <v>0</v>
      </c>
      <c r="G1511" s="64" t="str">
        <f t="shared" si="96"/>
        <v/>
      </c>
      <c r="H1511" s="64" t="str">
        <f t="shared" si="97"/>
        <v/>
      </c>
      <c r="I1511" s="63">
        <f>IF($G1511="",0,IF(COUNTIF($G$2:$G1511,$G1511)=1,1,0))</f>
        <v>0</v>
      </c>
      <c r="J1511" s="63" t="str">
        <f t="shared" si="98"/>
        <v/>
      </c>
      <c r="K1511" s="63" t="str">
        <f>IF($H1511="","",COUNTIF($H$2:$H1511,"?*"))</f>
        <v/>
      </c>
    </row>
    <row r="1512" spans="1:11" x14ac:dyDescent="0.25">
      <c r="A1512" s="63" t="s">
        <v>536</v>
      </c>
      <c r="B1512" s="63" t="s">
        <v>1446</v>
      </c>
      <c r="C1512" s="63" t="s">
        <v>1408</v>
      </c>
      <c r="D1512" s="63" t="str">
        <f>IF('SA &amp; Dallas Warehouses'!M49="","",TRIM('SA &amp; Dallas Warehouses'!M49))</f>
        <v/>
      </c>
      <c r="E1512" s="64" t="str">
        <f>IF($D1512="","",'SA &amp; Dallas Warehouses'!N49&amp;"")</f>
        <v/>
      </c>
      <c r="F1512" s="63">
        <f>IF($D1512="",0,IF(ISNUMBER('SA &amp; Dallas Warehouses'!O49),'SA &amp; Dallas Warehouses'!O49,1))</f>
        <v>0</v>
      </c>
      <c r="G1512" s="64" t="str">
        <f t="shared" si="96"/>
        <v/>
      </c>
      <c r="H1512" s="64" t="str">
        <f t="shared" si="97"/>
        <v/>
      </c>
      <c r="I1512" s="63">
        <f>IF($G1512="",0,IF(COUNTIF($G$2:$G1512,$G1512)=1,1,0))</f>
        <v>0</v>
      </c>
      <c r="J1512" s="63" t="str">
        <f t="shared" si="98"/>
        <v/>
      </c>
      <c r="K1512" s="63" t="str">
        <f>IF($H1512="","",COUNTIF($H$2:$H1512,"?*"))</f>
        <v/>
      </c>
    </row>
    <row r="1513" spans="1:11" x14ac:dyDescent="0.25">
      <c r="A1513" s="63" t="s">
        <v>536</v>
      </c>
      <c r="B1513" s="63" t="s">
        <v>1447</v>
      </c>
      <c r="C1513" s="63" t="s">
        <v>1408</v>
      </c>
      <c r="D1513" s="63" t="str">
        <f>IF('SA &amp; Dallas Warehouses'!M50="","",TRIM('SA &amp; Dallas Warehouses'!M50))</f>
        <v/>
      </c>
      <c r="E1513" s="64" t="str">
        <f>IF($D1513="","",'SA &amp; Dallas Warehouses'!N50&amp;"")</f>
        <v/>
      </c>
      <c r="F1513" s="63">
        <f>IF($D1513="",0,IF(ISNUMBER('SA &amp; Dallas Warehouses'!O50),'SA &amp; Dallas Warehouses'!O50,1))</f>
        <v>0</v>
      </c>
      <c r="G1513" s="64" t="str">
        <f t="shared" si="96"/>
        <v/>
      </c>
      <c r="H1513" s="64" t="str">
        <f t="shared" si="97"/>
        <v/>
      </c>
      <c r="I1513" s="63">
        <f>IF($G1513="",0,IF(COUNTIF($G$2:$G1513,$G1513)=1,1,0))</f>
        <v>0</v>
      </c>
      <c r="J1513" s="63" t="str">
        <f t="shared" si="98"/>
        <v/>
      </c>
      <c r="K1513" s="63" t="str">
        <f>IF($H1513="","",COUNTIF($H$2:$H1513,"?*"))</f>
        <v/>
      </c>
    </row>
  </sheetData>
  <mergeCells count="1">
    <mergeCell ref="L1:P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Barn - Back Rack</vt:lpstr>
      <vt:lpstr>Barn - Front Rack</vt:lpstr>
      <vt:lpstr>Equipment by Location</vt:lpstr>
      <vt:lpstr>SA &amp; Dallas Warehouses</vt:lpstr>
      <vt:lpstr>Rack Map</vt:lpstr>
      <vt:lpstr>Ready Models</vt:lpstr>
      <vt:lpstr>Equipment Index</vt:lpstr>
      <vt:lpstr>'Barn - Back Rack'!Print_Area</vt:lpstr>
      <vt:lpstr>'Barn - Front Rack'!Print_Area</vt:lpstr>
      <vt:lpstr>ReadyModelList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Jesus Garcia</dc:creator>
  <dc:description/>
  <cp:lastModifiedBy>Jesus - Katz Coffee</cp:lastModifiedBy>
  <cp:revision>0</cp:revision>
  <cp:lastPrinted>2026-08-08T16:34:21Z</cp:lastPrinted>
  <dcterms:created xsi:type="dcterms:W3CDTF">2026-04-24T14:58:16Z</dcterms:created>
  <dcterms:modified xsi:type="dcterms:W3CDTF">2026-08-18T20:54:25Z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0x01010068EF825750BB7D43B0EB22E7E55697FA</vt:lpwstr>
  </property>
</Properties>
</file>