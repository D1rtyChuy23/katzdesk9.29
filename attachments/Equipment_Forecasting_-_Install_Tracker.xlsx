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garcia\Downloads\"/>
    </mc:Choice>
  </mc:AlternateContent>
  <xr:revisionPtr revIDLastSave="0" documentId="8_{30B38C5F-507B-400B-8BE6-A400EB10ACC8}" xr6:coauthVersionLast="47" xr6:coauthVersionMax="47" xr10:uidLastSave="{00000000-0000-0000-0000-000000000000}"/>
  <bookViews>
    <workbookView xWindow="-23430" yWindow="525" windowWidth="21600" windowHeight="11295" tabRatio="500" firstSheet="4" activeTab="4" xr2:uid="{00000000-000D-0000-FFFF-FFFF00000000}"/>
  </bookViews>
  <sheets>
    <sheet name="SOP" sheetId="1" r:id="rId1"/>
    <sheet name="Dashboard" sheetId="2" r:id="rId2"/>
    <sheet name="Projected Sales or Lease" sheetId="3" r:id="rId3"/>
    <sheet name="Install Clock" sheetId="4" r:id="rId4"/>
    <sheet name="Installs" sheetId="5" r:id="rId5"/>
    <sheet name="Lists" sheetId="6" state="hidden" r:id="rId6"/>
  </sheets>
  <definedNames>
    <definedName name="_xlnm._FilterDatabase" localSheetId="4" hidden="1">Installs!$A$4:$M$159</definedName>
    <definedName name="AccountTypeList">Lists!$T$2:$T$3</definedName>
    <definedName name="CallStatusList">Lists!$B$2:$B$8</definedName>
    <definedName name="CallTypeList">Lists!$C$2:$C$4</definedName>
    <definedName name="CheckNo">Lists!$J$3</definedName>
    <definedName name="CheckYes">Lists!$J$2</definedName>
    <definedName name="CompletionList">Lists!$S$2:$S$3</definedName>
    <definedName name="EquipStatusList">Lists!$E$2:$E$4</definedName>
    <definedName name="InstWeek2End">Installs!$P$5</definedName>
    <definedName name="InstWeekEnd">Installs!$P$4</definedName>
    <definedName name="InstWeekStart">Installs!$P$3</definedName>
    <definedName name="InternalTechList">Lists!$O$2:$O$8</definedName>
    <definedName name="ModulePlatformList">Lists!$L$2:$L$4</definedName>
    <definedName name="ModuleStatusList">Lists!$N$2:$N$9</definedName>
    <definedName name="ModuleTypeList">Lists!$M$2:$M$11</definedName>
    <definedName name="PartsStatusList">Lists!$G$2:$G$6</definedName>
    <definedName name="PaymentStatusList">Lists!$P$2:$P$6</definedName>
    <definedName name="PaymentTermsList">Lists!$R$2:$R$5</definedName>
    <definedName name="PMStatusList">Lists!$H$2:$H$8</definedName>
    <definedName name="PMStyleList">Lists!$F$2:$F$5</definedName>
    <definedName name="ProducerList">OFFSET(Lists!$Q$2,0,0,MAX(1,COUNTA(Lists!$Q$2:$Q$30)),1)</definedName>
    <definedName name="RepList">Lists!$I$2:$I$10</definedName>
    <definedName name="RequirementsList">Lists!$W$2:$W$3</definedName>
    <definedName name="TechList">Lists!$A$2:$A$9</definedName>
    <definedName name="YesNoList">Lists!$D$2:$D$3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43" i="5" l="1"/>
  <c r="L38" i="5"/>
  <c r="L37" i="5"/>
  <c r="L200" i="5"/>
  <c r="L199" i="5"/>
  <c r="L198" i="5"/>
  <c r="L197" i="5"/>
  <c r="L196" i="5"/>
  <c r="L195" i="5"/>
  <c r="L194" i="5"/>
  <c r="L193" i="5"/>
  <c r="L192" i="5"/>
  <c r="L191" i="5"/>
  <c r="L190" i="5"/>
  <c r="L189" i="5"/>
  <c r="L188" i="5"/>
  <c r="L187" i="5"/>
  <c r="L186" i="5"/>
  <c r="L185" i="5"/>
  <c r="L184" i="5"/>
  <c r="L183" i="5"/>
  <c r="L182" i="5"/>
  <c r="L181" i="5"/>
  <c r="L180" i="5"/>
  <c r="L179" i="5"/>
  <c r="L178" i="5"/>
  <c r="L177" i="5"/>
  <c r="L176" i="5"/>
  <c r="L175" i="5"/>
  <c r="L174" i="5"/>
  <c r="L173" i="5"/>
  <c r="L172" i="5"/>
  <c r="L171" i="5"/>
  <c r="L170" i="5"/>
  <c r="L169" i="5"/>
  <c r="L168" i="5"/>
  <c r="L167" i="5"/>
  <c r="L166" i="5"/>
  <c r="L165" i="5"/>
  <c r="L164" i="5"/>
  <c r="L163" i="5"/>
  <c r="L162" i="5"/>
  <c r="L161" i="5"/>
  <c r="O159" i="5"/>
  <c r="M159" i="5"/>
  <c r="Q159" i="5" s="1"/>
  <c r="R159" i="5" s="1"/>
  <c r="L159" i="5"/>
  <c r="O158" i="5"/>
  <c r="M158" i="5"/>
  <c r="Q158" i="5" s="1"/>
  <c r="R158" i="5" s="1"/>
  <c r="L158" i="5"/>
  <c r="O157" i="5"/>
  <c r="M157" i="5"/>
  <c r="Q157" i="5" s="1"/>
  <c r="R157" i="5" s="1"/>
  <c r="L157" i="5"/>
  <c r="O156" i="5"/>
  <c r="M156" i="5"/>
  <c r="Q156" i="5" s="1"/>
  <c r="R156" i="5" s="1"/>
  <c r="L156" i="5"/>
  <c r="O155" i="5"/>
  <c r="M155" i="5"/>
  <c r="Q155" i="5" s="1"/>
  <c r="R155" i="5" s="1"/>
  <c r="L155" i="5"/>
  <c r="O154" i="5"/>
  <c r="M154" i="5"/>
  <c r="Q154" i="5" s="1"/>
  <c r="R154" i="5" s="1"/>
  <c r="L154" i="5"/>
  <c r="O153" i="5"/>
  <c r="M153" i="5"/>
  <c r="Q153" i="5" s="1"/>
  <c r="R153" i="5" s="1"/>
  <c r="L153" i="5"/>
  <c r="O152" i="5"/>
  <c r="M152" i="5"/>
  <c r="Q152" i="5" s="1"/>
  <c r="R152" i="5" s="1"/>
  <c r="L152" i="5"/>
  <c r="O151" i="5"/>
  <c r="M151" i="5"/>
  <c r="Q151" i="5" s="1"/>
  <c r="R151" i="5" s="1"/>
  <c r="L151" i="5"/>
  <c r="O150" i="5"/>
  <c r="M150" i="5"/>
  <c r="Q150" i="5" s="1"/>
  <c r="R150" i="5" s="1"/>
  <c r="L150" i="5"/>
  <c r="O149" i="5"/>
  <c r="M149" i="5"/>
  <c r="Q149" i="5" s="1"/>
  <c r="R149" i="5" s="1"/>
  <c r="L149" i="5"/>
  <c r="O148" i="5"/>
  <c r="M148" i="5"/>
  <c r="Q148" i="5" s="1"/>
  <c r="R148" i="5" s="1"/>
  <c r="L148" i="5"/>
  <c r="O147" i="5"/>
  <c r="M147" i="5"/>
  <c r="Q147" i="5" s="1"/>
  <c r="R147" i="5" s="1"/>
  <c r="L147" i="5"/>
  <c r="O146" i="5"/>
  <c r="M146" i="5"/>
  <c r="Q146" i="5" s="1"/>
  <c r="R146" i="5" s="1"/>
  <c r="L146" i="5"/>
  <c r="O145" i="5"/>
  <c r="M145" i="5"/>
  <c r="Q145" i="5" s="1"/>
  <c r="R145" i="5" s="1"/>
  <c r="L145" i="5"/>
  <c r="O144" i="5"/>
  <c r="M144" i="5"/>
  <c r="Q144" i="5" s="1"/>
  <c r="R144" i="5" s="1"/>
  <c r="L144" i="5"/>
  <c r="O143" i="5"/>
  <c r="M143" i="5"/>
  <c r="Q143" i="5" s="1"/>
  <c r="R143" i="5" s="1"/>
  <c r="L143" i="5"/>
  <c r="O142" i="5"/>
  <c r="M142" i="5"/>
  <c r="Q142" i="5" s="1"/>
  <c r="R142" i="5" s="1"/>
  <c r="L142" i="5"/>
  <c r="O141" i="5"/>
  <c r="M141" i="5"/>
  <c r="Q141" i="5" s="1"/>
  <c r="R141" i="5" s="1"/>
  <c r="L141" i="5"/>
  <c r="O140" i="5"/>
  <c r="M140" i="5"/>
  <c r="Q140" i="5" s="1"/>
  <c r="R140" i="5" s="1"/>
  <c r="L140" i="5"/>
  <c r="O139" i="5"/>
  <c r="M139" i="5"/>
  <c r="Q139" i="5" s="1"/>
  <c r="R139" i="5" s="1"/>
  <c r="L139" i="5"/>
  <c r="O138" i="5"/>
  <c r="M138" i="5"/>
  <c r="Q138" i="5" s="1"/>
  <c r="R138" i="5" s="1"/>
  <c r="L138" i="5"/>
  <c r="O137" i="5"/>
  <c r="M137" i="5"/>
  <c r="Q137" i="5" s="1"/>
  <c r="R137" i="5" s="1"/>
  <c r="L137" i="5"/>
  <c r="O136" i="5"/>
  <c r="M136" i="5"/>
  <c r="Q136" i="5" s="1"/>
  <c r="R136" i="5" s="1"/>
  <c r="L136" i="5"/>
  <c r="O135" i="5"/>
  <c r="M135" i="5"/>
  <c r="Q135" i="5" s="1"/>
  <c r="R135" i="5" s="1"/>
  <c r="L135" i="5"/>
  <c r="O134" i="5"/>
  <c r="M134" i="5"/>
  <c r="Q134" i="5" s="1"/>
  <c r="R134" i="5" s="1"/>
  <c r="L134" i="5"/>
  <c r="O133" i="5"/>
  <c r="M133" i="5"/>
  <c r="Q133" i="5" s="1"/>
  <c r="R133" i="5" s="1"/>
  <c r="L133" i="5"/>
  <c r="O132" i="5"/>
  <c r="M132" i="5"/>
  <c r="Q132" i="5" s="1"/>
  <c r="R132" i="5" s="1"/>
  <c r="L132" i="5"/>
  <c r="O131" i="5"/>
  <c r="M131" i="5"/>
  <c r="Q131" i="5" s="1"/>
  <c r="R131" i="5" s="1"/>
  <c r="L131" i="5"/>
  <c r="O130" i="5"/>
  <c r="M130" i="5"/>
  <c r="Q130" i="5" s="1"/>
  <c r="R130" i="5" s="1"/>
  <c r="L130" i="5"/>
  <c r="O129" i="5"/>
  <c r="M129" i="5"/>
  <c r="Q129" i="5" s="1"/>
  <c r="R129" i="5" s="1"/>
  <c r="L129" i="5"/>
  <c r="O128" i="5"/>
  <c r="M128" i="5"/>
  <c r="Q128" i="5" s="1"/>
  <c r="R128" i="5" s="1"/>
  <c r="L128" i="5"/>
  <c r="O127" i="5"/>
  <c r="M127" i="5"/>
  <c r="Q127" i="5" s="1"/>
  <c r="R127" i="5" s="1"/>
  <c r="L127" i="5"/>
  <c r="O126" i="5"/>
  <c r="M126" i="5"/>
  <c r="Q126" i="5" s="1"/>
  <c r="R126" i="5" s="1"/>
  <c r="L126" i="5"/>
  <c r="O125" i="5"/>
  <c r="M125" i="5"/>
  <c r="Q125" i="5" s="1"/>
  <c r="R125" i="5" s="1"/>
  <c r="L125" i="5"/>
  <c r="O124" i="5"/>
  <c r="M124" i="5"/>
  <c r="Q124" i="5" s="1"/>
  <c r="R124" i="5" s="1"/>
  <c r="L124" i="5"/>
  <c r="O123" i="5"/>
  <c r="M123" i="5"/>
  <c r="Q123" i="5" s="1"/>
  <c r="R123" i="5" s="1"/>
  <c r="L123" i="5"/>
  <c r="O122" i="5"/>
  <c r="M122" i="5"/>
  <c r="Q122" i="5" s="1"/>
  <c r="R122" i="5" s="1"/>
  <c r="L122" i="5"/>
  <c r="O121" i="5"/>
  <c r="M121" i="5"/>
  <c r="Q121" i="5" s="1"/>
  <c r="R121" i="5" s="1"/>
  <c r="L121" i="5"/>
  <c r="O120" i="5"/>
  <c r="M120" i="5"/>
  <c r="Q120" i="5" s="1"/>
  <c r="R120" i="5" s="1"/>
  <c r="L120" i="5"/>
  <c r="O119" i="5"/>
  <c r="M119" i="5"/>
  <c r="Q119" i="5" s="1"/>
  <c r="R119" i="5" s="1"/>
  <c r="L119" i="5"/>
  <c r="O118" i="5"/>
  <c r="M118" i="5"/>
  <c r="Q118" i="5" s="1"/>
  <c r="R118" i="5" s="1"/>
  <c r="L118" i="5"/>
  <c r="O117" i="5"/>
  <c r="M117" i="5"/>
  <c r="Q117" i="5" s="1"/>
  <c r="R117" i="5" s="1"/>
  <c r="L117" i="5"/>
  <c r="O116" i="5"/>
  <c r="M116" i="5"/>
  <c r="Q116" i="5" s="1"/>
  <c r="R116" i="5" s="1"/>
  <c r="L116" i="5"/>
  <c r="O115" i="5"/>
  <c r="M115" i="5"/>
  <c r="Q115" i="5" s="1"/>
  <c r="R115" i="5" s="1"/>
  <c r="L115" i="5"/>
  <c r="O114" i="5"/>
  <c r="M114" i="5"/>
  <c r="Q114" i="5" s="1"/>
  <c r="R114" i="5" s="1"/>
  <c r="L114" i="5"/>
  <c r="O113" i="5"/>
  <c r="M113" i="5"/>
  <c r="Q113" i="5" s="1"/>
  <c r="R113" i="5" s="1"/>
  <c r="L113" i="5"/>
  <c r="O112" i="5"/>
  <c r="M112" i="5"/>
  <c r="Q112" i="5" s="1"/>
  <c r="R112" i="5" s="1"/>
  <c r="L112" i="5"/>
  <c r="O111" i="5"/>
  <c r="M111" i="5"/>
  <c r="Q111" i="5" s="1"/>
  <c r="R111" i="5" s="1"/>
  <c r="L111" i="5"/>
  <c r="O110" i="5"/>
  <c r="M110" i="5"/>
  <c r="Q110" i="5" s="1"/>
  <c r="R110" i="5" s="1"/>
  <c r="L110" i="5"/>
  <c r="O109" i="5"/>
  <c r="M109" i="5"/>
  <c r="Q109" i="5" s="1"/>
  <c r="R109" i="5" s="1"/>
  <c r="L109" i="5"/>
  <c r="O108" i="5"/>
  <c r="M108" i="5"/>
  <c r="Q108" i="5" s="1"/>
  <c r="R108" i="5" s="1"/>
  <c r="L108" i="5"/>
  <c r="O107" i="5"/>
  <c r="M107" i="5"/>
  <c r="Q107" i="5" s="1"/>
  <c r="R107" i="5" s="1"/>
  <c r="L107" i="5"/>
  <c r="O106" i="5"/>
  <c r="M106" i="5"/>
  <c r="Q106" i="5" s="1"/>
  <c r="R106" i="5" s="1"/>
  <c r="L106" i="5"/>
  <c r="O105" i="5"/>
  <c r="M105" i="5"/>
  <c r="Q105" i="5" s="1"/>
  <c r="R105" i="5" s="1"/>
  <c r="L105" i="5"/>
  <c r="O104" i="5"/>
  <c r="M104" i="5"/>
  <c r="Q104" i="5" s="1"/>
  <c r="R104" i="5" s="1"/>
  <c r="L104" i="5"/>
  <c r="O103" i="5"/>
  <c r="M103" i="5"/>
  <c r="Q103" i="5" s="1"/>
  <c r="R103" i="5" s="1"/>
  <c r="L103" i="5"/>
  <c r="O102" i="5"/>
  <c r="M102" i="5"/>
  <c r="Q102" i="5" s="1"/>
  <c r="R102" i="5" s="1"/>
  <c r="L102" i="5"/>
  <c r="O101" i="5"/>
  <c r="M101" i="5"/>
  <c r="Q101" i="5" s="1"/>
  <c r="R101" i="5" s="1"/>
  <c r="L101" i="5"/>
  <c r="O100" i="5"/>
  <c r="M100" i="5"/>
  <c r="Q100" i="5" s="1"/>
  <c r="R100" i="5" s="1"/>
  <c r="L100" i="5"/>
  <c r="O99" i="5"/>
  <c r="M99" i="5"/>
  <c r="Q99" i="5" s="1"/>
  <c r="R99" i="5" s="1"/>
  <c r="L99" i="5"/>
  <c r="O98" i="5"/>
  <c r="M98" i="5"/>
  <c r="Q98" i="5" s="1"/>
  <c r="R98" i="5" s="1"/>
  <c r="L98" i="5"/>
  <c r="O97" i="5"/>
  <c r="M97" i="5"/>
  <c r="Q97" i="5" s="1"/>
  <c r="R97" i="5" s="1"/>
  <c r="L97" i="5"/>
  <c r="O96" i="5"/>
  <c r="M96" i="5"/>
  <c r="Q96" i="5" s="1"/>
  <c r="R96" i="5" s="1"/>
  <c r="L96" i="5"/>
  <c r="O95" i="5"/>
  <c r="M95" i="5"/>
  <c r="Q95" i="5" s="1"/>
  <c r="R95" i="5" s="1"/>
  <c r="L95" i="5"/>
  <c r="O94" i="5"/>
  <c r="M94" i="5"/>
  <c r="Q94" i="5" s="1"/>
  <c r="R94" i="5" s="1"/>
  <c r="L94" i="5"/>
  <c r="O93" i="5"/>
  <c r="M93" i="5"/>
  <c r="Q93" i="5" s="1"/>
  <c r="R93" i="5" s="1"/>
  <c r="L93" i="5"/>
  <c r="O92" i="5"/>
  <c r="M92" i="5"/>
  <c r="Q92" i="5" s="1"/>
  <c r="R92" i="5" s="1"/>
  <c r="L92" i="5"/>
  <c r="O91" i="5"/>
  <c r="M91" i="5"/>
  <c r="Q91" i="5" s="1"/>
  <c r="R91" i="5" s="1"/>
  <c r="L91" i="5"/>
  <c r="O90" i="5"/>
  <c r="M90" i="5"/>
  <c r="Q90" i="5" s="1"/>
  <c r="R90" i="5" s="1"/>
  <c r="L90" i="5"/>
  <c r="O89" i="5"/>
  <c r="M89" i="5"/>
  <c r="Q89" i="5" s="1"/>
  <c r="R89" i="5" s="1"/>
  <c r="L89" i="5"/>
  <c r="O88" i="5"/>
  <c r="M88" i="5"/>
  <c r="Q88" i="5" s="1"/>
  <c r="R88" i="5" s="1"/>
  <c r="L88" i="5"/>
  <c r="O87" i="5"/>
  <c r="M87" i="5"/>
  <c r="Q87" i="5" s="1"/>
  <c r="R87" i="5" s="1"/>
  <c r="L87" i="5"/>
  <c r="O86" i="5"/>
  <c r="M86" i="5"/>
  <c r="Q86" i="5" s="1"/>
  <c r="R86" i="5" s="1"/>
  <c r="L86" i="5"/>
  <c r="O85" i="5"/>
  <c r="M85" i="5"/>
  <c r="Q85" i="5" s="1"/>
  <c r="R85" i="5" s="1"/>
  <c r="L85" i="5"/>
  <c r="O84" i="5"/>
  <c r="M84" i="5"/>
  <c r="Q84" i="5" s="1"/>
  <c r="R84" i="5" s="1"/>
  <c r="L84" i="5"/>
  <c r="O83" i="5"/>
  <c r="M83" i="5"/>
  <c r="Q83" i="5" s="1"/>
  <c r="R83" i="5" s="1"/>
  <c r="L83" i="5"/>
  <c r="O82" i="5"/>
  <c r="M82" i="5"/>
  <c r="Q82" i="5" s="1"/>
  <c r="R82" i="5" s="1"/>
  <c r="L82" i="5"/>
  <c r="O81" i="5"/>
  <c r="M81" i="5"/>
  <c r="Q81" i="5" s="1"/>
  <c r="R81" i="5" s="1"/>
  <c r="L81" i="5"/>
  <c r="O80" i="5"/>
  <c r="M80" i="5"/>
  <c r="Q80" i="5" s="1"/>
  <c r="R80" i="5" s="1"/>
  <c r="L80" i="5"/>
  <c r="O79" i="5"/>
  <c r="M79" i="5"/>
  <c r="Q79" i="5" s="1"/>
  <c r="R79" i="5" s="1"/>
  <c r="L79" i="5"/>
  <c r="O78" i="5"/>
  <c r="M78" i="5"/>
  <c r="Q78" i="5" s="1"/>
  <c r="R78" i="5" s="1"/>
  <c r="L78" i="5"/>
  <c r="O77" i="5"/>
  <c r="M77" i="5"/>
  <c r="Q77" i="5" s="1"/>
  <c r="R77" i="5" s="1"/>
  <c r="L77" i="5"/>
  <c r="O76" i="5"/>
  <c r="M76" i="5"/>
  <c r="Q76" i="5" s="1"/>
  <c r="R76" i="5" s="1"/>
  <c r="L76" i="5"/>
  <c r="O75" i="5"/>
  <c r="M75" i="5"/>
  <c r="Q75" i="5" s="1"/>
  <c r="R75" i="5" s="1"/>
  <c r="L75" i="5"/>
  <c r="O74" i="5"/>
  <c r="M74" i="5"/>
  <c r="Q74" i="5" s="1"/>
  <c r="R74" i="5" s="1"/>
  <c r="L74" i="5"/>
  <c r="O73" i="5"/>
  <c r="M73" i="5"/>
  <c r="Q73" i="5" s="1"/>
  <c r="R73" i="5" s="1"/>
  <c r="L73" i="5"/>
  <c r="O72" i="5"/>
  <c r="M72" i="5"/>
  <c r="Q72" i="5" s="1"/>
  <c r="R72" i="5" s="1"/>
  <c r="L72" i="5"/>
  <c r="O71" i="5"/>
  <c r="M71" i="5"/>
  <c r="Q71" i="5" s="1"/>
  <c r="R71" i="5" s="1"/>
  <c r="L71" i="5"/>
  <c r="O70" i="5"/>
  <c r="M70" i="5"/>
  <c r="Q70" i="5" s="1"/>
  <c r="R70" i="5" s="1"/>
  <c r="L70" i="5"/>
  <c r="O69" i="5"/>
  <c r="M69" i="5"/>
  <c r="Q69" i="5" s="1"/>
  <c r="R69" i="5" s="1"/>
  <c r="L69" i="5"/>
  <c r="O68" i="5"/>
  <c r="M68" i="5"/>
  <c r="Q68" i="5" s="1"/>
  <c r="R68" i="5" s="1"/>
  <c r="L68" i="5"/>
  <c r="O67" i="5"/>
  <c r="M67" i="5"/>
  <c r="Q67" i="5" s="1"/>
  <c r="R67" i="5" s="1"/>
  <c r="L67" i="5"/>
  <c r="O66" i="5"/>
  <c r="M66" i="5"/>
  <c r="Q66" i="5" s="1"/>
  <c r="R66" i="5" s="1"/>
  <c r="L66" i="5"/>
  <c r="O65" i="5"/>
  <c r="M65" i="5"/>
  <c r="Q65" i="5" s="1"/>
  <c r="R65" i="5" s="1"/>
  <c r="L65" i="5"/>
  <c r="O64" i="5"/>
  <c r="M64" i="5"/>
  <c r="Q64" i="5" s="1"/>
  <c r="R64" i="5" s="1"/>
  <c r="L64" i="5"/>
  <c r="O63" i="5"/>
  <c r="M63" i="5"/>
  <c r="Q63" i="5" s="1"/>
  <c r="R63" i="5" s="1"/>
  <c r="L63" i="5"/>
  <c r="O62" i="5"/>
  <c r="M62" i="5"/>
  <c r="Q62" i="5" s="1"/>
  <c r="R62" i="5" s="1"/>
  <c r="L62" i="5"/>
  <c r="O61" i="5"/>
  <c r="M61" i="5"/>
  <c r="Q61" i="5" s="1"/>
  <c r="R61" i="5" s="1"/>
  <c r="L61" i="5"/>
  <c r="O60" i="5"/>
  <c r="M60" i="5"/>
  <c r="Q60" i="5" s="1"/>
  <c r="R60" i="5" s="1"/>
  <c r="L60" i="5"/>
  <c r="O59" i="5"/>
  <c r="M59" i="5"/>
  <c r="Q59" i="5" s="1"/>
  <c r="R59" i="5" s="1"/>
  <c r="L59" i="5"/>
  <c r="O58" i="5"/>
  <c r="M58" i="5"/>
  <c r="Q58" i="5" s="1"/>
  <c r="R58" i="5" s="1"/>
  <c r="L58" i="5"/>
  <c r="O57" i="5"/>
  <c r="M57" i="5"/>
  <c r="Q57" i="5" s="1"/>
  <c r="R57" i="5" s="1"/>
  <c r="L57" i="5"/>
  <c r="O56" i="5"/>
  <c r="M56" i="5"/>
  <c r="Q56" i="5" s="1"/>
  <c r="R56" i="5" s="1"/>
  <c r="L56" i="5"/>
  <c r="O55" i="5"/>
  <c r="M55" i="5"/>
  <c r="Q55" i="5" s="1"/>
  <c r="R55" i="5" s="1"/>
  <c r="L55" i="5"/>
  <c r="O54" i="5"/>
  <c r="M54" i="5"/>
  <c r="Q54" i="5" s="1"/>
  <c r="R54" i="5" s="1"/>
  <c r="L54" i="5"/>
  <c r="O53" i="5"/>
  <c r="L53" i="5"/>
  <c r="O52" i="5"/>
  <c r="L52" i="5"/>
  <c r="O51" i="5"/>
  <c r="L51" i="5"/>
  <c r="O50" i="5"/>
  <c r="L50" i="5"/>
  <c r="O49" i="5"/>
  <c r="L49" i="5"/>
  <c r="O48" i="5"/>
  <c r="L48" i="5"/>
  <c r="O47" i="5"/>
  <c r="L47" i="5"/>
  <c r="O46" i="5"/>
  <c r="L46" i="5"/>
  <c r="O45" i="5"/>
  <c r="L45" i="5"/>
  <c r="O44" i="5"/>
  <c r="L44" i="5"/>
  <c r="O43" i="5"/>
  <c r="O42" i="5"/>
  <c r="L42" i="5"/>
  <c r="O41" i="5"/>
  <c r="M41" i="5"/>
  <c r="Q41" i="5" s="1"/>
  <c r="R41" i="5" s="1"/>
  <c r="L41" i="5"/>
  <c r="O40" i="5"/>
  <c r="M40" i="5"/>
  <c r="Q40" i="5" s="1"/>
  <c r="R40" i="5" s="1"/>
  <c r="L40" i="5"/>
  <c r="O39" i="5"/>
  <c r="M39" i="5"/>
  <c r="Q39" i="5" s="1"/>
  <c r="R39" i="5" s="1"/>
  <c r="L39" i="5"/>
  <c r="O38" i="5"/>
  <c r="O37" i="5"/>
  <c r="O36" i="5"/>
  <c r="M36" i="5"/>
  <c r="Q36" i="5" s="1"/>
  <c r="R36" i="5" s="1"/>
  <c r="L36" i="5"/>
  <c r="O35" i="5"/>
  <c r="M35" i="5"/>
  <c r="Q35" i="5" s="1"/>
  <c r="R35" i="5" s="1"/>
  <c r="L35" i="5"/>
  <c r="O34" i="5"/>
  <c r="M34" i="5"/>
  <c r="Q34" i="5" s="1"/>
  <c r="R34" i="5" s="1"/>
  <c r="L34" i="5"/>
  <c r="O33" i="5"/>
  <c r="L33" i="5"/>
  <c r="O32" i="5"/>
  <c r="M32" i="5"/>
  <c r="Q32" i="5" s="1"/>
  <c r="R32" i="5" s="1"/>
  <c r="L32" i="5"/>
  <c r="O31" i="5"/>
  <c r="M31" i="5"/>
  <c r="Q31" i="5" s="1"/>
  <c r="R31" i="5" s="1"/>
  <c r="L31" i="5"/>
  <c r="O30" i="5"/>
  <c r="M30" i="5"/>
  <c r="Q30" i="5" s="1"/>
  <c r="R30" i="5" s="1"/>
  <c r="L30" i="5"/>
  <c r="O29" i="5"/>
  <c r="M29" i="5"/>
  <c r="Q29" i="5" s="1"/>
  <c r="R29" i="5" s="1"/>
  <c r="L29" i="5"/>
  <c r="O28" i="5"/>
  <c r="M28" i="5"/>
  <c r="Q28" i="5" s="1"/>
  <c r="R28" i="5" s="1"/>
  <c r="L28" i="5"/>
  <c r="O27" i="5"/>
  <c r="M27" i="5"/>
  <c r="Q27" i="5" s="1"/>
  <c r="R27" i="5" s="1"/>
  <c r="L27" i="5"/>
  <c r="O26" i="5"/>
  <c r="M26" i="5"/>
  <c r="Q26" i="5" s="1"/>
  <c r="R26" i="5" s="1"/>
  <c r="L26" i="5"/>
  <c r="O25" i="5"/>
  <c r="M25" i="5"/>
  <c r="Q25" i="5" s="1"/>
  <c r="R25" i="5" s="1"/>
  <c r="L25" i="5"/>
  <c r="O24" i="5"/>
  <c r="M24" i="5"/>
  <c r="Q24" i="5" s="1"/>
  <c r="R24" i="5" s="1"/>
  <c r="L24" i="5"/>
  <c r="O23" i="5"/>
  <c r="M23" i="5"/>
  <c r="Q23" i="5" s="1"/>
  <c r="R23" i="5" s="1"/>
  <c r="L23" i="5"/>
  <c r="O22" i="5"/>
  <c r="M22" i="5"/>
  <c r="Q22" i="5" s="1"/>
  <c r="R22" i="5" s="1"/>
  <c r="L22" i="5"/>
  <c r="O21" i="5"/>
  <c r="M21" i="5"/>
  <c r="Q21" i="5" s="1"/>
  <c r="R21" i="5" s="1"/>
  <c r="L21" i="5"/>
  <c r="O20" i="5"/>
  <c r="M20" i="5"/>
  <c r="Q20" i="5" s="1"/>
  <c r="R20" i="5" s="1"/>
  <c r="L20" i="5"/>
  <c r="O19" i="5"/>
  <c r="M19" i="5"/>
  <c r="Q19" i="5" s="1"/>
  <c r="R19" i="5" s="1"/>
  <c r="L19" i="5"/>
  <c r="O18" i="5"/>
  <c r="M18" i="5"/>
  <c r="Q18" i="5" s="1"/>
  <c r="R18" i="5" s="1"/>
  <c r="L18" i="5"/>
  <c r="O17" i="5"/>
  <c r="M17" i="5"/>
  <c r="Q17" i="5" s="1"/>
  <c r="R17" i="5" s="1"/>
  <c r="L17" i="5"/>
  <c r="O16" i="5"/>
  <c r="M16" i="5"/>
  <c r="Q16" i="5" s="1"/>
  <c r="R16" i="5" s="1"/>
  <c r="L16" i="5"/>
  <c r="O15" i="5"/>
  <c r="M15" i="5"/>
  <c r="Q15" i="5" s="1"/>
  <c r="R15" i="5" s="1"/>
  <c r="L15" i="5"/>
  <c r="O14" i="5"/>
  <c r="M14" i="5"/>
  <c r="Q14" i="5" s="1"/>
  <c r="R14" i="5" s="1"/>
  <c r="L14" i="5"/>
  <c r="O13" i="5"/>
  <c r="M13" i="5"/>
  <c r="Q13" i="5" s="1"/>
  <c r="R13" i="5" s="1"/>
  <c r="L13" i="5"/>
  <c r="O12" i="5"/>
  <c r="M12" i="5"/>
  <c r="Q12" i="5" s="1"/>
  <c r="R12" i="5" s="1"/>
  <c r="L12" i="5"/>
  <c r="O11" i="5"/>
  <c r="M11" i="5"/>
  <c r="Q11" i="5" s="1"/>
  <c r="R11" i="5" s="1"/>
  <c r="L11" i="5"/>
  <c r="O10" i="5"/>
  <c r="M10" i="5"/>
  <c r="Q10" i="5" s="1"/>
  <c r="R10" i="5" s="1"/>
  <c r="L10" i="5"/>
  <c r="O9" i="5"/>
  <c r="M9" i="5"/>
  <c r="Q9" i="5" s="1"/>
  <c r="R9" i="5" s="1"/>
  <c r="L9" i="5"/>
  <c r="O8" i="5"/>
  <c r="M8" i="5"/>
  <c r="Q8" i="5" s="1"/>
  <c r="R8" i="5" s="1"/>
  <c r="L8" i="5"/>
  <c r="O7" i="5"/>
  <c r="M7" i="5"/>
  <c r="Q7" i="5" s="1"/>
  <c r="R7" i="5" s="1"/>
  <c r="L7" i="5"/>
  <c r="O6" i="5"/>
  <c r="M6" i="5"/>
  <c r="Q6" i="5" s="1"/>
  <c r="R6" i="5" s="1"/>
  <c r="L6" i="5"/>
  <c r="O5" i="5"/>
  <c r="M5" i="5"/>
  <c r="L5" i="5"/>
  <c r="P3" i="5"/>
  <c r="G3" i="5"/>
  <c r="A3" i="5"/>
  <c r="G5" i="4"/>
  <c r="A5" i="4"/>
  <c r="N200" i="3"/>
  <c r="O200" i="3" s="1"/>
  <c r="N199" i="3"/>
  <c r="O199" i="3" s="1"/>
  <c r="N198" i="3"/>
  <c r="O198" i="3" s="1"/>
  <c r="N197" i="3"/>
  <c r="O197" i="3" s="1"/>
  <c r="N196" i="3"/>
  <c r="O196" i="3" s="1"/>
  <c r="N195" i="3"/>
  <c r="O195" i="3" s="1"/>
  <c r="N194" i="3"/>
  <c r="O194" i="3" s="1"/>
  <c r="N193" i="3"/>
  <c r="O193" i="3" s="1"/>
  <c r="N192" i="3"/>
  <c r="O192" i="3" s="1"/>
  <c r="N191" i="3"/>
  <c r="O191" i="3" s="1"/>
  <c r="N190" i="3"/>
  <c r="O190" i="3" s="1"/>
  <c r="N189" i="3"/>
  <c r="O189" i="3" s="1"/>
  <c r="N188" i="3"/>
  <c r="O188" i="3" s="1"/>
  <c r="N187" i="3"/>
  <c r="O187" i="3" s="1"/>
  <c r="N186" i="3"/>
  <c r="O186" i="3" s="1"/>
  <c r="N185" i="3"/>
  <c r="O185" i="3" s="1"/>
  <c r="N184" i="3"/>
  <c r="O184" i="3" s="1"/>
  <c r="N183" i="3"/>
  <c r="O183" i="3" s="1"/>
  <c r="N182" i="3"/>
  <c r="O182" i="3" s="1"/>
  <c r="N181" i="3"/>
  <c r="O181" i="3" s="1"/>
  <c r="N180" i="3"/>
  <c r="O180" i="3" s="1"/>
  <c r="N179" i="3"/>
  <c r="O179" i="3" s="1"/>
  <c r="N178" i="3"/>
  <c r="O178" i="3" s="1"/>
  <c r="N177" i="3"/>
  <c r="O177" i="3" s="1"/>
  <c r="N176" i="3"/>
  <c r="O176" i="3" s="1"/>
  <c r="N175" i="3"/>
  <c r="O175" i="3" s="1"/>
  <c r="N174" i="3"/>
  <c r="O174" i="3" s="1"/>
  <c r="N173" i="3"/>
  <c r="O173" i="3" s="1"/>
  <c r="N172" i="3"/>
  <c r="O172" i="3" s="1"/>
  <c r="N171" i="3"/>
  <c r="O171" i="3" s="1"/>
  <c r="N170" i="3"/>
  <c r="O170" i="3" s="1"/>
  <c r="N169" i="3"/>
  <c r="O169" i="3" s="1"/>
  <c r="N168" i="3"/>
  <c r="O168" i="3" s="1"/>
  <c r="N167" i="3"/>
  <c r="O167" i="3" s="1"/>
  <c r="N166" i="3"/>
  <c r="O166" i="3" s="1"/>
  <c r="N165" i="3"/>
  <c r="O165" i="3" s="1"/>
  <c r="N164" i="3"/>
  <c r="O164" i="3" s="1"/>
  <c r="N163" i="3"/>
  <c r="O163" i="3" s="1"/>
  <c r="N162" i="3"/>
  <c r="O162" i="3" s="1"/>
  <c r="N161" i="3"/>
  <c r="O161" i="3" s="1"/>
  <c r="N160" i="3"/>
  <c r="O160" i="3" s="1"/>
  <c r="N159" i="3"/>
  <c r="O159" i="3" s="1"/>
  <c r="N158" i="3"/>
  <c r="O158" i="3" s="1"/>
  <c r="N157" i="3"/>
  <c r="O157" i="3" s="1"/>
  <c r="N156" i="3"/>
  <c r="O156" i="3" s="1"/>
  <c r="N155" i="3"/>
  <c r="O155" i="3" s="1"/>
  <c r="N154" i="3"/>
  <c r="O154" i="3" s="1"/>
  <c r="N153" i="3"/>
  <c r="O153" i="3" s="1"/>
  <c r="N152" i="3"/>
  <c r="O152" i="3" s="1"/>
  <c r="N151" i="3"/>
  <c r="O151" i="3" s="1"/>
  <c r="N150" i="3"/>
  <c r="O150" i="3" s="1"/>
  <c r="N149" i="3"/>
  <c r="O149" i="3" s="1"/>
  <c r="N148" i="3"/>
  <c r="O148" i="3" s="1"/>
  <c r="N147" i="3"/>
  <c r="O147" i="3" s="1"/>
  <c r="N146" i="3"/>
  <c r="O146" i="3" s="1"/>
  <c r="N145" i="3"/>
  <c r="O145" i="3" s="1"/>
  <c r="N144" i="3"/>
  <c r="O144" i="3" s="1"/>
  <c r="N143" i="3"/>
  <c r="O143" i="3" s="1"/>
  <c r="N142" i="3"/>
  <c r="O142" i="3" s="1"/>
  <c r="N141" i="3"/>
  <c r="O141" i="3" s="1"/>
  <c r="N140" i="3"/>
  <c r="O140" i="3" s="1"/>
  <c r="N139" i="3"/>
  <c r="O139" i="3" s="1"/>
  <c r="N138" i="3"/>
  <c r="O138" i="3" s="1"/>
  <c r="N137" i="3"/>
  <c r="O137" i="3" s="1"/>
  <c r="N136" i="3"/>
  <c r="O136" i="3" s="1"/>
  <c r="N135" i="3"/>
  <c r="O135" i="3" s="1"/>
  <c r="N134" i="3"/>
  <c r="O134" i="3" s="1"/>
  <c r="N133" i="3"/>
  <c r="O133" i="3" s="1"/>
  <c r="N132" i="3"/>
  <c r="O132" i="3" s="1"/>
  <c r="N131" i="3"/>
  <c r="O131" i="3" s="1"/>
  <c r="N130" i="3"/>
  <c r="O130" i="3" s="1"/>
  <c r="N129" i="3"/>
  <c r="O129" i="3" s="1"/>
  <c r="N128" i="3"/>
  <c r="O128" i="3" s="1"/>
  <c r="N127" i="3"/>
  <c r="O127" i="3" s="1"/>
  <c r="N126" i="3"/>
  <c r="O126" i="3" s="1"/>
  <c r="N125" i="3"/>
  <c r="O125" i="3" s="1"/>
  <c r="N124" i="3"/>
  <c r="O124" i="3" s="1"/>
  <c r="N123" i="3"/>
  <c r="O123" i="3" s="1"/>
  <c r="N122" i="3"/>
  <c r="O122" i="3" s="1"/>
  <c r="N121" i="3"/>
  <c r="O121" i="3" s="1"/>
  <c r="N120" i="3"/>
  <c r="O120" i="3" s="1"/>
  <c r="N119" i="3"/>
  <c r="O119" i="3" s="1"/>
  <c r="N118" i="3"/>
  <c r="O118" i="3" s="1"/>
  <c r="N117" i="3"/>
  <c r="O117" i="3" s="1"/>
  <c r="N116" i="3"/>
  <c r="O116" i="3" s="1"/>
  <c r="N115" i="3"/>
  <c r="O115" i="3" s="1"/>
  <c r="N114" i="3"/>
  <c r="O114" i="3" s="1"/>
  <c r="N113" i="3"/>
  <c r="O113" i="3" s="1"/>
  <c r="N112" i="3"/>
  <c r="O112" i="3" s="1"/>
  <c r="N111" i="3"/>
  <c r="O111" i="3" s="1"/>
  <c r="N110" i="3"/>
  <c r="O110" i="3" s="1"/>
  <c r="N109" i="3"/>
  <c r="O109" i="3" s="1"/>
  <c r="N108" i="3"/>
  <c r="O108" i="3" s="1"/>
  <c r="N107" i="3"/>
  <c r="O107" i="3" s="1"/>
  <c r="N106" i="3"/>
  <c r="O106" i="3" s="1"/>
  <c r="N105" i="3"/>
  <c r="O105" i="3" s="1"/>
  <c r="N104" i="3"/>
  <c r="O104" i="3" s="1"/>
  <c r="N103" i="3"/>
  <c r="O103" i="3" s="1"/>
  <c r="N102" i="3"/>
  <c r="O102" i="3" s="1"/>
  <c r="N101" i="3"/>
  <c r="O101" i="3" s="1"/>
  <c r="N100" i="3"/>
  <c r="O100" i="3" s="1"/>
  <c r="N99" i="3"/>
  <c r="O99" i="3" s="1"/>
  <c r="N98" i="3"/>
  <c r="O98" i="3" s="1"/>
  <c r="N97" i="3"/>
  <c r="O97" i="3" s="1"/>
  <c r="N96" i="3"/>
  <c r="O96" i="3" s="1"/>
  <c r="N95" i="3"/>
  <c r="O95" i="3" s="1"/>
  <c r="N94" i="3"/>
  <c r="O94" i="3" s="1"/>
  <c r="N93" i="3"/>
  <c r="O93" i="3" s="1"/>
  <c r="N92" i="3"/>
  <c r="O92" i="3" s="1"/>
  <c r="N91" i="3"/>
  <c r="O91" i="3" s="1"/>
  <c r="N90" i="3"/>
  <c r="O90" i="3" s="1"/>
  <c r="N89" i="3"/>
  <c r="O89" i="3" s="1"/>
  <c r="N88" i="3"/>
  <c r="O88" i="3" s="1"/>
  <c r="N87" i="3"/>
  <c r="O87" i="3" s="1"/>
  <c r="N86" i="3"/>
  <c r="O86" i="3" s="1"/>
  <c r="N85" i="3"/>
  <c r="O85" i="3" s="1"/>
  <c r="N84" i="3"/>
  <c r="O84" i="3" s="1"/>
  <c r="N83" i="3"/>
  <c r="O83" i="3" s="1"/>
  <c r="N82" i="3"/>
  <c r="O82" i="3" s="1"/>
  <c r="N81" i="3"/>
  <c r="O81" i="3" s="1"/>
  <c r="N80" i="3"/>
  <c r="O80" i="3" s="1"/>
  <c r="N79" i="3"/>
  <c r="O79" i="3" s="1"/>
  <c r="N78" i="3"/>
  <c r="O78" i="3" s="1"/>
  <c r="N77" i="3"/>
  <c r="O77" i="3" s="1"/>
  <c r="N76" i="3"/>
  <c r="O76" i="3" s="1"/>
  <c r="N75" i="3"/>
  <c r="O75" i="3" s="1"/>
  <c r="N74" i="3"/>
  <c r="O74" i="3" s="1"/>
  <c r="N73" i="3"/>
  <c r="O73" i="3" s="1"/>
  <c r="N72" i="3"/>
  <c r="O72" i="3" s="1"/>
  <c r="N71" i="3"/>
  <c r="O71" i="3" s="1"/>
  <c r="N70" i="3"/>
  <c r="O70" i="3" s="1"/>
  <c r="N69" i="3"/>
  <c r="O69" i="3" s="1"/>
  <c r="N68" i="3"/>
  <c r="O68" i="3" s="1"/>
  <c r="N67" i="3"/>
  <c r="O67" i="3" s="1"/>
  <c r="N66" i="3"/>
  <c r="O66" i="3" s="1"/>
  <c r="N65" i="3"/>
  <c r="O65" i="3" s="1"/>
  <c r="N64" i="3"/>
  <c r="O64" i="3" s="1"/>
  <c r="N63" i="3"/>
  <c r="O63" i="3" s="1"/>
  <c r="N62" i="3"/>
  <c r="O62" i="3" s="1"/>
  <c r="N61" i="3"/>
  <c r="O61" i="3" s="1"/>
  <c r="N60" i="3"/>
  <c r="O60" i="3" s="1"/>
  <c r="N59" i="3"/>
  <c r="O59" i="3" s="1"/>
  <c r="N58" i="3"/>
  <c r="O58" i="3" s="1"/>
  <c r="N57" i="3"/>
  <c r="O57" i="3" s="1"/>
  <c r="N56" i="3"/>
  <c r="O56" i="3" s="1"/>
  <c r="N55" i="3"/>
  <c r="O55" i="3" s="1"/>
  <c r="N54" i="3"/>
  <c r="O54" i="3" s="1"/>
  <c r="N53" i="3"/>
  <c r="O53" i="3" s="1"/>
  <c r="N52" i="3"/>
  <c r="O52" i="3" s="1"/>
  <c r="N51" i="3"/>
  <c r="O51" i="3" s="1"/>
  <c r="N50" i="3"/>
  <c r="O50" i="3" s="1"/>
  <c r="N49" i="3"/>
  <c r="O49" i="3" s="1"/>
  <c r="N48" i="3"/>
  <c r="O48" i="3" s="1"/>
  <c r="N47" i="3"/>
  <c r="O47" i="3" s="1"/>
  <c r="N46" i="3"/>
  <c r="O46" i="3" s="1"/>
  <c r="N45" i="3"/>
  <c r="O45" i="3" s="1"/>
  <c r="N44" i="3"/>
  <c r="O44" i="3" s="1"/>
  <c r="N43" i="3"/>
  <c r="O43" i="3" s="1"/>
  <c r="N42" i="3"/>
  <c r="O42" i="3" s="1"/>
  <c r="N41" i="3"/>
  <c r="O41" i="3" s="1"/>
  <c r="N40" i="3"/>
  <c r="O40" i="3" s="1"/>
  <c r="N39" i="3"/>
  <c r="O39" i="3" s="1"/>
  <c r="N38" i="3"/>
  <c r="O38" i="3" s="1"/>
  <c r="N37" i="3"/>
  <c r="O37" i="3" s="1"/>
  <c r="N36" i="3"/>
  <c r="O36" i="3" s="1"/>
  <c r="N35" i="3"/>
  <c r="O35" i="3" s="1"/>
  <c r="N34" i="3"/>
  <c r="O34" i="3" s="1"/>
  <c r="N33" i="3"/>
  <c r="O33" i="3" s="1"/>
  <c r="N32" i="3"/>
  <c r="O32" i="3" s="1"/>
  <c r="N31" i="3"/>
  <c r="O31" i="3" s="1"/>
  <c r="N30" i="3"/>
  <c r="O30" i="3" s="1"/>
  <c r="N29" i="3"/>
  <c r="O29" i="3" s="1"/>
  <c r="N28" i="3"/>
  <c r="O28" i="3" s="1"/>
  <c r="N27" i="3"/>
  <c r="N26" i="3"/>
  <c r="O26" i="3" s="1"/>
  <c r="N25" i="3"/>
  <c r="O25" i="3" s="1"/>
  <c r="N24" i="3"/>
  <c r="N23" i="3"/>
  <c r="O23" i="3" s="1"/>
  <c r="N22" i="3"/>
  <c r="O22" i="3" s="1"/>
  <c r="N21" i="3"/>
  <c r="O21" i="3" s="1"/>
  <c r="N20" i="3"/>
  <c r="O20" i="3" s="1"/>
  <c r="N19" i="3"/>
  <c r="O19" i="3" s="1"/>
  <c r="N18" i="3"/>
  <c r="O18" i="3" s="1"/>
  <c r="N17" i="3"/>
  <c r="O17" i="3" s="1"/>
  <c r="N16" i="3"/>
  <c r="O16" i="3" s="1"/>
  <c r="N15" i="3"/>
  <c r="O15" i="3" s="1"/>
  <c r="N14" i="3"/>
  <c r="N13" i="3"/>
  <c r="O13" i="3" s="1"/>
  <c r="N12" i="3"/>
  <c r="O12" i="3" s="1"/>
  <c r="N11" i="3"/>
  <c r="O11" i="3" s="1"/>
  <c r="N10" i="3"/>
  <c r="O10" i="3" s="1"/>
  <c r="N9" i="3"/>
  <c r="O9" i="3" s="1"/>
  <c r="N8" i="3"/>
  <c r="O8" i="3" s="1"/>
  <c r="N7" i="3"/>
  <c r="O7" i="3" s="1"/>
  <c r="N6" i="3"/>
  <c r="N5" i="3"/>
  <c r="O5" i="3" s="1"/>
  <c r="N4" i="3"/>
  <c r="N3" i="3"/>
  <c r="O3" i="3" s="1"/>
  <c r="C36" i="2"/>
  <c r="B36" i="2"/>
  <c r="A35" i="2"/>
  <c r="G34" i="2"/>
  <c r="F34" i="2"/>
  <c r="A34" i="2"/>
  <c r="G33" i="2"/>
  <c r="F33" i="2"/>
  <c r="A33" i="2"/>
  <c r="G32" i="2"/>
  <c r="F32" i="2"/>
  <c r="A32" i="2"/>
  <c r="A25" i="2"/>
  <c r="A24" i="2"/>
  <c r="H23" i="2"/>
  <c r="G23" i="2"/>
  <c r="F23" i="2"/>
  <c r="E23" i="2"/>
  <c r="D23" i="2"/>
  <c r="C23" i="2"/>
  <c r="A23" i="2"/>
  <c r="B23" i="2" s="1"/>
  <c r="A22" i="2"/>
  <c r="A21" i="2"/>
  <c r="A20" i="2"/>
  <c r="A19" i="2"/>
  <c r="A18" i="2"/>
  <c r="A17" i="2"/>
  <c r="A16" i="2"/>
  <c r="A15" i="2"/>
  <c r="A14" i="2"/>
  <c r="A13" i="2"/>
  <c r="A12" i="2"/>
  <c r="A11" i="2"/>
  <c r="F6" i="2"/>
  <c r="E6" i="2"/>
  <c r="D6" i="2"/>
  <c r="C6" i="2"/>
  <c r="B6" i="2"/>
  <c r="A6" i="2"/>
  <c r="O6" i="3" l="1"/>
  <c r="O14" i="3"/>
  <c r="O24" i="3"/>
  <c r="O4" i="3"/>
  <c r="N163" i="5" s="1"/>
  <c r="Q5" i="5"/>
  <c r="P5" i="5"/>
  <c r="P4" i="5"/>
  <c r="O27" i="3"/>
  <c r="A45" i="4"/>
  <c r="N183" i="5"/>
  <c r="N184" i="5"/>
  <c r="N192" i="5"/>
  <c r="B35" i="2"/>
  <c r="C35" i="2"/>
  <c r="B34" i="2"/>
  <c r="C34" i="2"/>
  <c r="C33" i="2"/>
  <c r="B33" i="2"/>
  <c r="C32" i="2"/>
  <c r="B32" i="2"/>
  <c r="C25" i="2"/>
  <c r="B25" i="2"/>
  <c r="D25" i="2"/>
  <c r="H25" i="2"/>
  <c r="G25" i="2"/>
  <c r="F25" i="2"/>
  <c r="E25" i="2"/>
  <c r="F24" i="2"/>
  <c r="G24" i="2"/>
  <c r="H24" i="2"/>
  <c r="C24" i="2"/>
  <c r="B24" i="2"/>
  <c r="E24" i="2"/>
  <c r="D24" i="2"/>
  <c r="G22" i="2"/>
  <c r="F22" i="2"/>
  <c r="E22" i="2"/>
  <c r="D22" i="2"/>
  <c r="C22" i="2"/>
  <c r="B22" i="2"/>
  <c r="H22" i="2"/>
  <c r="C21" i="2"/>
  <c r="D21" i="2"/>
  <c r="E21" i="2"/>
  <c r="F21" i="2"/>
  <c r="G21" i="2"/>
  <c r="B21" i="2"/>
  <c r="H21" i="2"/>
  <c r="G20" i="2"/>
  <c r="D20" i="2"/>
  <c r="E20" i="2"/>
  <c r="F20" i="2"/>
  <c r="H20" i="2"/>
  <c r="C20" i="2"/>
  <c r="B20" i="2"/>
  <c r="G19" i="2"/>
  <c r="F19" i="2"/>
  <c r="E19" i="2"/>
  <c r="D19" i="2"/>
  <c r="C19" i="2"/>
  <c r="B19" i="2"/>
  <c r="H19" i="2"/>
  <c r="D18" i="2"/>
  <c r="C18" i="2"/>
  <c r="B18" i="2"/>
  <c r="H18" i="2"/>
  <c r="G18" i="2"/>
  <c r="F18" i="2"/>
  <c r="E18" i="2"/>
  <c r="B17" i="2"/>
  <c r="C17" i="2"/>
  <c r="E17" i="2"/>
  <c r="D17" i="2"/>
  <c r="F17" i="2"/>
  <c r="G17" i="2"/>
  <c r="H17" i="2" s="1"/>
  <c r="D16" i="2"/>
  <c r="E16" i="2"/>
  <c r="F16" i="2"/>
  <c r="G16" i="2"/>
  <c r="C16" i="2"/>
  <c r="B16" i="2"/>
  <c r="G15" i="2"/>
  <c r="F15" i="2"/>
  <c r="D15" i="2"/>
  <c r="C15" i="2"/>
  <c r="B15" i="2"/>
  <c r="E15" i="2"/>
  <c r="H15" i="2" s="1"/>
  <c r="G14" i="2"/>
  <c r="F14" i="2"/>
  <c r="E14" i="2"/>
  <c r="D14" i="2"/>
  <c r="C14" i="2"/>
  <c r="B14" i="2"/>
  <c r="H14" i="2"/>
  <c r="G13" i="2"/>
  <c r="F13" i="2"/>
  <c r="E13" i="2"/>
  <c r="H13" i="2" s="1"/>
  <c r="D13" i="2"/>
  <c r="C13" i="2"/>
  <c r="B13" i="2"/>
  <c r="C12" i="2"/>
  <c r="G12" i="2"/>
  <c r="F12" i="2"/>
  <c r="E12" i="2"/>
  <c r="H12" i="2" s="1"/>
  <c r="D12" i="2"/>
  <c r="B12" i="2"/>
  <c r="G11" i="2"/>
  <c r="F11" i="2"/>
  <c r="D11" i="2"/>
  <c r="C11" i="2"/>
  <c r="B11" i="2"/>
  <c r="E11" i="2"/>
  <c r="H11" i="2" s="1"/>
  <c r="M52" i="5" l="1"/>
  <c r="Q52" i="5" s="1"/>
  <c r="M53" i="5"/>
  <c r="Q53" i="5" s="1"/>
  <c r="R53" i="5" s="1"/>
  <c r="M50" i="5"/>
  <c r="Q50" i="5" s="1"/>
  <c r="R50" i="5" s="1"/>
  <c r="M51" i="5"/>
  <c r="Q51" i="5" s="1"/>
  <c r="R51" i="5" s="1"/>
  <c r="M47" i="5"/>
  <c r="Q47" i="5" s="1"/>
  <c r="M49" i="5"/>
  <c r="Q49" i="5" s="1"/>
  <c r="R49" i="5" s="1"/>
  <c r="M45" i="5"/>
  <c r="Q45" i="5" s="1"/>
  <c r="R45" i="5" s="1"/>
  <c r="N168" i="5"/>
  <c r="A168" i="5" s="1"/>
  <c r="N176" i="5"/>
  <c r="B176" i="5" s="1"/>
  <c r="N162" i="5"/>
  <c r="B162" i="5" s="1"/>
  <c r="N182" i="5"/>
  <c r="B182" i="5" s="1"/>
  <c r="N193" i="5"/>
  <c r="J193" i="5" s="1"/>
  <c r="N166" i="5"/>
  <c r="B166" i="5" s="1"/>
  <c r="N161" i="5"/>
  <c r="C161" i="5" s="1"/>
  <c r="N177" i="5"/>
  <c r="A177" i="5" s="1"/>
  <c r="N167" i="5"/>
  <c r="K167" i="5" s="1"/>
  <c r="N164" i="5"/>
  <c r="K164" i="5" s="1"/>
  <c r="N191" i="5"/>
  <c r="B191" i="5" s="1"/>
  <c r="N188" i="5"/>
  <c r="N165" i="5"/>
  <c r="J165" i="5" s="1"/>
  <c r="N186" i="5"/>
  <c r="A186" i="5" s="1"/>
  <c r="N185" i="5"/>
  <c r="K185" i="5" s="1"/>
  <c r="M48" i="5"/>
  <c r="Q48" i="5" s="1"/>
  <c r="R48" i="5" s="1"/>
  <c r="M33" i="5"/>
  <c r="Q33" i="5" s="1"/>
  <c r="H16" i="2"/>
  <c r="M46" i="5"/>
  <c r="Q46" i="5" s="1"/>
  <c r="R46" i="5" s="1"/>
  <c r="M44" i="5"/>
  <c r="Q44" i="5" s="1"/>
  <c r="R44" i="5" s="1"/>
  <c r="M38" i="5"/>
  <c r="Q38" i="5" s="1"/>
  <c r="M43" i="5"/>
  <c r="Q43" i="5" s="1"/>
  <c r="R43" i="5" s="1"/>
  <c r="M42" i="5"/>
  <c r="Q42" i="5" s="1"/>
  <c r="R42" i="5" s="1"/>
  <c r="C5" i="4"/>
  <c r="B3" i="5"/>
  <c r="B5" i="4"/>
  <c r="R5" i="5"/>
  <c r="C162" i="5"/>
  <c r="B163" i="5"/>
  <c r="J163" i="5"/>
  <c r="A163" i="5"/>
  <c r="C163" i="5"/>
  <c r="K163" i="5"/>
  <c r="A164" i="5"/>
  <c r="C164" i="5"/>
  <c r="B164" i="5"/>
  <c r="J164" i="5"/>
  <c r="B165" i="5"/>
  <c r="A167" i="5"/>
  <c r="B167" i="5"/>
  <c r="C167" i="5"/>
  <c r="J167" i="5"/>
  <c r="A176" i="5"/>
  <c r="C176" i="5"/>
  <c r="B177" i="5"/>
  <c r="C177" i="5"/>
  <c r="J177" i="5"/>
  <c r="K177" i="5"/>
  <c r="J166" i="5"/>
  <c r="A166" i="5"/>
  <c r="C166" i="5"/>
  <c r="K166" i="5"/>
  <c r="K168" i="5"/>
  <c r="B168" i="5"/>
  <c r="J182" i="5"/>
  <c r="K182" i="5"/>
  <c r="A183" i="5"/>
  <c r="B183" i="5"/>
  <c r="C183" i="5"/>
  <c r="J183" i="5"/>
  <c r="K183" i="5"/>
  <c r="A184" i="5"/>
  <c r="B184" i="5"/>
  <c r="C184" i="5"/>
  <c r="J184" i="5"/>
  <c r="K184" i="5"/>
  <c r="A185" i="5"/>
  <c r="B185" i="5"/>
  <c r="C185" i="5"/>
  <c r="J185" i="5"/>
  <c r="A188" i="5"/>
  <c r="B188" i="5"/>
  <c r="C188" i="5"/>
  <c r="J188" i="5"/>
  <c r="K188" i="5"/>
  <c r="A191" i="5"/>
  <c r="K191" i="5"/>
  <c r="A192" i="5"/>
  <c r="B192" i="5"/>
  <c r="C192" i="5"/>
  <c r="J192" i="5"/>
  <c r="K192" i="5"/>
  <c r="A193" i="5"/>
  <c r="B193" i="5"/>
  <c r="C193" i="5"/>
  <c r="G26" i="2"/>
  <c r="G27" i="2"/>
  <c r="F26" i="2"/>
  <c r="F27" i="2"/>
  <c r="D26" i="2"/>
  <c r="D27" i="2" s="1"/>
  <c r="C26" i="2"/>
  <c r="C27" i="2" s="1"/>
  <c r="B26" i="2"/>
  <c r="B27" i="2" s="1"/>
  <c r="E26" i="2"/>
  <c r="C3" i="5"/>
  <c r="M37" i="5"/>
  <c r="N171" i="5"/>
  <c r="N172" i="5"/>
  <c r="N169" i="5"/>
  <c r="N170" i="5"/>
  <c r="N173" i="5"/>
  <c r="N174" i="5"/>
  <c r="N175" i="5"/>
  <c r="N178" i="5"/>
  <c r="N179" i="5"/>
  <c r="N180" i="5"/>
  <c r="N181" i="5"/>
  <c r="N187" i="5"/>
  <c r="N189" i="5"/>
  <c r="N190" i="5"/>
  <c r="N194" i="5"/>
  <c r="N195" i="5"/>
  <c r="N196" i="5"/>
  <c r="N197" i="5"/>
  <c r="N198" i="5"/>
  <c r="N199" i="5"/>
  <c r="N200" i="5"/>
  <c r="R47" i="5" l="1"/>
  <c r="K162" i="5"/>
  <c r="J162" i="5"/>
  <c r="A162" i="5"/>
  <c r="K186" i="5"/>
  <c r="K161" i="5"/>
  <c r="B186" i="5"/>
  <c r="M186" i="5" s="1"/>
  <c r="Q186" i="5" s="1"/>
  <c r="R186" i="5" s="1"/>
  <c r="C186" i="5"/>
  <c r="A165" i="5"/>
  <c r="K176" i="5"/>
  <c r="J176" i="5"/>
  <c r="A182" i="5"/>
  <c r="B161" i="5"/>
  <c r="M161" i="5" s="1"/>
  <c r="J186" i="5"/>
  <c r="J168" i="5"/>
  <c r="C182" i="5"/>
  <c r="J191" i="5"/>
  <c r="K193" i="5"/>
  <c r="C191" i="5"/>
  <c r="C168" i="5"/>
  <c r="K165" i="5"/>
  <c r="C165" i="5"/>
  <c r="J161" i="5"/>
  <c r="A161" i="5"/>
  <c r="R33" i="5"/>
  <c r="M162" i="5"/>
  <c r="Q162" i="5" s="1"/>
  <c r="R162" i="5" s="1"/>
  <c r="O162" i="5"/>
  <c r="M163" i="5"/>
  <c r="Q163" i="5" s="1"/>
  <c r="R163" i="5" s="1"/>
  <c r="O163" i="5"/>
  <c r="M164" i="5"/>
  <c r="Q164" i="5" s="1"/>
  <c r="R164" i="5" s="1"/>
  <c r="O164" i="5"/>
  <c r="M165" i="5"/>
  <c r="Q165" i="5" s="1"/>
  <c r="R165" i="5" s="1"/>
  <c r="O165" i="5"/>
  <c r="M167" i="5"/>
  <c r="Q167" i="5" s="1"/>
  <c r="R167" i="5" s="1"/>
  <c r="O167" i="5"/>
  <c r="M176" i="5"/>
  <c r="Q176" i="5" s="1"/>
  <c r="R176" i="5" s="1"/>
  <c r="O176" i="5"/>
  <c r="M177" i="5"/>
  <c r="Q177" i="5" s="1"/>
  <c r="R177" i="5" s="1"/>
  <c r="O177" i="5"/>
  <c r="M166" i="5"/>
  <c r="Q166" i="5" s="1"/>
  <c r="R166" i="5" s="1"/>
  <c r="O166" i="5"/>
  <c r="O168" i="5"/>
  <c r="M168" i="5"/>
  <c r="M182" i="5"/>
  <c r="Q182" i="5" s="1"/>
  <c r="R182" i="5" s="1"/>
  <c r="O182" i="5"/>
  <c r="M183" i="5"/>
  <c r="Q183" i="5" s="1"/>
  <c r="R183" i="5" s="1"/>
  <c r="O183" i="5"/>
  <c r="M184" i="5"/>
  <c r="Q184" i="5" s="1"/>
  <c r="R184" i="5" s="1"/>
  <c r="O184" i="5"/>
  <c r="M185" i="5"/>
  <c r="Q185" i="5" s="1"/>
  <c r="R185" i="5" s="1"/>
  <c r="O185" i="5"/>
  <c r="M188" i="5"/>
  <c r="Q188" i="5" s="1"/>
  <c r="R188" i="5" s="1"/>
  <c r="O188" i="5"/>
  <c r="M191" i="5"/>
  <c r="Q191" i="5" s="1"/>
  <c r="R191" i="5" s="1"/>
  <c r="O191" i="5"/>
  <c r="M192" i="5"/>
  <c r="Q192" i="5" s="1"/>
  <c r="R192" i="5" s="1"/>
  <c r="O192" i="5"/>
  <c r="M193" i="5"/>
  <c r="Q193" i="5" s="1"/>
  <c r="R193" i="5" s="1"/>
  <c r="O193" i="5"/>
  <c r="Q37" i="5"/>
  <c r="K171" i="5"/>
  <c r="J171" i="5"/>
  <c r="C171" i="5"/>
  <c r="B171" i="5"/>
  <c r="A171" i="5"/>
  <c r="K172" i="5"/>
  <c r="C172" i="5"/>
  <c r="J172" i="5"/>
  <c r="B172" i="5"/>
  <c r="A172" i="5"/>
  <c r="K169" i="5"/>
  <c r="J169" i="5"/>
  <c r="C169" i="5"/>
  <c r="B169" i="5"/>
  <c r="A169" i="5"/>
  <c r="K170" i="5"/>
  <c r="J170" i="5"/>
  <c r="C170" i="5"/>
  <c r="B170" i="5"/>
  <c r="A170" i="5"/>
  <c r="K173" i="5"/>
  <c r="J173" i="5"/>
  <c r="C173" i="5"/>
  <c r="B173" i="5"/>
  <c r="A173" i="5"/>
  <c r="K174" i="5"/>
  <c r="J174" i="5"/>
  <c r="C174" i="5"/>
  <c r="B174" i="5"/>
  <c r="A174" i="5"/>
  <c r="K175" i="5"/>
  <c r="J175" i="5"/>
  <c r="C175" i="5"/>
  <c r="B175" i="5"/>
  <c r="A175" i="5"/>
  <c r="K178" i="5"/>
  <c r="J178" i="5"/>
  <c r="C178" i="5"/>
  <c r="B178" i="5"/>
  <c r="A178" i="5"/>
  <c r="K179" i="5"/>
  <c r="J179" i="5"/>
  <c r="C179" i="5"/>
  <c r="B179" i="5"/>
  <c r="A179" i="5"/>
  <c r="K180" i="5"/>
  <c r="J180" i="5"/>
  <c r="C180" i="5"/>
  <c r="B180" i="5"/>
  <c r="A180" i="5"/>
  <c r="K181" i="5"/>
  <c r="J181" i="5"/>
  <c r="C181" i="5"/>
  <c r="B181" i="5"/>
  <c r="A181" i="5"/>
  <c r="K187" i="5"/>
  <c r="J187" i="5"/>
  <c r="C187" i="5"/>
  <c r="B187" i="5"/>
  <c r="A187" i="5"/>
  <c r="K189" i="5"/>
  <c r="J189" i="5"/>
  <c r="C189" i="5"/>
  <c r="B189" i="5"/>
  <c r="A189" i="5"/>
  <c r="K190" i="5"/>
  <c r="J190" i="5"/>
  <c r="C190" i="5"/>
  <c r="B190" i="5"/>
  <c r="A190" i="5"/>
  <c r="K194" i="5"/>
  <c r="J194" i="5"/>
  <c r="C194" i="5"/>
  <c r="B194" i="5"/>
  <c r="A194" i="5"/>
  <c r="K195" i="5"/>
  <c r="J195" i="5"/>
  <c r="C195" i="5"/>
  <c r="B195" i="5"/>
  <c r="A195" i="5"/>
  <c r="K196" i="5"/>
  <c r="J196" i="5"/>
  <c r="C196" i="5"/>
  <c r="B196" i="5"/>
  <c r="A196" i="5"/>
  <c r="K197" i="5"/>
  <c r="J197" i="5"/>
  <c r="C197" i="5"/>
  <c r="B197" i="5"/>
  <c r="A197" i="5"/>
  <c r="K198" i="5"/>
  <c r="J198" i="5"/>
  <c r="C198" i="5"/>
  <c r="B198" i="5"/>
  <c r="A198" i="5"/>
  <c r="K199" i="5"/>
  <c r="J199" i="5"/>
  <c r="C199" i="5"/>
  <c r="B199" i="5"/>
  <c r="A199" i="5"/>
  <c r="K200" i="5"/>
  <c r="J200" i="5"/>
  <c r="C200" i="5"/>
  <c r="B200" i="5"/>
  <c r="A200" i="5"/>
  <c r="H26" i="2"/>
  <c r="H27" i="2" s="1"/>
  <c r="E27" i="2"/>
  <c r="R38" i="5" l="1"/>
  <c r="R52" i="5"/>
  <c r="O186" i="5"/>
  <c r="O161" i="5"/>
  <c r="Q161" i="5"/>
  <c r="R161" i="5" s="1"/>
  <c r="R37" i="5"/>
  <c r="M171" i="5"/>
  <c r="Q171" i="5" s="1"/>
  <c r="R171" i="5" s="1"/>
  <c r="O171" i="5"/>
  <c r="M172" i="5"/>
  <c r="Q172" i="5" s="1"/>
  <c r="R172" i="5" s="1"/>
  <c r="O172" i="5"/>
  <c r="M169" i="5"/>
  <c r="O169" i="5"/>
  <c r="M170" i="5"/>
  <c r="Q170" i="5" s="1"/>
  <c r="R170" i="5" s="1"/>
  <c r="O170" i="5"/>
  <c r="M173" i="5"/>
  <c r="Q173" i="5" s="1"/>
  <c r="R173" i="5" s="1"/>
  <c r="O173" i="5"/>
  <c r="M174" i="5"/>
  <c r="Q174" i="5" s="1"/>
  <c r="R174" i="5" s="1"/>
  <c r="O174" i="5"/>
  <c r="M175" i="5"/>
  <c r="Q175" i="5" s="1"/>
  <c r="R175" i="5" s="1"/>
  <c r="O175" i="5"/>
  <c r="M178" i="5"/>
  <c r="Q178" i="5" s="1"/>
  <c r="R178" i="5" s="1"/>
  <c r="O178" i="5"/>
  <c r="M179" i="5"/>
  <c r="Q179" i="5" s="1"/>
  <c r="R179" i="5" s="1"/>
  <c r="O179" i="5"/>
  <c r="M180" i="5"/>
  <c r="Q180" i="5" s="1"/>
  <c r="R180" i="5" s="1"/>
  <c r="O180" i="5"/>
  <c r="M181" i="5"/>
  <c r="Q181" i="5" s="1"/>
  <c r="R181" i="5" s="1"/>
  <c r="O181" i="5"/>
  <c r="M187" i="5"/>
  <c r="Q187" i="5" s="1"/>
  <c r="R187" i="5" s="1"/>
  <c r="O187" i="5"/>
  <c r="M189" i="5"/>
  <c r="Q189" i="5" s="1"/>
  <c r="R189" i="5" s="1"/>
  <c r="O189" i="5"/>
  <c r="M190" i="5"/>
  <c r="Q190" i="5" s="1"/>
  <c r="R190" i="5" s="1"/>
  <c r="O190" i="5"/>
  <c r="M194" i="5"/>
  <c r="Q194" i="5" s="1"/>
  <c r="R194" i="5" s="1"/>
  <c r="O194" i="5"/>
  <c r="M195" i="5"/>
  <c r="Q195" i="5" s="1"/>
  <c r="R195" i="5" s="1"/>
  <c r="O195" i="5"/>
  <c r="M196" i="5"/>
  <c r="Q196" i="5" s="1"/>
  <c r="R196" i="5" s="1"/>
  <c r="O196" i="5"/>
  <c r="M197" i="5"/>
  <c r="Q197" i="5" s="1"/>
  <c r="R197" i="5" s="1"/>
  <c r="O197" i="5"/>
  <c r="M198" i="5"/>
  <c r="Q198" i="5" s="1"/>
  <c r="R198" i="5" s="1"/>
  <c r="O198" i="5"/>
  <c r="M199" i="5"/>
  <c r="Q199" i="5" s="1"/>
  <c r="R199" i="5" s="1"/>
  <c r="O199" i="5"/>
  <c r="M200" i="5"/>
  <c r="Q200" i="5" s="1"/>
  <c r="R200" i="5" s="1"/>
  <c r="O200" i="5"/>
  <c r="Q168" i="5"/>
  <c r="R168" i="5" s="1"/>
  <c r="P37" i="4" l="1"/>
  <c r="C37" i="4" s="1"/>
  <c r="A43" i="4"/>
  <c r="P38" i="4"/>
  <c r="A38" i="4" s="1"/>
  <c r="P41" i="4"/>
  <c r="E41" i="4" s="1"/>
  <c r="D5" i="4"/>
  <c r="Q169" i="5"/>
  <c r="E5" i="4"/>
  <c r="F3" i="5"/>
  <c r="E3" i="5"/>
  <c r="D3" i="5"/>
  <c r="F5" i="4"/>
  <c r="P23" i="4"/>
  <c r="P42" i="4"/>
  <c r="P31" i="4"/>
  <c r="P29" i="4"/>
  <c r="P26" i="4"/>
  <c r="P24" i="4"/>
  <c r="P34" i="4"/>
  <c r="P35" i="4"/>
  <c r="H3" i="5"/>
  <c r="H5" i="4"/>
  <c r="P33" i="4"/>
  <c r="P30" i="4"/>
  <c r="P40" i="4"/>
  <c r="P28" i="4"/>
  <c r="P32" i="4"/>
  <c r="P25" i="4"/>
  <c r="D25" i="4" s="1"/>
  <c r="P27" i="4"/>
  <c r="P36" i="4"/>
  <c r="P39" i="4"/>
  <c r="D37" i="4" l="1"/>
  <c r="A41" i="4"/>
  <c r="H41" i="4"/>
  <c r="G41" i="4"/>
  <c r="F41" i="4"/>
  <c r="C41" i="4"/>
  <c r="B41" i="4"/>
  <c r="E37" i="4"/>
  <c r="D41" i="4"/>
  <c r="H37" i="4"/>
  <c r="A37" i="4"/>
  <c r="D38" i="4"/>
  <c r="F37" i="4"/>
  <c r="B38" i="4"/>
  <c r="B37" i="4"/>
  <c r="H38" i="4"/>
  <c r="G37" i="4"/>
  <c r="G38" i="4"/>
  <c r="F38" i="4"/>
  <c r="C38" i="4"/>
  <c r="E38" i="4"/>
  <c r="A19" i="4"/>
  <c r="R169" i="5"/>
  <c r="P9" i="4" s="1"/>
  <c r="A23" i="4"/>
  <c r="B23" i="4"/>
  <c r="C23" i="4"/>
  <c r="D23" i="4"/>
  <c r="E23" i="4"/>
  <c r="F23" i="4"/>
  <c r="G23" i="4"/>
  <c r="H23" i="4"/>
  <c r="H42" i="4"/>
  <c r="F42" i="4"/>
  <c r="D42" i="4"/>
  <c r="B42" i="4"/>
  <c r="G42" i="4"/>
  <c r="E42" i="4"/>
  <c r="C42" i="4"/>
  <c r="A42" i="4"/>
  <c r="F31" i="4"/>
  <c r="H31" i="4"/>
  <c r="E31" i="4"/>
  <c r="A31" i="4"/>
  <c r="G31" i="4"/>
  <c r="D31" i="4"/>
  <c r="B31" i="4"/>
  <c r="C31" i="4"/>
  <c r="A29" i="4"/>
  <c r="B29" i="4"/>
  <c r="C29" i="4"/>
  <c r="D29" i="4"/>
  <c r="E29" i="4"/>
  <c r="F29" i="4"/>
  <c r="G29" i="4"/>
  <c r="H29" i="4"/>
  <c r="A26" i="4"/>
  <c r="B26" i="4"/>
  <c r="C26" i="4"/>
  <c r="D26" i="4"/>
  <c r="E26" i="4"/>
  <c r="F26" i="4"/>
  <c r="G26" i="4"/>
  <c r="H26" i="4"/>
  <c r="A24" i="4"/>
  <c r="B24" i="4"/>
  <c r="C24" i="4"/>
  <c r="D24" i="4"/>
  <c r="E24" i="4"/>
  <c r="F24" i="4"/>
  <c r="G24" i="4"/>
  <c r="H24" i="4"/>
  <c r="G34" i="4"/>
  <c r="D34" i="4"/>
  <c r="B34" i="4"/>
  <c r="H34" i="4"/>
  <c r="F34" i="4"/>
  <c r="E34" i="4"/>
  <c r="C34" i="4"/>
  <c r="A34" i="4"/>
  <c r="F35" i="4"/>
  <c r="G35" i="4"/>
  <c r="E35" i="4"/>
  <c r="C35" i="4"/>
  <c r="A35" i="4"/>
  <c r="H35" i="4"/>
  <c r="D35" i="4"/>
  <c r="B35" i="4"/>
  <c r="G33" i="4"/>
  <c r="D33" i="4"/>
  <c r="B33" i="4"/>
  <c r="H33" i="4"/>
  <c r="F33" i="4"/>
  <c r="C33" i="4"/>
  <c r="E33" i="4"/>
  <c r="A33" i="4"/>
  <c r="E30" i="4"/>
  <c r="D30" i="4"/>
  <c r="C30" i="4"/>
  <c r="B30" i="4"/>
  <c r="A30" i="4"/>
  <c r="H30" i="4"/>
  <c r="F30" i="4"/>
  <c r="G30" i="4"/>
  <c r="F40" i="4"/>
  <c r="C40" i="4"/>
  <c r="H40" i="4"/>
  <c r="G40" i="4"/>
  <c r="E40" i="4"/>
  <c r="D40" i="4"/>
  <c r="B40" i="4"/>
  <c r="A40" i="4"/>
  <c r="A28" i="4"/>
  <c r="B28" i="4"/>
  <c r="C28" i="4"/>
  <c r="D28" i="4"/>
  <c r="E28" i="4"/>
  <c r="F28" i="4"/>
  <c r="G28" i="4"/>
  <c r="H28" i="4"/>
  <c r="E32" i="4"/>
  <c r="F32" i="4"/>
  <c r="A32" i="4"/>
  <c r="G32" i="4"/>
  <c r="C32" i="4"/>
  <c r="H32" i="4"/>
  <c r="D32" i="4"/>
  <c r="B32" i="4"/>
  <c r="A25" i="4"/>
  <c r="B25" i="4"/>
  <c r="C25" i="4"/>
  <c r="E25" i="4"/>
  <c r="F25" i="4"/>
  <c r="G25" i="4"/>
  <c r="H25" i="4"/>
  <c r="A27" i="4"/>
  <c r="B27" i="4"/>
  <c r="C27" i="4"/>
  <c r="D27" i="4"/>
  <c r="E27" i="4"/>
  <c r="F27" i="4"/>
  <c r="G27" i="4"/>
  <c r="H27" i="4"/>
  <c r="F36" i="4"/>
  <c r="C36" i="4"/>
  <c r="G36" i="4"/>
  <c r="E36" i="4"/>
  <c r="B36" i="4"/>
  <c r="A36" i="4"/>
  <c r="H36" i="4"/>
  <c r="D36" i="4"/>
  <c r="G39" i="4"/>
  <c r="E39" i="4"/>
  <c r="C39" i="4"/>
  <c r="A39" i="4"/>
  <c r="H39" i="4"/>
  <c r="F39" i="4"/>
  <c r="D39" i="4"/>
  <c r="B39" i="4"/>
  <c r="H9" i="4" l="1"/>
  <c r="G9" i="4"/>
  <c r="F9" i="4"/>
  <c r="E9" i="4"/>
  <c r="D9" i="4"/>
  <c r="C9" i="4"/>
  <c r="B9" i="4"/>
  <c r="A9" i="4"/>
  <c r="P11" i="4"/>
  <c r="P10" i="4"/>
  <c r="P17" i="4"/>
  <c r="P16" i="4"/>
  <c r="P13" i="4"/>
  <c r="P18" i="4"/>
  <c r="P15" i="4"/>
  <c r="P14" i="4"/>
  <c r="P12" i="4"/>
  <c r="A10" i="4" l="1"/>
  <c r="B10" i="4"/>
  <c r="C10" i="4"/>
  <c r="D10" i="4"/>
  <c r="E10" i="4"/>
  <c r="F10" i="4"/>
  <c r="G10" i="4"/>
  <c r="H10" i="4"/>
  <c r="A11" i="4"/>
  <c r="B11" i="4"/>
  <c r="C11" i="4"/>
  <c r="D11" i="4"/>
  <c r="E11" i="4"/>
  <c r="F11" i="4"/>
  <c r="G11" i="4"/>
  <c r="H11" i="4"/>
  <c r="H17" i="4"/>
  <c r="G17" i="4"/>
  <c r="F17" i="4"/>
  <c r="E17" i="4"/>
  <c r="D17" i="4"/>
  <c r="C17" i="4"/>
  <c r="B17" i="4"/>
  <c r="A17" i="4"/>
  <c r="H16" i="4"/>
  <c r="G16" i="4"/>
  <c r="F16" i="4"/>
  <c r="E16" i="4"/>
  <c r="D16" i="4"/>
  <c r="C16" i="4"/>
  <c r="B16" i="4"/>
  <c r="A16" i="4"/>
  <c r="H13" i="4"/>
  <c r="G13" i="4"/>
  <c r="F13" i="4"/>
  <c r="E13" i="4"/>
  <c r="D13" i="4"/>
  <c r="C13" i="4"/>
  <c r="B13" i="4"/>
  <c r="A13" i="4"/>
  <c r="H18" i="4"/>
  <c r="G18" i="4"/>
  <c r="F18" i="4"/>
  <c r="E18" i="4"/>
  <c r="D18" i="4"/>
  <c r="C18" i="4"/>
  <c r="B18" i="4"/>
  <c r="A18" i="4"/>
  <c r="H15" i="4"/>
  <c r="G15" i="4"/>
  <c r="F15" i="4"/>
  <c r="E15" i="4"/>
  <c r="D15" i="4"/>
  <c r="C15" i="4"/>
  <c r="B15" i="4"/>
  <c r="A15" i="4"/>
  <c r="H14" i="4"/>
  <c r="G14" i="4"/>
  <c r="F14" i="4"/>
  <c r="E14" i="4"/>
  <c r="D14" i="4"/>
  <c r="C14" i="4"/>
  <c r="B14" i="4"/>
  <c r="A14" i="4"/>
  <c r="H12" i="4"/>
  <c r="G12" i="4"/>
  <c r="F12" i="4"/>
  <c r="E12" i="4"/>
  <c r="D12" i="4"/>
  <c r="C12" i="4"/>
  <c r="B12" i="4"/>
  <c r="A12" i="4"/>
</calcChain>
</file>

<file path=xl/sharedStrings.xml><?xml version="1.0" encoding="utf-8"?>
<sst xmlns="http://schemas.openxmlformats.org/spreadsheetml/2006/main" count="919" uniqueCount="477">
  <si>
    <t>STANDARD OPERATING PROCEDURE — Equipment Forecasting &amp; Install Tracker</t>
  </si>
  <si>
    <t>Last updated: July 30, 2026  ·  Questions: contact the service manager</t>
  </si>
  <si>
    <t>Jump to a tab:</t>
  </si>
  <si>
    <t xml:space="preserve">    →  Dashboard</t>
  </si>
  <si>
    <t xml:space="preserve">    →  Projected Sales or Lease</t>
  </si>
  <si>
    <t xml:space="preserve">    →  Installs</t>
  </si>
  <si>
    <t xml:space="preserve">    →  Lists</t>
  </si>
  <si>
    <t xml:space="preserve">    →  Install Clock</t>
  </si>
  <si>
    <t>WHAT EACH TAB DOES</t>
  </si>
  <si>
    <t>SOP — this page. How to use the file.</t>
  </si>
  <si>
    <t>Dashboard — live sales performance summary. All numbers update automatically; never type on this tab.</t>
  </si>
  <si>
    <t>Projected Sales or Lease — the SALES TEAM works here. One row per high-value equipment deal.</t>
  </si>
  <si>
    <t>Installs — the SERVICE TEAM works here. Tracks equipment through benching and installation.</t>
  </si>
  <si>
    <t>Lists — the dropdown menus live here. Add new producers or options here and every tab updates automatically.</t>
  </si>
  <si>
    <t>Install Clock — read-only watch list: who is at risk this week and what to prep next. Nothing is typed here.</t>
  </si>
  <si>
    <t>SALES TEAM — ENTERING A DEAL (Projected Sales or Lease tab)</t>
  </si>
  <si>
    <t>1. Start a new row: enter Customer Name, pick the Producer from the dropdown, and enter the Date of Deal.</t>
  </si>
  <si>
    <t>2. Account Type: ONLY used for Avi or Richard accounts (they do not have access to this file). Pick "Avi Account" or "Richard Account" from the dropdown so we know who owns it. Leave blank for everyone else. This flag stays on this tab — it does not transfer to Installs.</t>
  </si>
  <si>
    <t>3. Fill in Equipment and Deal Amount ($). A yellow Deal Amount cell means the amount is missing — the Dashboard cannot count the deal’s value until it’s entered.</t>
  </si>
  <si>
    <t>4. Check Good to Order ✔ when the deal is approved to purchase, and Equipment Ordered ✔ once the order is placed. Enter the Equipment ETA when known.</t>
  </si>
  <si>
    <t>5. Pick the Payment Terms from the dropdown and enter the Invoice # when issued.</t>
  </si>
  <si>
    <t>DEAL COMPLETION — THE IMPORTANT COLUMN</t>
  </si>
  <si>
    <t>✔  (checked) = the deal is FINALIZED. The row turns GREEN, the deal counts as Completed on the Dashboard, and the deal automatically appears in the Installs tab (see next section).</t>
  </si>
  <si>
    <t>X = the deal FELL THROUGH. The row turns RED and the deal is excluded from every Dashboard figure except the "Fell Through" count. Leave the row in place — do not delete it.</t>
  </si>
  <si>
    <t>Blank = deal is still active / in the pipeline.</t>
  </si>
  <si>
    <t>AUTOMATIC TRANSFER TO THE INSTALLS TAB</t>
  </si>
  <si>
    <t>When Deal Completion is checked ✔, the deal is copied into the "AUTO — NEW COMPLETED DEALS" section near the bottom of the Installs tab (starting at row 161) — but ONLY if that Customer Name is not already in the tracker above. Deals the service team is already tracking are never duplicated.</t>
  </si>
  <si>
    <t>What transfers: Date (from Date of Deal) · Customer Name · Equipment · Account Rep (the producer’s full name converts to initials: Bill→BM, Lance→LO, Sean→SM, Shannon→SC, Lizbeth→LR, Amanda→AL, Jesus→JG) · Payment Status (from Payment Terms).</t>
  </si>
  <si>
    <t>The transferred cells show in GREEN TEXT — they are live formulas. Do NOT type over them; they update on their own. If a name or date is wrong, fix it on the Projected Sales or Lease tab and it corrects itself here.</t>
  </si>
  <si>
    <t>The service team fills in the normal columns by hand for those rows: Equipment Status, Install Date, Assigned Tech, Work Order, Requirements Ready?, and Notes. Install Complete ✔ fills itself when Status = Installed.</t>
  </si>
  <si>
    <t>Because the check is on Customer Name, the sales tab and the install tab must spell an account the same way. If a completed deal does not appear in the AUTO section and is not already in the tracker, check for a spelling difference.</t>
  </si>
  <si>
    <t>DASHBOARD — READING THE NUMBERS</t>
  </si>
  <si>
    <t>KPI cards (top): Active Deals &amp; Active Pipeline $ (deals still open) · Completed Deals &amp; $ · Total Booked $ (active + completed) · Fell Through count.</t>
  </si>
  <si>
    <t>BY PRODUCER: each producer’s deal count, Sales $ vs Lease $ (Lease = Payment Terms is "Lease"), completed figures, and Open $. "(No producer / not on list)" catches deals with a blank producer or a name not on the Lists tab — the TOTAL row always matches the KPI cards.</t>
  </si>
  <si>
    <t>BY PAYMENT TERMS and DEAL PROGRESS: how the pipeline splits by terms, and how many deals (and $) have reached Good to Order → Equipment Ordered → Complete.</t>
  </si>
  <si>
    <t>ADDING OR CHANGING NAMES AND DROPDOWNS (Lists tab)</t>
  </si>
  <si>
    <t>New producer: type the name at the bottom of the "Producers" column (column Q). It instantly appears in the Producer dropdown and gets its own Dashboard row.</t>
  </si>
  <si>
    <t>IMPORTANT: also add their initials to the mapping table in columns U–V ("Producer (map)" / "Initials") so completed deals transfer to Installs with the right Account Rep initials.</t>
  </si>
  <si>
    <t>Payment terms, account types, statuses, reps, and technicians all live on this tab too — add to the bottom of the relevant column.</t>
  </si>
  <si>
    <t>DO / DON’T</t>
  </si>
  <si>
    <t>DO: use the dropdowns · fill Date of Deal and Deal Amount on every deal · mark X instead of deleting a dead deal.</t>
  </si>
  <si>
    <t>DON’T: insert or delete COLUMNS on the Projected or Installs tabs (formulas point at fixed columns) · type in green formula cells · type on the Dashboard · delete, sort, or filter rows in the AUTO section of Installs (the filter buttons at the top of Installs only cover the manual rows 3–148). Do not convert the Installs sheet to an Excel Table — it conflicts with the AUTO section.</t>
  </si>
  <si>
    <t>SERVICE TEAM — THE INSTALLS TAB</t>
  </si>
  <si>
    <t>Enter one row per account. Type into the next EMPTY row — do not insert rows (an inserted row comes in without the Install Complete and Install Alert formulas, so it will never flag). Blank rows are already prepared down to row 170.</t>
  </si>
  <si>
    <t>Equipment Status (dropdown): Ready · Not Ready · Installed. This drives the row color and the Install Clock.</t>
  </si>
  <si>
    <t>Install Date: enter a REAL DATE (7/27/2026), not text like "week of 7/27". Text dates cannot be scheduled and get flagged "⚠ CHECK DATE".</t>
  </si>
  <si>
    <t>Assigned Tech (dropdown): Josh, Oliver, Charles, Elias, Ryan, Bill, Lance, 3rd Party. Managed on the Lists tab, "Technicians" column A.</t>
  </si>
  <si>
    <t>Requirements Ready? (dropdown): Ready / Not Ready — is the CUSTOMER ready for us to install (site, power, plumbing, sign-off)?</t>
  </si>
  <si>
    <t>Install Complete ✔ and ⚠ Install Alert fill in on their own — do not type in them.</t>
  </si>
  <si>
    <t>ROW COLORS — ONE RULE FOR EVERY ROW</t>
  </si>
  <si>
    <t>RED = needs attention now (anything in the ⚠ Install Alert column). Beats every other color.</t>
  </si>
  <si>
    <t>GREEN = Equipment Status is Installed — done.</t>
  </si>
  <si>
    <t>AMBER = Equipment Status is Not Ready (and not urgent yet).</t>
  </si>
  <si>
    <t>BLUE = Equipment Status is Ready — waiting on the install date.</t>
  </si>
  <si>
    <t>Plain / faint stripe = no status picked yet.</t>
  </si>
  <si>
    <t>Every row in the tracker, including the AUTO section, follows this exact order. If a row is not coloring, its Equipment Status cell is empty or was typed by hand instead of picked from the dropdown (watch for stray spaces).</t>
  </si>
  <si>
    <t>THE INSTALL CLOCK (its own tab)</t>
  </si>
  <si>
    <t>The Installs tab shows the counters across the top; the Install Clock tab shows the full detail. It reads the current calendar week (Monday–Sunday) plus the following week, and watches every account with an install date in that window.</t>
  </si>
  <si>
    <t>⚠ EQUIP NOT READY — install is this week or next and Equipment Status is Not Ready. This is the main one to work.</t>
  </si>
  <si>
    <t>⚠ PAST DUE - NOT READY — the install date has already passed and the equipment still is not ready.</t>
  </si>
  <si>
    <t>⚠ CUSTOMER NOT READY — equipment is fine but Requirements Ready? is Not Ready and the install is this week or next.</t>
  </si>
  <si>
    <t>⚠ CHECK DATE — Not Ready account whose Install Date is text, so it cannot be scheduled. Replace it with a real date.</t>
  </si>
  <si>
    <t>Everything refreshes when the file is opened or recalculated (F9). The AT RISK list shows the first 10 and the PREP QUEUE the next 20; the note under each says how many more there are.</t>
  </si>
  <si>
    <t>Installed accounts are never flagged.</t>
  </si>
  <si>
    <t>INSTALL DATES — CALENDAR DATES ONLY</t>
  </si>
  <si>
    <t>Date Received and Install Date now only accept a real calendar date. Typing "week of 8/3" is rejected with a message explaining why.</t>
  </si>
  <si>
    <t>Fastest ways to enter one: type 8/3/26 · press Ctrl + ; for today · or copy a date cell and paste.</t>
  </si>
  <si>
    <t>If you only know the week, enter the MONDAY of that week and put the detail in Notes. A week-only note cannot be scheduled or counted.</t>
  </si>
  <si>
    <t>Existing "week of ..." entries were converted to the date named, and the original wording was added to that row’s Notes.</t>
  </si>
  <si>
    <t>PREP QUEUE — WHAT TO GET READY NEXT</t>
  </si>
  <si>
    <t>On the Install Clock tab, under the at-risk list. It lists every account NOT yet marked Installed, soonest install date first. Work it top to bottom.</t>
  </si>
  <si>
    <t>Days out: negative = the install date has already passed · 0 = today · "needs date" = no install date set yet (these sort to the bottom and need scheduling).</t>
  </si>
  <si>
    <t>Row colors in the queue: RED = late or installing today · AMBER = installing this week, or no date yet · GREEN = further out.</t>
  </si>
  <si>
    <t>An account leaves the queue the moment its Equipment Status is set to Installed.</t>
  </si>
  <si>
    <t>Deals that arrive in the AUTO section come in with a blank Equipment Status, so they show as "needs date" until the service team sets a status and an install date. That is the hand-off point from sales to service.</t>
  </si>
  <si>
    <t>WHY THE CLOCK IS ON ITS OWN TAB</t>
  </si>
  <si>
    <t>Only 4 rows are frozen at the top of the Installs tab (title, counters, column headers) so the account list scrolls normally. The detailed at-risk and prep lists live on the Install Clock tab, one click away via the link in cell C1.</t>
  </si>
  <si>
    <t>NO DUPLICATES BETWEEN SALES AND SERVICE</t>
  </si>
  <si>
    <t>The AUTO section only shows completed deals whose Customer Name is NOT already somewhere in the tracker above it.</t>
  </si>
  <si>
    <t>The bottom of the Install Clock tab shows the reconciliation: how many deals are complete, how many are new to service, and how many were already being tracked.</t>
  </si>
  <si>
    <t>Two account names were made consistent so the check matches: "Local Foods - ATX 2" → "Local Foods - ATX #2", and "Taha" → "Taha Market Mediterranean Foods".</t>
  </si>
  <si>
    <t>If you ever want a completed deal to stop showing in the AUTO section, add it to the tracker above under the same name (or set its Equipment Status to Installed).</t>
  </si>
  <si>
    <t>SALES &amp; LEASE DASHBOARD</t>
  </si>
  <si>
    <t>Auto-updates from the Projected Sales or Lease tab. Deals marked X (fell through) are excluded from all figures except the "Fell Through" count.</t>
  </si>
  <si>
    <t>Go to:</t>
  </si>
  <si>
    <t>SOP</t>
  </si>
  <si>
    <t>Projected Sales or Lease</t>
  </si>
  <si>
    <t>Installs</t>
  </si>
  <si>
    <t>Lists</t>
  </si>
  <si>
    <t>Active Deals</t>
  </si>
  <si>
    <t>Active Pipeline $</t>
  </si>
  <si>
    <t>Completed Deals</t>
  </si>
  <si>
    <t>Completed $</t>
  </si>
  <si>
    <t>Total Booked $ (Active + Completed)</t>
  </si>
  <si>
    <t>Fell Through</t>
  </si>
  <si>
    <t>BY PRODUCER  —  projected sales &amp; leases</t>
  </si>
  <si>
    <t>Producer</t>
  </si>
  <si>
    <t># Deals</t>
  </si>
  <si>
    <t>Sales $</t>
  </si>
  <si>
    <t>Lease $</t>
  </si>
  <si>
    <t>Total $</t>
  </si>
  <si>
    <t>Completed #</t>
  </si>
  <si>
    <t>Open $</t>
  </si>
  <si>
    <t>(No producer / not on list)</t>
  </si>
  <si>
    <t>TOTAL</t>
  </si>
  <si>
    <t>BY PAYMENT TERMS</t>
  </si>
  <si>
    <t>DEAL PROGRESS (active + completed)</t>
  </si>
  <si>
    <t>Payment Terms</t>
  </si>
  <si>
    <t>Amount $</t>
  </si>
  <si>
    <t>Stage</t>
  </si>
  <si>
    <t>Good to Order ✔</t>
  </si>
  <si>
    <t>Equipment Ordered ✔</t>
  </si>
  <si>
    <t>Deal Complete ✔</t>
  </si>
  <si>
    <t>(Not set)</t>
  </si>
  <si>
    <t>PROJECTED SALES OR LEASE</t>
  </si>
  <si>
    <t>Sales team: one row per deal — see the SOP tab for full instructions. Account Type flags Avi/Richard accounts. Deal Completion: ✔ = finalized (row turns green + deal auto-copies to the Installs tab) · X = fell through (row turns red, excluded from Dashboard).</t>
  </si>
  <si>
    <t>Customer Name</t>
  </si>
  <si>
    <t>Account Type</t>
  </si>
  <si>
    <t>Date of Deal</t>
  </si>
  <si>
    <t>Equipment</t>
  </si>
  <si>
    <t>Equipment Deal Amount ($)</t>
  </si>
  <si>
    <t>Equipment ETA</t>
  </si>
  <si>
    <t>Invoice #</t>
  </si>
  <si>
    <t>Deal Completion</t>
  </si>
  <si>
    <t>Notes</t>
  </si>
  <si>
    <t>new?</t>
  </si>
  <si>
    <t>rank</t>
  </si>
  <si>
    <t>Truffle &amp; Rye</t>
  </si>
  <si>
    <t>Amanda</t>
  </si>
  <si>
    <t>La Marz GS3, jay grinder</t>
  </si>
  <si>
    <t>✔</t>
  </si>
  <si>
    <t>Here</t>
  </si>
  <si>
    <t>Paid in Full</t>
  </si>
  <si>
    <t>Waiting on broker to ship to Turks for final amount</t>
  </si>
  <si>
    <t>Jonathan's The Rub - Bridgeland</t>
  </si>
  <si>
    <t>Avi Account</t>
  </si>
  <si>
    <t>Cameo c'2s</t>
  </si>
  <si>
    <t>Installed</t>
  </si>
  <si>
    <t>Payment Plan</t>
  </si>
  <si>
    <t>Coco Crepe Elyson Town Center</t>
  </si>
  <si>
    <t>Lizbeth</t>
  </si>
  <si>
    <t>Eversys Enigma e'4s Classic</t>
  </si>
  <si>
    <t xml:space="preserve">Still under remodel </t>
  </si>
  <si>
    <t>Valentinas Coffee</t>
  </si>
  <si>
    <t>La Marzocco Strada XT 2 Group, Mazzer ZM Filter Grinder - Black, Mazzer Robur S Electronic, Puqpress Q2 Automatic Tamper BLACK, Everpure EZ-RO 200/10 Gallon Hydropneumatic Tank, Blendtec Stealth 885, Blendtec Rapid Rinse Station</t>
  </si>
  <si>
    <t>754770
754497 
749838</t>
  </si>
  <si>
    <t>Special order. Waiting on ETA from LM.</t>
  </si>
  <si>
    <t>El toro tex mex</t>
  </si>
  <si>
    <t>Eversys e'4</t>
  </si>
  <si>
    <t xml:space="preserve">Working on getting out of Coca Cola Lease </t>
  </si>
  <si>
    <t>Ciao Bella Bakery</t>
  </si>
  <si>
    <t>Work Around Café</t>
  </si>
  <si>
    <t>strada s 2 gr, jay, mahl ek43, mahl e65, fetco 1251, itbdd,  puq</t>
  </si>
  <si>
    <t>Coco Crepe Bellaire</t>
  </si>
  <si>
    <t>La Marzocco Linea Classic S 2 Group AV &amp;  La Marzocco Swift Dual-Hopper Espresso Grinder</t>
  </si>
  <si>
    <t>50% Down + 50% upon install/30 days after</t>
  </si>
  <si>
    <t>Local Foods - ATX #2</t>
  </si>
  <si>
    <t>La Marzocco Linea Classic S 2 Group AV &amp;  La Marzocco Swift Dual-Hopper Espresso Grinder, Fetco 1251, ITB-DD EZRO200</t>
  </si>
  <si>
    <t>Bella Flori</t>
  </si>
  <si>
    <t>Luzia Coffee Shop</t>
  </si>
  <si>
    <t>Invicta 3GR, Robur S E, Puqpress</t>
  </si>
  <si>
    <t>Pending Down Payment</t>
  </si>
  <si>
    <t>The Audrey Restaurant &amp; Bar Post Oak</t>
  </si>
  <si>
    <t>Eversys Cameo c'2s</t>
  </si>
  <si>
    <t>Lease</t>
  </si>
  <si>
    <t>Lakewood Yacht Club</t>
  </si>
  <si>
    <t>Common Bond Spring</t>
  </si>
  <si>
    <t>2 x e4s with 1.5 wands SN: 0110710025266E0006
Fetco 1252 Plus SN: 1252UB23015260303
Bunn ITB-DD SN: ITB0065171
Fetco GRS1202 SN:12021A00020259710</t>
  </si>
  <si>
    <t>CoPlay Cove</t>
  </si>
  <si>
    <t>e4s SN: 0110700025150E0012</t>
  </si>
  <si>
    <t>Sunrise Coffee</t>
  </si>
  <si>
    <t>Linea S 2 Group SN:LS029320
Mazzer Super Jolly SN:2540764</t>
  </si>
  <si>
    <t>Latte Cafe - La Grange</t>
  </si>
  <si>
    <t>Rancilio Classe 9</t>
  </si>
  <si>
    <t>Taha Market Mediterranean Foods</t>
  </si>
  <si>
    <t>Sean</t>
  </si>
  <si>
    <t>X</t>
  </si>
  <si>
    <t>Clover</t>
  </si>
  <si>
    <t>Eversys e'4s</t>
  </si>
  <si>
    <t>Parkwood American Grille</t>
  </si>
  <si>
    <t>Eversys Legacy</t>
  </si>
  <si>
    <t>Mid-August</t>
  </si>
  <si>
    <t>Will need Cameo until Legacycomes in.</t>
  </si>
  <si>
    <t>Uchi - Houston</t>
  </si>
  <si>
    <t>Shannon</t>
  </si>
  <si>
    <t>Will use loaner Legacy unit trial is over</t>
  </si>
  <si>
    <t>Brews &amp; Books</t>
  </si>
  <si>
    <t>Lance</t>
  </si>
  <si>
    <t>Riot Comedy Club</t>
  </si>
  <si>
    <t>Rancilio Classe 5 Compact, Mazzer SJ E, Mazzer Mini E</t>
  </si>
  <si>
    <t xml:space="preserve"> Tentative install date 7/28 earliest.</t>
  </si>
  <si>
    <t>Osso &amp; Kristalla</t>
  </si>
  <si>
    <t>Everysys E'4</t>
  </si>
  <si>
    <t>Will be month to month, $800/mo</t>
  </si>
  <si>
    <t>bloom chica brew</t>
  </si>
  <si>
    <t>linea classic, jay grinder</t>
  </si>
  <si>
    <t>3rd party installation</t>
  </si>
  <si>
    <t>kol fac 118</t>
  </si>
  <si>
    <t>cameo c'2s</t>
  </si>
  <si>
    <t>petroleum club</t>
  </si>
  <si>
    <t>ready</t>
  </si>
  <si>
    <t xml:space="preserve">Vam Foods #2 </t>
  </si>
  <si>
    <t>Bravilor Sego 12 120V</t>
  </si>
  <si>
    <t xml:space="preserve">Waiting for approval on purchase </t>
  </si>
  <si>
    <t xml:space="preserve">Mexico Lindo Bakery </t>
  </si>
  <si>
    <t>Rancilio Classe 5 USB 2 Group Auto-Volumetric</t>
  </si>
  <si>
    <t>⏱  INSTALL CLOCK</t>
  </si>
  <si>
    <t>←  Back to the Installation Tracker</t>
  </si>
  <si>
    <t>Everything here is read-only and recalculates on open. Fix things on the Installs tab.</t>
  </si>
  <si>
    <t>Today</t>
  </si>
  <si>
    <t>This week (Mon–Sun)</t>
  </si>
  <si>
    <t>Next week</t>
  </si>
  <si>
    <t>⚠ Equipment NOT ready</t>
  </si>
  <si>
    <t>⚠ Past due &amp; not ready</t>
  </si>
  <si>
    <t>⚠ Customer not ready</t>
  </si>
  <si>
    <t>Completed installs</t>
  </si>
  <si>
    <t>In queue (not yet installed)</t>
  </si>
  <si>
    <t>⚠  AT RISK NOW  —  scheduled this week or next (or already past due) and not ready</t>
  </si>
  <si>
    <t>#</t>
  </si>
  <si>
    <t>Account</t>
  </si>
  <si>
    <t>Why it's flagged</t>
  </si>
  <si>
    <t>Equip Status</t>
  </si>
  <si>
    <t>Install Date</t>
  </si>
  <si>
    <t>Assigned Tech</t>
  </si>
  <si>
    <t>Work Order</t>
  </si>
  <si>
    <t>Requirements</t>
  </si>
  <si>
    <t>🔧  PREP QUEUE  —  every account not yet installed, in install-date order. Work top to bottom.</t>
  </si>
  <si>
    <t>Days out</t>
  </si>
  <si>
    <t>Equipment to prep</t>
  </si>
  <si>
    <t>INSTALLATION TRACKER</t>
  </si>
  <si>
    <t>⏱  Open the Install Clock  →</t>
  </si>
  <si>
    <t>Full detail — who is at risk and what to prep next — is on the Install Clock tab.</t>
  </si>
  <si>
    <t>Date Received</t>
  </si>
  <si>
    <t>Equipment / Serial Numbers</t>
  </si>
  <si>
    <t>Equipment Status</t>
  </si>
  <si>
    <t>Requirements Ready?</t>
  </si>
  <si>
    <t>Account Rep</t>
  </si>
  <si>
    <t>Payment Status</t>
  </si>
  <si>
    <t>Install Complete ✔</t>
  </si>
  <si>
    <t>⚠ Install Alert</t>
  </si>
  <si>
    <t>Wildwood</t>
  </si>
  <si>
    <t>Fetco 52H
SN:231515042</t>
  </si>
  <si>
    <t>Josh</t>
  </si>
  <si>
    <t>WO-9537</t>
  </si>
  <si>
    <t>Ready</t>
  </si>
  <si>
    <t>Elia Bench 5/20/2026</t>
  </si>
  <si>
    <t>AL</t>
  </si>
  <si>
    <t>No Purchased Equipment</t>
  </si>
  <si>
    <t>Gennaro's - Wimberly</t>
  </si>
  <si>
    <t>Bunn ITCB</t>
  </si>
  <si>
    <t>WO-9469</t>
  </si>
  <si>
    <t>LO</t>
  </si>
  <si>
    <t>WO-9589</t>
  </si>
  <si>
    <t>All equipment needs to be benched
Ryan Bench GR 1202
Elia Bench ITB-DD
Josh Bench/setup 1x e4'ms 1.5 arm
installed 05/28/2026</t>
  </si>
  <si>
    <t>LM Linea S 2AV SN:LS028751
Swift Grinder SN:9386
Fetco 1251 SN:12511B23045259780
Bunn ITB-DD SN:ITB0065194
EZRO200-10</t>
  </si>
  <si>
    <t>Oliver</t>
  </si>
  <si>
    <t>WO-0134</t>
  </si>
  <si>
    <t>Linea, Swift, and fetco Benched by Oliver
ITB-DD benched by Elias
SWIFT is at Local Foods #1 Austin</t>
  </si>
  <si>
    <t>AL/LO</t>
  </si>
  <si>
    <t>e4s SN: 0110700025150E0012
Bunn Axiom-APS 120V SN: AXAP048647</t>
  </si>
  <si>
    <t>WO-9698</t>
  </si>
  <si>
    <t>velvet / Decaf
8oz/12oz
need kids temp steam
(orig. install date entered as "Week of 6/8")</t>
  </si>
  <si>
    <t>LR</t>
  </si>
  <si>
    <t>La Michoacana #52 - Dallas</t>
  </si>
  <si>
    <t>Bunn ITCB 220V</t>
  </si>
  <si>
    <t>Bill</t>
  </si>
  <si>
    <t>WO-9646</t>
  </si>
  <si>
    <t>Hunter Road Country Club</t>
  </si>
  <si>
    <t>Bunn ITCB 120V
SN:ITCB189507</t>
  </si>
  <si>
    <t>WO-9470</t>
  </si>
  <si>
    <t>85oz Airpots
Ship on Wednesday truck. 5/20
Oliver Benched and Boxed for shipment 05/18</t>
  </si>
  <si>
    <t>Cowgirl Coffee</t>
  </si>
  <si>
    <t>Bunn Axiom-APS 120V
SN:AXAP028340</t>
  </si>
  <si>
    <t>Elias</t>
  </si>
  <si>
    <t>WO-9477</t>
  </si>
  <si>
    <t>Elias benched 05/19</t>
  </si>
  <si>
    <t>WO-0143</t>
  </si>
  <si>
    <t>Need to pre-insepct first
Velvet Esp 2oz</t>
  </si>
  <si>
    <t>50% Down / 50% at Install or Net 30</t>
  </si>
  <si>
    <t>Cherry Block</t>
  </si>
  <si>
    <t>CWTF-APS Pour over</t>
  </si>
  <si>
    <t>Ryan</t>
  </si>
  <si>
    <t>WO-9582</t>
  </si>
  <si>
    <t>Osso</t>
  </si>
  <si>
    <t>Mazzer Mini Doser
SN: 2318377</t>
  </si>
  <si>
    <t>WO-9600</t>
  </si>
  <si>
    <t>Adding Whole Bean espresso
Elias Benching 6/1/2026</t>
  </si>
  <si>
    <t>SC</t>
  </si>
  <si>
    <t>Classe 9</t>
  </si>
  <si>
    <t>WO-9598</t>
  </si>
  <si>
    <t>Ollie Calibrating
josh verified working</t>
  </si>
  <si>
    <t>JG</t>
  </si>
  <si>
    <t>Shirley's Donut</t>
  </si>
  <si>
    <t>Bunn Axiom-APS 120V SN:AXAP049095
Bunn G9-2 Short SN: G900075916</t>
  </si>
  <si>
    <t>WO-9638</t>
  </si>
  <si>
    <t>Velocity Sim Lounge</t>
  </si>
  <si>
    <t>Bunn Axiom
SN:AXAP028345</t>
  </si>
  <si>
    <t>WO-9665</t>
  </si>
  <si>
    <t>Cheeks Coffee</t>
  </si>
  <si>
    <t>ITCB
SN: ITCB075996</t>
  </si>
  <si>
    <t>WO-9672</t>
  </si>
  <si>
    <t>Kol Fac #113</t>
  </si>
  <si>
    <t>Bunn ITCB
SN: ITCB082942</t>
  </si>
  <si>
    <t>WO-9697</t>
  </si>
  <si>
    <t>Audrey Post Oak</t>
  </si>
  <si>
    <t>ITCB 220v SN:143215
Cameo - Not here yet.
Need a loaner for Cameo</t>
  </si>
  <si>
    <t>WO-9875</t>
  </si>
  <si>
    <t>Sweet</t>
  </si>
  <si>
    <t>Bunn Axiom-APS
SN :AXAP049095</t>
  </si>
  <si>
    <t>WO-9642</t>
  </si>
  <si>
    <t>(orig. install date entered as "week of 6/15/2026")</t>
  </si>
  <si>
    <t>AL/JG</t>
  </si>
  <si>
    <t>Cameo - New in barn
SN: 0099820025259C0040</t>
  </si>
  <si>
    <t>WO-9874</t>
  </si>
  <si>
    <t>SM/RK</t>
  </si>
  <si>
    <t>Tepatitlan Mexican Grill</t>
  </si>
  <si>
    <t>Bunn ITCB 120v SN:ITCB064919
Bunn G9-2T SN:G900073972</t>
  </si>
  <si>
    <t>WO-9897</t>
  </si>
  <si>
    <t>Account is read. replacing
same equipment.</t>
  </si>
  <si>
    <t>Clutch Auto - Pearland</t>
  </si>
  <si>
    <t>Bunn CWTF-APS (PO) SN:CWTF547359</t>
  </si>
  <si>
    <t>WO-9941</t>
  </si>
  <si>
    <t>Pedro is gettting a unit ready</t>
  </si>
  <si>
    <t>E4s</t>
  </si>
  <si>
    <t>WO-9891</t>
  </si>
  <si>
    <t>getting e4s from lobby
(orig. install date entered as "week of 6/22")</t>
  </si>
  <si>
    <t>Triple Steel - Galvestion</t>
  </si>
  <si>
    <t>Bunn Axiom-APS</t>
  </si>
  <si>
    <t>WO-9934</t>
  </si>
  <si>
    <t>(orig. install date entered as "week of 6/30")</t>
  </si>
  <si>
    <t>Helfman RiverOaks</t>
  </si>
  <si>
    <t>Sego 12  SN:10140095</t>
  </si>
  <si>
    <t>WO-0091</t>
  </si>
  <si>
    <t>Velvet
Hot Choco
Epouria milk</t>
  </si>
  <si>
    <t>Uchi</t>
  </si>
  <si>
    <t>Legacy</t>
  </si>
  <si>
    <t>WO-0138</t>
  </si>
  <si>
    <t>Waiting on product and setting</t>
  </si>
  <si>
    <t>Legacy
(Cameo loaner for the time being), ITCB</t>
  </si>
  <si>
    <t>WO-0250</t>
  </si>
  <si>
    <t>Lakewoodd Yacht Club</t>
  </si>
  <si>
    <t xml:space="preserve">52H
TB3 x 2
ITCB 220V L14-20
</t>
  </si>
  <si>
    <t>WO-0151</t>
  </si>
  <si>
    <t>Rice University - South Main</t>
  </si>
  <si>
    <t>ITCB 120V</t>
  </si>
  <si>
    <t>WO-0044</t>
  </si>
  <si>
    <t>Rice Settings</t>
  </si>
  <si>
    <t>Ninfa's - Navigation</t>
  </si>
  <si>
    <t>TB3</t>
  </si>
  <si>
    <t>Additional Brewer</t>
  </si>
  <si>
    <t>Invicta 3GR, Robur S E, Puqpress, Fetco51H, GR2.2, TB3</t>
  </si>
  <si>
    <t>WO-0156</t>
  </si>
  <si>
    <t>7/13 - preinspection</t>
  </si>
  <si>
    <t>Coco Shrimp - Dallas</t>
  </si>
  <si>
    <t>WO-0119</t>
  </si>
  <si>
    <t>Ship next week to Bill
(orig. install date entered as "Week of 7/13/2026")</t>
  </si>
  <si>
    <t>BM</t>
  </si>
  <si>
    <t>Brew &amp; Books</t>
  </si>
  <si>
    <t>WO-0112</t>
  </si>
  <si>
    <t>Lance needs asap. JM &amp; Decaf Esp</t>
  </si>
  <si>
    <t>Rice University - Moody Center</t>
  </si>
  <si>
    <t>Fetco 52H SN: F52H03082026</t>
  </si>
  <si>
    <t>WO-0283</t>
  </si>
  <si>
    <t>New catering area</t>
  </si>
  <si>
    <t>The Riot Comedy Club</t>
  </si>
  <si>
    <t>Rancilio Classe 5 Compact SN:10467673, Mazzer SJ E SN:2601514, Mazzer Mini E SN:2608789</t>
  </si>
  <si>
    <t>Charles</t>
  </si>
  <si>
    <t>WO-0351</t>
  </si>
  <si>
    <t>(orig. install date entered as "Week of 7/27")</t>
  </si>
  <si>
    <t>SM</t>
  </si>
  <si>
    <t>La Lucha / Star Rover</t>
  </si>
  <si>
    <t>Bunn ICB Tall</t>
  </si>
  <si>
    <t>WO-9221</t>
  </si>
  <si>
    <t>Southerleigh SA Airport</t>
  </si>
  <si>
    <t>WO-0125</t>
  </si>
  <si>
    <t>used cameo 2 step, itcb, g9-2t, fetco, gr2.2, TB3</t>
  </si>
  <si>
    <t>WO-0251</t>
  </si>
  <si>
    <t>Fetcos Banquet: 1.5 gal and carafe Bunn Kitchen: 1 gallon and carafe. Coffee: Bayou and MB decaf</t>
  </si>
  <si>
    <t>al</t>
  </si>
  <si>
    <t>lease</t>
  </si>
  <si>
    <t>cameo, itcb</t>
  </si>
  <si>
    <t>Not Ready</t>
  </si>
  <si>
    <t>la marz linea, jay grinder</t>
  </si>
  <si>
    <t>3rd Party</t>
  </si>
  <si>
    <t>WO-0267</t>
  </si>
  <si>
    <t>Reached out Coffee Maverick</t>
  </si>
  <si>
    <t>HEB Division Office</t>
  </si>
  <si>
    <t>Bunn Axiom-TC
Bunn LPG</t>
  </si>
  <si>
    <t>WO-0262</t>
  </si>
  <si>
    <t xml:space="preserve">Coco Crepes Bellaire </t>
  </si>
  <si>
    <t>La Marzocco Linea Classic S 2 Group AV/ La Marzocco Swift Dual-Hopper Espresso Grinder/ Bunn Axiom-APS</t>
  </si>
  <si>
    <t xml:space="preserve">Vam Foods </t>
  </si>
  <si>
    <t xml:space="preserve">Bravilor Sego 12 120V &amp; QTY 2 Airpot Brewers </t>
  </si>
  <si>
    <t>WO-0312</t>
  </si>
  <si>
    <t>Sage The Vilage School</t>
  </si>
  <si>
    <t>e4 &amp; itcb from cafeteria to new coffee shop</t>
  </si>
  <si>
    <t>WO-0181</t>
  </si>
  <si>
    <t>they own the e4 and loan the ictb</t>
  </si>
  <si>
    <t xml:space="preserve">waller county court house </t>
  </si>
  <si>
    <t>axiom aps</t>
  </si>
  <si>
    <t>Hawker's Franklin</t>
  </si>
  <si>
    <t>WO-0314</t>
  </si>
  <si>
    <t>Doug's Diner</t>
  </si>
  <si>
    <t>Fetco MBS x 2 / Powder Machine</t>
  </si>
  <si>
    <t>Two Step Taqueria - South</t>
  </si>
  <si>
    <t>They need a 51h to replace an ITCB</t>
  </si>
  <si>
    <t>Southern Ice CO</t>
  </si>
  <si>
    <t>bunn itcb</t>
  </si>
  <si>
    <t>WO-0406</t>
  </si>
  <si>
    <t>waiting on paperwork, need to send a loaner</t>
  </si>
  <si>
    <t>Scrambles Breakfast &amp; Lunch</t>
  </si>
  <si>
    <t xml:space="preserve">BUNN ITCB &amp; BUNN G9 GRINDER </t>
  </si>
  <si>
    <t>AUTO — NEW COMPLETED DEALS (from Projected Sales or Lease). Only deals whose Customer Name is NOT already in the tracker above appear here, so nothing is duplicated. Green cells update themselves — do not type in them. Fill in Status, Install Date, Assigned Tech, Work Order, Requirements Ready?, and Notes as usual.</t>
  </si>
  <si>
    <t>Technicians</t>
  </si>
  <si>
    <t>Call Status</t>
  </si>
  <si>
    <t>Call Type</t>
  </si>
  <si>
    <t>Yes/No</t>
  </si>
  <si>
    <t>PM Style</t>
  </si>
  <si>
    <t>Parts Status</t>
  </si>
  <si>
    <t>PM Status</t>
  </si>
  <si>
    <t>Account Reps</t>
  </si>
  <si>
    <t>Checkbox helper</t>
  </si>
  <si>
    <t>Add new technicians, statuses, or reps to these lists and the dropdowns on every tab update automatically.</t>
  </si>
  <si>
    <t>Module Platform</t>
  </si>
  <si>
    <t>Module Type</t>
  </si>
  <si>
    <t>Module Status</t>
  </si>
  <si>
    <t>Internal Techs</t>
  </si>
  <si>
    <t>Producers</t>
  </si>
  <si>
    <t>Completion</t>
  </si>
  <si>
    <t>Producer (map)</t>
  </si>
  <si>
    <t>Initials</t>
  </si>
  <si>
    <t>Open</t>
  </si>
  <si>
    <t>Field Service</t>
  </si>
  <si>
    <t>Y</t>
  </si>
  <si>
    <t>6 month PM</t>
  </si>
  <si>
    <t>Yes - All Available</t>
  </si>
  <si>
    <t>Pending Scheduling</t>
  </si>
  <si>
    <t>Cameo</t>
  </si>
  <si>
    <t>Brew Module</t>
  </si>
  <si>
    <t>Not Started</t>
  </si>
  <si>
    <t>Phone Resolved</t>
  </si>
  <si>
    <t>In-House Rebuild</t>
  </si>
  <si>
    <t>N</t>
  </si>
  <si>
    <t>12 month PM</t>
  </si>
  <si>
    <t>Partial</t>
  </si>
  <si>
    <t>Scheduled</t>
  </si>
  <si>
    <t>Enigma / e'Line</t>
  </si>
  <si>
    <t>Medium Brew Module</t>
  </si>
  <si>
    <t>In Progress</t>
  </si>
  <si>
    <t>Richard Account</t>
  </si>
  <si>
    <t>Dispatched</t>
  </si>
  <si>
    <t>Installation</t>
  </si>
  <si>
    <t>36 month PM</t>
  </si>
  <si>
    <t>No - Awaiting Parts</t>
  </si>
  <si>
    <t>Awaiting Parts</t>
  </si>
  <si>
    <t>Large Brew Module</t>
  </si>
  <si>
    <t>Waiting on Parts</t>
  </si>
  <si>
    <t>Grinder PM</t>
  </si>
  <si>
    <t>On Order</t>
  </si>
  <si>
    <t>Ready to Dispatch</t>
  </si>
  <si>
    <t>Steam S Module</t>
  </si>
  <si>
    <t>Completed</t>
  </si>
  <si>
    <t>TBD / Check Inventory</t>
  </si>
  <si>
    <t>Steam M Module</t>
  </si>
  <si>
    <t>Ship to Eversys (Core Swap)</t>
  </si>
  <si>
    <t>Follow-up Needed</t>
  </si>
  <si>
    <t>Hydraulic Module</t>
  </si>
  <si>
    <t>At Eversys - Awaiting Return</t>
  </si>
  <si>
    <t>Cancelled</t>
  </si>
  <si>
    <t>RK</t>
  </si>
  <si>
    <t>Grinder Module</t>
  </si>
  <si>
    <t>Installed at Account</t>
  </si>
  <si>
    <t>Jesus</t>
  </si>
  <si>
    <t>Milk Module</t>
  </si>
  <si>
    <t>Retired / Scrapped</t>
  </si>
  <si>
    <t>Pump Module</t>
  </si>
  <si>
    <t>Powder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</si>
</sst>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quot;#,##0\);\-"/>
    <numFmt numFmtId="165" formatCode="mm/dd/yyyy"/>
    <numFmt numFmtId="166" formatCode="\$#,##0"/>
    <numFmt numFmtId="167" formatCode="ddd\ mm/dd/yyyy"/>
    <numFmt numFmtId="168" formatCode="0&quot; days&quot;;0&quot; days LATE&quot;;&quot;TODAY&quot;;@"/>
  </numFmts>
  <fonts count="33" x14ac:knownFonts="1">
    <font>
      <sz val="11"/>
      <color theme="1"/>
      <name val="Aptos Narrow"/>
      <family val="2"/>
      <charset val="1"/>
    </font>
    <font>
      <b/>
      <sz val="16"/>
      <color rgb="FF1F3864"/>
      <name val="Arial"/>
      <charset val="1"/>
    </font>
    <font>
      <i/>
      <sz val="9"/>
      <color rgb="FF595959"/>
      <name val="Arial"/>
      <charset val="1"/>
    </font>
    <font>
      <b/>
      <sz val="10"/>
      <name val="Arial"/>
      <charset val="1"/>
    </font>
    <font>
      <u/>
      <sz val="10"/>
      <color rgb="FF0563C1"/>
      <name val="Arial"/>
      <charset val="1"/>
    </font>
    <font>
      <b/>
      <sz val="12"/>
      <color rgb="FFFFFFFF"/>
      <name val="Arial"/>
      <charset val="1"/>
    </font>
    <font>
      <sz val="10"/>
      <name val="Arial"/>
      <charset val="1"/>
    </font>
    <font>
      <b/>
      <sz val="9"/>
      <color rgb="FF1F3864"/>
      <name val="Arial"/>
      <charset val="1"/>
    </font>
    <font>
      <b/>
      <sz val="9"/>
      <color rgb="FF375623"/>
      <name val="Arial"/>
      <charset val="1"/>
    </font>
    <font>
      <b/>
      <sz val="9"/>
      <color rgb="FF7F6000"/>
      <name val="Arial"/>
      <charset val="1"/>
    </font>
    <font>
      <b/>
      <sz val="9"/>
      <color rgb="FF9C0006"/>
      <name val="Arial"/>
      <charset val="1"/>
    </font>
    <font>
      <b/>
      <sz val="16"/>
      <color rgb="FF375623"/>
      <name val="Arial"/>
      <charset val="1"/>
    </font>
    <font>
      <b/>
      <sz val="16"/>
      <color rgb="FF7F6000"/>
      <name val="Arial"/>
      <charset val="1"/>
    </font>
    <font>
      <b/>
      <sz val="16"/>
      <color rgb="FF9C0006"/>
      <name val="Arial"/>
      <charset val="1"/>
    </font>
    <font>
      <b/>
      <sz val="11"/>
      <color rgb="FF1F3864"/>
      <name val="Arial"/>
      <charset val="1"/>
    </font>
    <font>
      <b/>
      <sz val="10"/>
      <color rgb="FFFFFFFF"/>
      <name val="Arial"/>
      <charset val="1"/>
    </font>
    <font>
      <b/>
      <sz val="14"/>
      <color rgb="FF1F3864"/>
      <name val="Arial"/>
      <charset val="1"/>
    </font>
    <font>
      <i/>
      <sz val="8"/>
      <color rgb="FFBFBFBF"/>
      <name val="Arial"/>
      <charset val="1"/>
    </font>
    <font>
      <sz val="8"/>
      <color rgb="FFBFBFBF"/>
      <name val="Arial"/>
      <charset val="1"/>
    </font>
    <font>
      <b/>
      <u/>
      <sz val="10"/>
      <color rgb="FF0563C1"/>
      <name val="Arial"/>
      <charset val="1"/>
    </font>
    <font>
      <b/>
      <sz val="8"/>
      <color rgb="FF1F3864"/>
      <name val="Arial"/>
      <charset val="1"/>
    </font>
    <font>
      <b/>
      <sz val="8"/>
      <color rgb="FF9C0006"/>
      <name val="Arial"/>
      <charset val="1"/>
    </font>
    <font>
      <b/>
      <sz val="8"/>
      <color rgb="FF7F6000"/>
      <name val="Arial"/>
      <charset val="1"/>
    </font>
    <font>
      <b/>
      <sz val="8"/>
      <color rgb="FF375623"/>
      <name val="Arial"/>
      <charset val="1"/>
    </font>
    <font>
      <b/>
      <sz val="13"/>
      <color rgb="FF1F3864"/>
      <name val="Arial"/>
      <charset val="1"/>
    </font>
    <font>
      <b/>
      <sz val="13"/>
      <color rgb="FF9C0006"/>
      <name val="Arial"/>
      <charset val="1"/>
    </font>
    <font>
      <b/>
      <sz val="13"/>
      <color rgb="FF7F6000"/>
      <name val="Arial"/>
      <charset val="1"/>
    </font>
    <font>
      <b/>
      <sz val="13"/>
      <color rgb="FF375623"/>
      <name val="Arial"/>
      <charset val="1"/>
    </font>
    <font>
      <b/>
      <sz val="9"/>
      <name val="Arial"/>
      <charset val="1"/>
    </font>
    <font>
      <sz val="10"/>
      <color rgb="FF006100"/>
      <name val="Arial"/>
      <charset val="1"/>
    </font>
    <font>
      <b/>
      <sz val="11"/>
      <name val="Arial"/>
      <charset val="1"/>
    </font>
    <font>
      <i/>
      <sz val="11"/>
      <name val="Arial"/>
      <charset val="1"/>
    </font>
    <font>
      <sz val="11"/>
      <name val="Arial"/>
      <charset val="1"/>
    </font>
  </fonts>
  <fills count="10">
    <fill>
      <patternFill patternType="none"/>
    </fill>
    <fill>
      <patternFill patternType="gray125"/>
    </fill>
    <fill>
      <patternFill patternType="solid">
        <fgColor rgb="FF4472C4"/>
        <bgColor rgb="FF2E75B6"/>
      </patternFill>
    </fill>
    <fill>
      <patternFill patternType="solid">
        <fgColor rgb="FFDDEBF7"/>
        <bgColor rgb="FFD9E2F3"/>
      </patternFill>
    </fill>
    <fill>
      <patternFill patternType="solid">
        <fgColor rgb="FFE2EFDA"/>
        <bgColor rgb="FFDDEBF7"/>
      </patternFill>
    </fill>
    <fill>
      <patternFill patternType="solid">
        <fgColor rgb="FFFFF2CC"/>
        <bgColor rgb="FFFCE4E4"/>
      </patternFill>
    </fill>
    <fill>
      <patternFill patternType="solid">
        <fgColor rgb="FFFCE4E4"/>
        <bgColor rgb="FFFFF2CC"/>
      </patternFill>
    </fill>
    <fill>
      <patternFill patternType="solid">
        <fgColor rgb="FFD9E2F3"/>
        <bgColor rgb="FFDDEBF7"/>
      </patternFill>
    </fill>
    <fill>
      <patternFill patternType="solid">
        <fgColor rgb="FF9C0006"/>
        <bgColor rgb="FF800000"/>
      </patternFill>
    </fill>
    <fill>
      <patternFill patternType="solid">
        <fgColor rgb="FF375623"/>
        <bgColor rgb="FF59595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8">
    <xf numFmtId="0" fontId="0" fillId="0" borderId="0" xfId="0"/>
    <xf numFmtId="0" fontId="2" fillId="0" borderId="0" xfId="0" applyFont="1"/>
    <xf numFmtId="0" fontId="1" fillId="0" borderId="0" xfId="0" applyFont="1"/>
    <xf numFmtId="0" fontId="2" fillId="0" borderId="0" xfId="0" applyFont="1" applyAlignment="1">
      <alignment vertical="top" wrapText="1"/>
    </xf>
    <xf numFmtId="0" fontId="3" fillId="0" borderId="0" xfId="0" applyFont="1"/>
    <xf numFmtId="0" fontId="4" fillId="0" borderId="0" xfId="0" applyFont="1"/>
    <xf numFmtId="0" fontId="5" fillId="2" borderId="0" xfId="0" applyFont="1" applyFill="1" applyAlignment="1">
      <alignment vertical="center" indent="1"/>
    </xf>
    <xf numFmtId="0" fontId="6" fillId="0" borderId="0" xfId="0" applyFont="1" applyAlignment="1">
      <alignment vertical="top" wrapText="1"/>
    </xf>
    <xf numFmtId="0" fontId="6" fillId="0" borderId="0" xfId="0" applyFont="1"/>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164" fontId="12" fillId="5" borderId="1" xfId="0" applyNumberFormat="1" applyFont="1" applyFill="1" applyBorder="1" applyAlignment="1">
      <alignment horizontal="center" vertical="center" wrapText="1"/>
    </xf>
    <xf numFmtId="0" fontId="13" fillId="6" borderId="1" xfId="0" applyFont="1" applyFill="1" applyBorder="1" applyAlignment="1">
      <alignment horizontal="center" vertical="center" wrapText="1"/>
    </xf>
    <xf numFmtId="0" fontId="14" fillId="0" borderId="0" xfId="0" applyFont="1"/>
    <xf numFmtId="0" fontId="15" fillId="2" borderId="1" xfId="0" applyFont="1" applyFill="1" applyBorder="1" applyAlignment="1">
      <alignment horizontal="center" vertical="center"/>
    </xf>
    <xf numFmtId="0" fontId="6" fillId="0" borderId="1" xfId="0" applyFont="1" applyBorder="1"/>
    <xf numFmtId="0" fontId="6" fillId="0" borderId="1" xfId="0" applyFont="1" applyBorder="1" applyAlignment="1">
      <alignment horizontal="center" vertical="center"/>
    </xf>
    <xf numFmtId="164" fontId="6" fillId="0" borderId="1" xfId="0" applyNumberFormat="1" applyFont="1" applyBorder="1" applyAlignment="1">
      <alignment horizontal="right" vertical="center"/>
    </xf>
    <xf numFmtId="0" fontId="3" fillId="7" borderId="1" xfId="0" applyFont="1" applyFill="1" applyBorder="1"/>
    <xf numFmtId="0" fontId="3" fillId="7" borderId="1" xfId="0" applyFont="1" applyFill="1" applyBorder="1" applyAlignment="1">
      <alignment horizontal="center" vertical="center"/>
    </xf>
    <xf numFmtId="164" fontId="3" fillId="7" borderId="1" xfId="0" applyNumberFormat="1" applyFont="1" applyFill="1" applyBorder="1" applyAlignment="1">
      <alignment horizontal="right" vertical="center"/>
    </xf>
    <xf numFmtId="0" fontId="16" fillId="0" borderId="0" xfId="0" applyFont="1"/>
    <xf numFmtId="0" fontId="15" fillId="2" borderId="1" xfId="0" applyFont="1" applyFill="1" applyBorder="1" applyAlignment="1">
      <alignment horizontal="center" vertical="center" wrapText="1"/>
    </xf>
    <xf numFmtId="0" fontId="17" fillId="0" borderId="0" xfId="0" applyFont="1"/>
    <xf numFmtId="0" fontId="6" fillId="0" borderId="1" xfId="0" applyFont="1" applyBorder="1" applyAlignment="1">
      <alignment vertical="top" wrapText="1"/>
    </xf>
    <xf numFmtId="165" fontId="6" fillId="0" borderId="1" xfId="0" applyNumberFormat="1" applyFont="1" applyBorder="1" applyAlignment="1">
      <alignment horizontal="center" vertical="center"/>
    </xf>
    <xf numFmtId="166" fontId="6" fillId="0" borderId="1" xfId="0" applyNumberFormat="1" applyFont="1" applyBorder="1" applyAlignment="1">
      <alignment horizontal="right" vertical="center"/>
    </xf>
    <xf numFmtId="0" fontId="6" fillId="0" borderId="1" xfId="0" applyFont="1" applyBorder="1" applyAlignment="1">
      <alignment horizontal="left" vertical="center"/>
    </xf>
    <xf numFmtId="0" fontId="18" fillId="0" borderId="0" xfId="0" applyFont="1"/>
    <xf numFmtId="0" fontId="6" fillId="0" borderId="1" xfId="0" applyFont="1" applyBorder="1" applyAlignment="1">
      <alignment horizontal="center" vertical="center" wrapText="1"/>
    </xf>
    <xf numFmtId="0" fontId="19" fillId="0" borderId="0" xfId="0" applyFont="1"/>
    <xf numFmtId="0" fontId="20" fillId="7"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167" fontId="1" fillId="7"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5" fillId="8" borderId="1" xfId="0" applyFont="1" applyFill="1" applyBorder="1" applyAlignment="1">
      <alignment horizontal="center" vertical="center"/>
    </xf>
    <xf numFmtId="0" fontId="6" fillId="0" borderId="1" xfId="0" applyFont="1" applyBorder="1" applyAlignment="1">
      <alignment vertical="center" wrapText="1"/>
    </xf>
    <xf numFmtId="0" fontId="15" fillId="9" borderId="1" xfId="0" applyFont="1" applyFill="1" applyBorder="1" applyAlignment="1">
      <alignment horizontal="center" vertical="center"/>
    </xf>
    <xf numFmtId="168" fontId="6" fillId="0" borderId="1" xfId="0" applyNumberFormat="1" applyFont="1" applyBorder="1" applyAlignment="1">
      <alignment horizontal="center" vertical="center"/>
    </xf>
    <xf numFmtId="0" fontId="16" fillId="0" borderId="0" xfId="0" applyFont="1" applyAlignment="1">
      <alignment vertical="center"/>
    </xf>
    <xf numFmtId="167" fontId="24" fillId="7" borderId="1" xfId="0" applyNumberFormat="1" applyFont="1" applyFill="1" applyBorder="1" applyAlignment="1">
      <alignment horizontal="center" vertical="center" wrapText="1"/>
    </xf>
    <xf numFmtId="0" fontId="24" fillId="7"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165" fontId="0" fillId="0" borderId="0" xfId="0" applyNumberFormat="1"/>
    <xf numFmtId="0" fontId="28" fillId="0" borderId="1" xfId="0" applyFont="1" applyBorder="1" applyAlignment="1">
      <alignment horizontal="left" vertical="center"/>
    </xf>
    <xf numFmtId="165" fontId="29" fillId="0" borderId="1" xfId="0" applyNumberFormat="1" applyFont="1" applyBorder="1" applyAlignment="1">
      <alignment horizontal="center" vertical="center"/>
    </xf>
    <xf numFmtId="0" fontId="29" fillId="0" borderId="1" xfId="0" applyFont="1" applyBorder="1" applyAlignment="1">
      <alignment vertical="center" wrapText="1"/>
    </xf>
    <xf numFmtId="0" fontId="29" fillId="0" borderId="1" xfId="0" applyFont="1" applyBorder="1" applyAlignment="1">
      <alignment horizontal="center" vertical="center"/>
    </xf>
    <xf numFmtId="0" fontId="30" fillId="0" borderId="0" xfId="0" applyFont="1"/>
    <xf numFmtId="0" fontId="31" fillId="0" borderId="0" xfId="0" applyFont="1"/>
    <xf numFmtId="0" fontId="32" fillId="0" borderId="0" xfId="0" applyFont="1"/>
    <xf numFmtId="0" fontId="2" fillId="0" borderId="0" xfId="0" applyFont="1" applyAlignment="1">
      <alignment vertical="center" wrapText="1"/>
    </xf>
    <xf numFmtId="0" fontId="7" fillId="7" borderId="0" xfId="0" applyFont="1" applyFill="1" applyAlignment="1">
      <alignment horizontal="left" vertical="center" wrapText="1"/>
    </xf>
    <xf numFmtId="0" fontId="2" fillId="0" borderId="0" xfId="0" applyFont="1"/>
    <xf numFmtId="0" fontId="1" fillId="0" borderId="0" xfId="0" applyFont="1" applyAlignment="1">
      <alignment vertical="center"/>
    </xf>
    <xf numFmtId="0" fontId="15" fillId="8" borderId="0" xfId="0" applyFont="1" applyFill="1" applyAlignment="1">
      <alignment horizontal="left" vertical="center" indent="1"/>
    </xf>
    <xf numFmtId="0" fontId="15" fillId="9" borderId="0" xfId="0" applyFont="1" applyFill="1" applyAlignment="1">
      <alignment horizontal="left" vertical="center" indent="1"/>
    </xf>
  </cellXfs>
  <cellStyles count="1">
    <cellStyle name="Normal" xfId="0" builtinId="0"/>
  </cellStyles>
  <dxfs count="18">
    <dxf>
      <fill>
        <patternFill>
          <bgColor rgb="FFF2F6FC"/>
        </patternFill>
      </fill>
    </dxf>
    <dxf>
      <font>
        <sz val="10"/>
        <color rgb="FF1F4E79"/>
        <name val="Arial"/>
        <charset val="1"/>
      </font>
      <fill>
        <patternFill>
          <bgColor rgb="FFDDEBF7"/>
        </patternFill>
      </fill>
    </dxf>
    <dxf>
      <font>
        <sz val="10"/>
        <color rgb="FF7F6000"/>
        <name val="Arial"/>
        <charset val="1"/>
      </font>
      <fill>
        <patternFill>
          <bgColor rgb="FFFFF2CC"/>
        </patternFill>
      </fill>
    </dxf>
    <dxf>
      <font>
        <sz val="10"/>
        <color rgb="FF006100"/>
        <name val="Arial"/>
        <charset val="1"/>
      </font>
      <fill>
        <patternFill>
          <bgColor rgb="FFC6EFCE"/>
        </patternFill>
      </fill>
    </dxf>
    <dxf>
      <font>
        <b/>
        <sz val="10"/>
        <color rgb="FF9C0006"/>
        <name val="Arial"/>
        <charset val="1"/>
      </font>
      <fill>
        <patternFill>
          <bgColor rgb="FFFFC7CE"/>
        </patternFill>
      </fill>
    </dxf>
    <dxf>
      <fill>
        <patternFill>
          <bgColor rgb="FFF2F6FC"/>
        </patternFill>
      </fill>
    </dxf>
    <dxf>
      <font>
        <sz val="10"/>
        <color rgb="FF1F4E79"/>
        <name val="Arial"/>
        <charset val="1"/>
      </font>
      <fill>
        <patternFill>
          <bgColor rgb="FFDDEBF7"/>
        </patternFill>
      </fill>
    </dxf>
    <dxf>
      <font>
        <sz val="10"/>
        <color rgb="FF7F6000"/>
        <name val="Arial"/>
        <charset val="1"/>
      </font>
      <fill>
        <patternFill>
          <bgColor rgb="FFFFF2CC"/>
        </patternFill>
      </fill>
    </dxf>
    <dxf>
      <font>
        <sz val="10"/>
        <color rgb="FF006100"/>
        <name val="Arial"/>
        <charset val="1"/>
      </font>
      <fill>
        <patternFill>
          <bgColor rgb="FFC6EFCE"/>
        </patternFill>
      </fill>
    </dxf>
    <dxf>
      <font>
        <b/>
        <sz val="10"/>
        <color rgb="FF9C0006"/>
        <name val="Arial"/>
        <charset val="1"/>
      </font>
      <fill>
        <patternFill>
          <bgColor rgb="FFFFC7CE"/>
        </patternFill>
      </fill>
    </dxf>
    <dxf>
      <font>
        <sz val="10"/>
        <color rgb="FF375623"/>
        <name val="Arial"/>
        <charset val="1"/>
      </font>
      <fill>
        <patternFill>
          <bgColor rgb="FFE2EFDA"/>
        </patternFill>
      </fill>
    </dxf>
    <dxf>
      <font>
        <sz val="10"/>
        <color rgb="FF7F6000"/>
        <name val="Arial"/>
        <charset val="1"/>
      </font>
      <fill>
        <patternFill>
          <bgColor rgb="FFFFF2CC"/>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ill>
        <patternFill>
          <bgColor rgb="FFFFF2CC"/>
        </patternFill>
      </fill>
    </dxf>
    <dxf>
      <fill>
        <patternFill>
          <bgColor rgb="FFF2F6FC"/>
        </patternFill>
      </fill>
    </dxf>
    <dxf>
      <font>
        <sz val="10"/>
        <color rgb="FF9C0006"/>
        <name val="Arial"/>
        <charset val="1"/>
      </font>
      <fill>
        <patternFill>
          <bgColor rgb="FFFFC7CE"/>
        </patternFill>
      </fill>
    </dxf>
    <dxf>
      <font>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2E75B6"/>
      <rgbColor rgb="FFBFBFBF"/>
      <rgbColor rgb="FF808080"/>
      <rgbColor rgb="FF9999FF"/>
      <rgbColor rgb="FF7030A0"/>
      <rgbColor rgb="FFFFF2CC"/>
      <rgbColor rgb="FFDDEBF7"/>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E2EFDA"/>
      <rgbColor rgb="FFC6EFCE"/>
      <rgbColor rgb="FFFCE4E4"/>
      <rgbColor rgb="FFF2F6FC"/>
      <rgbColor rgb="FFFF99CC"/>
      <rgbColor rgb="FFCC99FF"/>
      <rgbColor rgb="FFFFC7CE"/>
      <rgbColor rgb="FF4472C4"/>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B1:B98"/>
  <sheetViews>
    <sheetView showGridLines="0" zoomScaleNormal="100" workbookViewId="0">
      <selection activeCell="B5" sqref="B5"/>
    </sheetView>
  </sheetViews>
  <sheetFormatPr defaultColWidth="8.5703125" defaultRowHeight="15" x14ac:dyDescent="0.25"/>
  <cols>
    <col min="1" max="1" width="3" customWidth="1"/>
    <col min="2" max="2" width="112" customWidth="1"/>
  </cols>
  <sheetData>
    <row r="1" spans="2:2" ht="19.5" customHeight="1" x14ac:dyDescent="0.3">
      <c r="B1" s="2" t="s">
        <v>0</v>
      </c>
    </row>
    <row r="2" spans="2:2" ht="15" customHeight="1" x14ac:dyDescent="0.25">
      <c r="B2" s="3" t="s">
        <v>1</v>
      </c>
    </row>
    <row r="4" spans="2:2" ht="15" customHeight="1" x14ac:dyDescent="0.25">
      <c r="B4" s="4" t="s">
        <v>2</v>
      </c>
    </row>
    <row r="5" spans="2:2" ht="15" customHeight="1" x14ac:dyDescent="0.25">
      <c r="B5" s="5" t="s">
        <v>3</v>
      </c>
    </row>
    <row r="6" spans="2:2" ht="15" customHeight="1" x14ac:dyDescent="0.25">
      <c r="B6" s="5" t="s">
        <v>4</v>
      </c>
    </row>
    <row r="7" spans="2:2" ht="15" customHeight="1" x14ac:dyDescent="0.25">
      <c r="B7" s="5" t="s">
        <v>5</v>
      </c>
    </row>
    <row r="8" spans="2:2" ht="15" customHeight="1" x14ac:dyDescent="0.25">
      <c r="B8" s="5" t="s">
        <v>6</v>
      </c>
    </row>
    <row r="9" spans="2:2" ht="15" customHeight="1" x14ac:dyDescent="0.25">
      <c r="B9" s="5" t="s">
        <v>7</v>
      </c>
    </row>
    <row r="10" spans="2:2" ht="19.5" customHeight="1" x14ac:dyDescent="0.25">
      <c r="B10" s="6" t="s">
        <v>8</v>
      </c>
    </row>
    <row r="11" spans="2:2" ht="15" customHeight="1" x14ac:dyDescent="0.25">
      <c r="B11" s="7" t="s">
        <v>9</v>
      </c>
    </row>
    <row r="12" spans="2:2" ht="15" customHeight="1" x14ac:dyDescent="0.25">
      <c r="B12" s="7" t="s">
        <v>10</v>
      </c>
    </row>
    <row r="13" spans="2:2" ht="15" customHeight="1" x14ac:dyDescent="0.25">
      <c r="B13" s="7" t="s">
        <v>11</v>
      </c>
    </row>
    <row r="14" spans="2:2" ht="15" customHeight="1" x14ac:dyDescent="0.25">
      <c r="B14" s="7" t="s">
        <v>12</v>
      </c>
    </row>
    <row r="15" spans="2:2" ht="15" customHeight="1" x14ac:dyDescent="0.25">
      <c r="B15" s="7" t="s">
        <v>13</v>
      </c>
    </row>
    <row r="16" spans="2:2" ht="15" customHeight="1" x14ac:dyDescent="0.25">
      <c r="B16" s="8" t="s">
        <v>14</v>
      </c>
    </row>
    <row r="17" spans="2:2" ht="19.5" customHeight="1" x14ac:dyDescent="0.25">
      <c r="B17" s="6" t="s">
        <v>15</v>
      </c>
    </row>
    <row r="18" spans="2:2" ht="15" customHeight="1" x14ac:dyDescent="0.25">
      <c r="B18" s="7" t="s">
        <v>16</v>
      </c>
    </row>
    <row r="19" spans="2:2" ht="39.75" customHeight="1" x14ac:dyDescent="0.25">
      <c r="B19" s="7" t="s">
        <v>17</v>
      </c>
    </row>
    <row r="20" spans="2:2" ht="15" customHeight="1" x14ac:dyDescent="0.25">
      <c r="B20" s="7" t="s">
        <v>18</v>
      </c>
    </row>
    <row r="21" spans="2:2" ht="15" customHeight="1" x14ac:dyDescent="0.25">
      <c r="B21" s="7" t="s">
        <v>19</v>
      </c>
    </row>
    <row r="22" spans="2:2" ht="15" customHeight="1" x14ac:dyDescent="0.25">
      <c r="B22" s="7" t="s">
        <v>20</v>
      </c>
    </row>
    <row r="24" spans="2:2" ht="19.5" customHeight="1" x14ac:dyDescent="0.25">
      <c r="B24" s="6" t="s">
        <v>21</v>
      </c>
    </row>
    <row r="25" spans="2:2" ht="27.75" customHeight="1" x14ac:dyDescent="0.25">
      <c r="B25" s="7" t="s">
        <v>22</v>
      </c>
    </row>
    <row r="26" spans="2:2" ht="27.75" customHeight="1" x14ac:dyDescent="0.25">
      <c r="B26" s="7" t="s">
        <v>23</v>
      </c>
    </row>
    <row r="27" spans="2:2" ht="15" customHeight="1" x14ac:dyDescent="0.25">
      <c r="B27" s="7" t="s">
        <v>24</v>
      </c>
    </row>
    <row r="29" spans="2:2" ht="19.5" customHeight="1" x14ac:dyDescent="0.25">
      <c r="B29" s="6" t="s">
        <v>25</v>
      </c>
    </row>
    <row r="30" spans="2:2" ht="39.75" customHeight="1" x14ac:dyDescent="0.25">
      <c r="B30" s="7" t="s">
        <v>26</v>
      </c>
    </row>
    <row r="31" spans="2:2" ht="39.75" customHeight="1" x14ac:dyDescent="0.25">
      <c r="B31" s="7" t="s">
        <v>27</v>
      </c>
    </row>
    <row r="32" spans="2:2" ht="27.75" customHeight="1" x14ac:dyDescent="0.25">
      <c r="B32" s="7" t="s">
        <v>28</v>
      </c>
    </row>
    <row r="33" spans="2:2" ht="27.75" customHeight="1" x14ac:dyDescent="0.25">
      <c r="B33" s="7" t="s">
        <v>29</v>
      </c>
    </row>
    <row r="34" spans="2:2" ht="27.75" customHeight="1" x14ac:dyDescent="0.25">
      <c r="B34" s="7" t="s">
        <v>30</v>
      </c>
    </row>
    <row r="36" spans="2:2" ht="19.5" customHeight="1" x14ac:dyDescent="0.25">
      <c r="B36" s="6" t="s">
        <v>31</v>
      </c>
    </row>
    <row r="37" spans="2:2" ht="15" customHeight="1" x14ac:dyDescent="0.25">
      <c r="B37" s="7" t="s">
        <v>32</v>
      </c>
    </row>
    <row r="38" spans="2:2" ht="39.75" customHeight="1" x14ac:dyDescent="0.25">
      <c r="B38" s="7" t="s">
        <v>33</v>
      </c>
    </row>
    <row r="39" spans="2:2" ht="23.25" customHeight="1" x14ac:dyDescent="0.25">
      <c r="B39" s="7" t="s">
        <v>34</v>
      </c>
    </row>
    <row r="41" spans="2:2" ht="19.5" customHeight="1" x14ac:dyDescent="0.25">
      <c r="B41" s="6" t="s">
        <v>35</v>
      </c>
    </row>
    <row r="42" spans="2:2" ht="15" customHeight="1" x14ac:dyDescent="0.25">
      <c r="B42" s="7" t="s">
        <v>36</v>
      </c>
    </row>
    <row r="43" spans="2:2" ht="27.75" customHeight="1" x14ac:dyDescent="0.25">
      <c r="B43" s="7" t="s">
        <v>37</v>
      </c>
    </row>
    <row r="44" spans="2:2" ht="15" customHeight="1" x14ac:dyDescent="0.25">
      <c r="B44" s="7" t="s">
        <v>38</v>
      </c>
    </row>
    <row r="46" spans="2:2" ht="19.5" customHeight="1" x14ac:dyDescent="0.25">
      <c r="B46" s="6" t="s">
        <v>39</v>
      </c>
    </row>
    <row r="47" spans="2:2" ht="15" customHeight="1" x14ac:dyDescent="0.25">
      <c r="B47" s="7" t="s">
        <v>40</v>
      </c>
    </row>
    <row r="48" spans="2:2" ht="27.75" customHeight="1" x14ac:dyDescent="0.25">
      <c r="B48" s="7" t="s">
        <v>41</v>
      </c>
    </row>
    <row r="51" spans="2:2" ht="19.5" customHeight="1" x14ac:dyDescent="0.25">
      <c r="B51" s="6" t="s">
        <v>42</v>
      </c>
    </row>
    <row r="52" spans="2:2" ht="39.75" customHeight="1" x14ac:dyDescent="0.25">
      <c r="B52" s="7" t="s">
        <v>43</v>
      </c>
    </row>
    <row r="53" spans="2:2" ht="15" customHeight="1" x14ac:dyDescent="0.25">
      <c r="B53" s="7" t="s">
        <v>44</v>
      </c>
    </row>
    <row r="54" spans="2:2" ht="27.75" customHeight="1" x14ac:dyDescent="0.25">
      <c r="B54" s="7" t="s">
        <v>45</v>
      </c>
    </row>
    <row r="55" spans="2:2" ht="15" customHeight="1" x14ac:dyDescent="0.25">
      <c r="B55" s="7" t="s">
        <v>46</v>
      </c>
    </row>
    <row r="56" spans="2:2" ht="15" customHeight="1" x14ac:dyDescent="0.25">
      <c r="B56" s="7" t="s">
        <v>47</v>
      </c>
    </row>
    <row r="57" spans="2:2" ht="15" customHeight="1" x14ac:dyDescent="0.25">
      <c r="B57" s="7" t="s">
        <v>48</v>
      </c>
    </row>
    <row r="59" spans="2:2" ht="19.5" customHeight="1" x14ac:dyDescent="0.25">
      <c r="B59" s="6" t="s">
        <v>49</v>
      </c>
    </row>
    <row r="60" spans="2:2" ht="15" customHeight="1" x14ac:dyDescent="0.25">
      <c r="B60" s="7" t="s">
        <v>50</v>
      </c>
    </row>
    <row r="61" spans="2:2" ht="15" customHeight="1" x14ac:dyDescent="0.25">
      <c r="B61" s="7" t="s">
        <v>51</v>
      </c>
    </row>
    <row r="62" spans="2:2" ht="15" customHeight="1" x14ac:dyDescent="0.25">
      <c r="B62" s="7" t="s">
        <v>52</v>
      </c>
    </row>
    <row r="63" spans="2:2" ht="15" customHeight="1" x14ac:dyDescent="0.25">
      <c r="B63" s="7" t="s">
        <v>53</v>
      </c>
    </row>
    <row r="64" spans="2:2" ht="15" customHeight="1" x14ac:dyDescent="0.25">
      <c r="B64" s="7" t="s">
        <v>54</v>
      </c>
    </row>
    <row r="65" spans="2:2" ht="39.75" customHeight="1" x14ac:dyDescent="0.25">
      <c r="B65" s="7" t="s">
        <v>55</v>
      </c>
    </row>
    <row r="67" spans="2:2" ht="19.5" customHeight="1" x14ac:dyDescent="0.25">
      <c r="B67" s="6" t="s">
        <v>56</v>
      </c>
    </row>
    <row r="68" spans="2:2" ht="27.75" customHeight="1" x14ac:dyDescent="0.25">
      <c r="B68" s="7" t="s">
        <v>57</v>
      </c>
    </row>
    <row r="69" spans="2:2" ht="15" customHeight="1" x14ac:dyDescent="0.25">
      <c r="B69" s="7" t="s">
        <v>58</v>
      </c>
    </row>
    <row r="70" spans="2:2" ht="15" customHeight="1" x14ac:dyDescent="0.25">
      <c r="B70" s="7" t="s">
        <v>59</v>
      </c>
    </row>
    <row r="71" spans="2:2" ht="15" customHeight="1" x14ac:dyDescent="0.25">
      <c r="B71" s="7" t="s">
        <v>60</v>
      </c>
    </row>
    <row r="72" spans="2:2" ht="15" customHeight="1" x14ac:dyDescent="0.25">
      <c r="B72" s="7" t="s">
        <v>61</v>
      </c>
    </row>
    <row r="73" spans="2:2" ht="27.75" customHeight="1" x14ac:dyDescent="0.25">
      <c r="B73" s="7" t="s">
        <v>62</v>
      </c>
    </row>
    <row r="74" spans="2:2" ht="15" customHeight="1" x14ac:dyDescent="0.25">
      <c r="B74" s="7" t="s">
        <v>63</v>
      </c>
    </row>
    <row r="78" spans="2:2" ht="19.5" customHeight="1" x14ac:dyDescent="0.25">
      <c r="B78" s="6" t="s">
        <v>64</v>
      </c>
    </row>
    <row r="79" spans="2:2" ht="27.75" customHeight="1" x14ac:dyDescent="0.25">
      <c r="B79" s="7" t="s">
        <v>65</v>
      </c>
    </row>
    <row r="80" spans="2:2" ht="15" customHeight="1" x14ac:dyDescent="0.25">
      <c r="B80" s="7" t="s">
        <v>66</v>
      </c>
    </row>
    <row r="81" spans="2:2" ht="27.75" customHeight="1" x14ac:dyDescent="0.25">
      <c r="B81" s="7" t="s">
        <v>67</v>
      </c>
    </row>
    <row r="82" spans="2:2" ht="27.75" customHeight="1" x14ac:dyDescent="0.25">
      <c r="B82" s="7" t="s">
        <v>68</v>
      </c>
    </row>
    <row r="84" spans="2:2" ht="19.5" customHeight="1" x14ac:dyDescent="0.25">
      <c r="B84" s="6" t="s">
        <v>69</v>
      </c>
    </row>
    <row r="85" spans="2:2" ht="27.75" customHeight="1" x14ac:dyDescent="0.25">
      <c r="B85" s="7" t="s">
        <v>70</v>
      </c>
    </row>
    <row r="86" spans="2:2" ht="39.75" customHeight="1" x14ac:dyDescent="0.25">
      <c r="B86" s="7" t="s">
        <v>71</v>
      </c>
    </row>
    <row r="87" spans="2:2" ht="15" customHeight="1" x14ac:dyDescent="0.25">
      <c r="B87" s="7" t="s">
        <v>72</v>
      </c>
    </row>
    <row r="88" spans="2:2" ht="15" customHeight="1" x14ac:dyDescent="0.25">
      <c r="B88" s="7" t="s">
        <v>73</v>
      </c>
    </row>
    <row r="89" spans="2:2" ht="39.75" customHeight="1" x14ac:dyDescent="0.25">
      <c r="B89" s="7" t="s">
        <v>74</v>
      </c>
    </row>
    <row r="90" spans="2:2" ht="19.5" customHeight="1" x14ac:dyDescent="0.25">
      <c r="B90" s="6" t="s">
        <v>75</v>
      </c>
    </row>
    <row r="91" spans="2:2" ht="27.75" customHeight="1" x14ac:dyDescent="0.25">
      <c r="B91" s="7" t="s">
        <v>76</v>
      </c>
    </row>
    <row r="94" spans="2:2" ht="19.5" customHeight="1" x14ac:dyDescent="0.25">
      <c r="B94" s="6" t="s">
        <v>77</v>
      </c>
    </row>
    <row r="95" spans="2:2" x14ac:dyDescent="0.25">
      <c r="B95" s="7" t="s">
        <v>78</v>
      </c>
    </row>
    <row r="96" spans="2:2" ht="27.75" customHeight="1" x14ac:dyDescent="0.25">
      <c r="B96" s="7" t="s">
        <v>79</v>
      </c>
    </row>
    <row r="97" spans="2:2" ht="27.75" customHeight="1" x14ac:dyDescent="0.25">
      <c r="B97" s="7" t="s">
        <v>80</v>
      </c>
    </row>
    <row r="98" spans="2:2" ht="27.75" customHeight="1" x14ac:dyDescent="0.25">
      <c r="B98" s="7" t="s">
        <v>81</v>
      </c>
    </row>
  </sheetData>
  <hyperlinks>
    <hyperlink ref="B5" location="Dashboard!A1" display="    →  Dashboard" xr:uid="{00000000-0004-0000-0000-000000000000}"/>
    <hyperlink ref="B6" location="'Projected Sales or Lease'!A1" display="    →  Projected Sales or Lease" xr:uid="{00000000-0004-0000-0000-000001000000}"/>
    <hyperlink ref="B7" location="Installs!A1" display="    →  Installs" xr:uid="{00000000-0004-0000-0000-000002000000}"/>
    <hyperlink ref="B8" location="Lists!A1" display="    →  Lists" xr:uid="{00000000-0004-0000-0000-000003000000}"/>
    <hyperlink ref="B9" location="'Install Clock'!A1" display="    →  Install Clock" xr:uid="{00000000-0004-0000-0000-000004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H36"/>
  <sheetViews>
    <sheetView showGridLines="0" topLeftCell="A9" zoomScaleNormal="100" workbookViewId="0">
      <selection activeCell="B23" sqref="B23"/>
    </sheetView>
  </sheetViews>
  <sheetFormatPr defaultColWidth="8.5703125" defaultRowHeight="15" x14ac:dyDescent="0.25"/>
  <cols>
    <col min="1" max="1" width="47.42578125" customWidth="1"/>
    <col min="2" max="2" width="14.28515625" customWidth="1"/>
    <col min="3" max="4" width="14" customWidth="1"/>
    <col min="5" max="5" width="22" customWidth="1"/>
    <col min="6" max="8" width="14" customWidth="1"/>
  </cols>
  <sheetData>
    <row r="1" spans="1:8" ht="19.5" customHeight="1" x14ac:dyDescent="0.3">
      <c r="A1" s="2" t="s">
        <v>82</v>
      </c>
    </row>
    <row r="2" spans="1:8" ht="15" customHeight="1" x14ac:dyDescent="0.25">
      <c r="A2" s="64" t="s">
        <v>83</v>
      </c>
      <c r="B2" s="64"/>
      <c r="C2" s="64"/>
      <c r="D2" s="64"/>
      <c r="E2" s="64"/>
      <c r="F2" s="64"/>
      <c r="G2" s="64"/>
      <c r="H2" s="64"/>
    </row>
    <row r="3" spans="1:8" ht="15" customHeight="1" x14ac:dyDescent="0.25">
      <c r="A3" s="4" t="s">
        <v>84</v>
      </c>
      <c r="B3" s="5" t="s">
        <v>85</v>
      </c>
      <c r="C3" s="5" t="s">
        <v>86</v>
      </c>
      <c r="D3" s="5" t="s">
        <v>87</v>
      </c>
      <c r="E3" s="5" t="s">
        <v>88</v>
      </c>
    </row>
    <row r="5" spans="1:8" ht="27.75" customHeight="1" x14ac:dyDescent="0.25">
      <c r="A5" s="9" t="s">
        <v>89</v>
      </c>
      <c r="B5" s="9" t="s">
        <v>90</v>
      </c>
      <c r="C5" s="10" t="s">
        <v>91</v>
      </c>
      <c r="D5" s="10" t="s">
        <v>92</v>
      </c>
      <c r="E5" s="11" t="s">
        <v>93</v>
      </c>
      <c r="F5" s="12" t="s">
        <v>94</v>
      </c>
    </row>
    <row r="6" spans="1:8" ht="25.5" customHeight="1" x14ac:dyDescent="0.25">
      <c r="A6" s="13">
        <f>COUNTIFS('Projected Sales or Lease'!$A$3:$A$200,"&lt;&gt;",'Projected Sales or Lease'!$L$3:$L$200,"=")</f>
        <v>14</v>
      </c>
      <c r="B6" s="14">
        <f>SUMIFS('Projected Sales or Lease'!$F$3:$F$200,'Projected Sales or Lease'!$A$3:$A$200,"&lt;&gt;",'Projected Sales or Lease'!$L$3:$L$200,"=")</f>
        <v>286643.36</v>
      </c>
      <c r="C6" s="15">
        <f>COUNTIFS('Projected Sales or Lease'!$L$3:$L$200,"✔")</f>
        <v>15</v>
      </c>
      <c r="D6" s="16">
        <f>SUMIFS('Projected Sales or Lease'!$F$3:$F$200,'Projected Sales or Lease'!$L$3:$L$200,"✔")</f>
        <v>453859.92</v>
      </c>
      <c r="E6" s="17">
        <f>SUMIFS('Projected Sales or Lease'!$F$3:$F$200,'Projected Sales or Lease'!$A$3:$A$200,"&lt;&gt;",'Projected Sales or Lease'!$L$3:$L$200,"&lt;&gt;X")</f>
        <v>740503.28</v>
      </c>
      <c r="F6" s="18">
        <f>COUNTIFS('Projected Sales or Lease'!$L$3:$L$200,"X")</f>
        <v>0</v>
      </c>
    </row>
    <row r="9" spans="1:8" ht="15" customHeight="1" x14ac:dyDescent="0.25">
      <c r="A9" s="19" t="s">
        <v>95</v>
      </c>
    </row>
    <row r="10" spans="1:8" ht="15" customHeight="1" x14ac:dyDescent="0.25">
      <c r="A10" s="20" t="s">
        <v>96</v>
      </c>
      <c r="B10" s="20" t="s">
        <v>97</v>
      </c>
      <c r="C10" s="20" t="s">
        <v>98</v>
      </c>
      <c r="D10" s="20" t="s">
        <v>99</v>
      </c>
      <c r="E10" s="20" t="s">
        <v>100</v>
      </c>
      <c r="F10" s="20" t="s">
        <v>101</v>
      </c>
      <c r="G10" s="20" t="s">
        <v>92</v>
      </c>
      <c r="H10" s="20" t="s">
        <v>102</v>
      </c>
    </row>
    <row r="11" spans="1:8" ht="15" customHeight="1" x14ac:dyDescent="0.25">
      <c r="A11" s="21" t="str">
        <f>IF(Lists!$Q$2="","",Lists!$Q$2)</f>
        <v>Bill</v>
      </c>
      <c r="B11" s="22">
        <f>IF($A11="","",COUNTIFS('Projected Sales or Lease'!$B$3:$B$200,$A11,'Projected Sales or Lease'!$L$3:$L$200,"&lt;&gt;X"))</f>
        <v>0</v>
      </c>
      <c r="C11" s="23">
        <f>IF($A11="","",SUMIFS('Projected Sales or Lease'!$F$3:$F$200,'Projected Sales or Lease'!$B$3:$B$200,$A11,'Projected Sales or Lease'!$L$3:$L$200,"&lt;&gt;X",'Projected Sales or Lease'!$J$3:$J$200,"&lt;&gt;Lease"))</f>
        <v>0</v>
      </c>
      <c r="D11" s="23">
        <f>IF($A11="","",SUMIFS('Projected Sales or Lease'!$F$3:$F$200,'Projected Sales or Lease'!$B$3:$B$200,$A11,'Projected Sales or Lease'!$L$3:$L$200,"&lt;&gt;X",'Projected Sales or Lease'!$J$3:$J$200,"Lease"))</f>
        <v>0</v>
      </c>
      <c r="E11" s="23">
        <f>IF($A11="","",SUMIFS('Projected Sales or Lease'!$F$3:$F$200,'Projected Sales or Lease'!$B$3:$B$200,$A11,'Projected Sales or Lease'!$L$3:$L$200,"&lt;&gt;X"))</f>
        <v>0</v>
      </c>
      <c r="F11" s="22">
        <f>IF($A11="","",COUNTIFS('Projected Sales or Lease'!$B$3:$B$200,$A11,'Projected Sales or Lease'!$L$3:$L$200,"✔"))</f>
        <v>0</v>
      </c>
      <c r="G11" s="23">
        <f>IF($A11="","",SUMIFS('Projected Sales or Lease'!$F$3:$F$200,'Projected Sales or Lease'!$B$3:$B$200,$A11,'Projected Sales or Lease'!$L$3:$L$200,"✔"))</f>
        <v>0</v>
      </c>
      <c r="H11" s="23">
        <f t="shared" ref="H11:H25" si="0">IF($A11="","",$E11-$G11)</f>
        <v>0</v>
      </c>
    </row>
    <row r="12" spans="1:8" ht="15" customHeight="1" x14ac:dyDescent="0.25">
      <c r="A12" s="21" t="str">
        <f>IF(Lists!$Q$3="","",Lists!$Q$3)</f>
        <v>Lance</v>
      </c>
      <c r="B12" s="22">
        <f>IF($A12="","",COUNTIFS('Projected Sales or Lease'!$B$3:$B$200,$A12,'Projected Sales or Lease'!$L$3:$L$200,"&lt;&gt;X"))</f>
        <v>1</v>
      </c>
      <c r="C12" s="23">
        <f>IF($A12="","",SUMIFS('Projected Sales or Lease'!$F$3:$F$200,'Projected Sales or Lease'!$B$3:$B$200,$A12,'Projected Sales or Lease'!$L$3:$L$200,"&lt;&gt;X",'Projected Sales or Lease'!$J$3:$J$200,"&lt;&gt;Lease"))</f>
        <v>23953.08</v>
      </c>
      <c r="D12" s="23">
        <f>IF($A12="","",SUMIFS('Projected Sales or Lease'!$F$3:$F$200,'Projected Sales or Lease'!$B$3:$B$200,$A12,'Projected Sales or Lease'!$L$3:$L$200,"&lt;&gt;X",'Projected Sales or Lease'!$J$3:$J$200,"Lease"))</f>
        <v>0</v>
      </c>
      <c r="E12" s="23">
        <f>IF($A12="","",SUMIFS('Projected Sales or Lease'!$F$3:$F$200,'Projected Sales or Lease'!$B$3:$B$200,$A12,'Projected Sales or Lease'!$L$3:$L$200,"&lt;&gt;X"))</f>
        <v>23953.08</v>
      </c>
      <c r="F12" s="22">
        <f>IF($A12="","",COUNTIFS('Projected Sales or Lease'!$B$3:$B$200,$A12,'Projected Sales or Lease'!$L$3:$L$200,"✔"))</f>
        <v>1</v>
      </c>
      <c r="G12" s="23">
        <f>IF($A12="","",SUMIFS('Projected Sales or Lease'!$F$3:$F$200,'Projected Sales or Lease'!$B$3:$B$200,$A12,'Projected Sales or Lease'!$L$3:$L$200,"✔"))</f>
        <v>23953.08</v>
      </c>
      <c r="H12" s="23">
        <f t="shared" si="0"/>
        <v>0</v>
      </c>
    </row>
    <row r="13" spans="1:8" ht="15" customHeight="1" x14ac:dyDescent="0.25">
      <c r="A13" s="21" t="str">
        <f>IF(Lists!$Q$4="","",Lists!$Q$4)</f>
        <v>Sean</v>
      </c>
      <c r="B13" s="22">
        <f>IF($A13="","",COUNTIFS('Projected Sales or Lease'!$B$3:$B$200,$A13,'Projected Sales or Lease'!$L$3:$L$200,"&lt;&gt;X"))</f>
        <v>3</v>
      </c>
      <c r="C13" s="23">
        <f>IF($A13="","",SUMIFS('Projected Sales or Lease'!$F$3:$F$200,'Projected Sales or Lease'!$B$3:$B$200,$A13,'Projected Sales or Lease'!$L$3:$L$200,"&lt;&gt;X",'Projected Sales or Lease'!$J$3:$J$200,"&lt;&gt;Lease"))</f>
        <v>0</v>
      </c>
      <c r="D13" s="23">
        <f>IF($A13="","",SUMIFS('Projected Sales or Lease'!$F$3:$F$200,'Projected Sales or Lease'!$B$3:$B$200,$A13,'Projected Sales or Lease'!$L$3:$L$200,"&lt;&gt;X",'Projected Sales or Lease'!$J$3:$J$200,"Lease"))</f>
        <v>59728.4</v>
      </c>
      <c r="E13" s="23">
        <f>IF($A13="","",SUMIFS('Projected Sales or Lease'!$F$3:$F$200,'Projected Sales or Lease'!$B$3:$B$200,$A13,'Projected Sales or Lease'!$L$3:$L$200,"&lt;&gt;X"))</f>
        <v>59728.4</v>
      </c>
      <c r="F13" s="22">
        <f>IF($A13="","",COUNTIFS('Projected Sales or Lease'!$B$3:$B$200,$A13,'Projected Sales or Lease'!$L$3:$L$200,"✔"))</f>
        <v>1</v>
      </c>
      <c r="G13" s="23">
        <f>IF($A13="","",SUMIFS('Projected Sales or Lease'!$F$3:$F$200,'Projected Sales or Lease'!$B$3:$B$200,$A13,'Projected Sales or Lease'!$L$3:$L$200,"✔"))</f>
        <v>19800</v>
      </c>
      <c r="H13" s="23">
        <f t="shared" si="0"/>
        <v>39928.400000000001</v>
      </c>
    </row>
    <row r="14" spans="1:8" ht="15" customHeight="1" x14ac:dyDescent="0.25">
      <c r="A14" s="21" t="str">
        <f>IF(Lists!$Q$5="","",Lists!$Q$5)</f>
        <v>Shannon</v>
      </c>
      <c r="B14" s="22">
        <f>IF($A14="","",COUNTIFS('Projected Sales or Lease'!$B$3:$B$200,$A14,'Projected Sales or Lease'!$L$3:$L$200,"&lt;&gt;X"))</f>
        <v>1</v>
      </c>
      <c r="C14" s="23">
        <f>IF($A14="","",SUMIFS('Projected Sales or Lease'!$F$3:$F$200,'Projected Sales or Lease'!$B$3:$B$200,$A14,'Projected Sales or Lease'!$L$3:$L$200,"&lt;&gt;X",'Projected Sales or Lease'!$J$3:$J$200,"&lt;&gt;Lease"))</f>
        <v>16051</v>
      </c>
      <c r="D14" s="23">
        <f>IF($A14="","",SUMIFS('Projected Sales or Lease'!$F$3:$F$200,'Projected Sales or Lease'!$B$3:$B$200,$A14,'Projected Sales or Lease'!$L$3:$L$200,"&lt;&gt;X",'Projected Sales or Lease'!$J$3:$J$200,"Lease"))</f>
        <v>0</v>
      </c>
      <c r="E14" s="23">
        <f>IF($A14="","",SUMIFS('Projected Sales or Lease'!$F$3:$F$200,'Projected Sales or Lease'!$B$3:$B$200,$A14,'Projected Sales or Lease'!$L$3:$L$200,"&lt;&gt;X"))</f>
        <v>16051</v>
      </c>
      <c r="F14" s="22">
        <f>IF($A14="","",COUNTIFS('Projected Sales or Lease'!$B$3:$B$200,$A14,'Projected Sales or Lease'!$L$3:$L$200,"✔"))</f>
        <v>0</v>
      </c>
      <c r="G14" s="23">
        <f>IF($A14="","",SUMIFS('Projected Sales or Lease'!$F$3:$F$200,'Projected Sales or Lease'!$B$3:$B$200,$A14,'Projected Sales or Lease'!$L$3:$L$200,"✔"))</f>
        <v>0</v>
      </c>
      <c r="H14" s="23">
        <f t="shared" si="0"/>
        <v>16051</v>
      </c>
    </row>
    <row r="15" spans="1:8" ht="15" customHeight="1" x14ac:dyDescent="0.25">
      <c r="A15" s="21" t="str">
        <f>IF(Lists!$Q$6="","",Lists!$Q$6)</f>
        <v>Lizbeth</v>
      </c>
      <c r="B15" s="22">
        <f>IF($A15="","",COUNTIFS('Projected Sales or Lease'!$B$3:$B$200,$A15,'Projected Sales or Lease'!$L$3:$L$200,"&lt;&gt;X"))</f>
        <v>10</v>
      </c>
      <c r="C15" s="23">
        <f>IF($A15="","",SUMIFS('Projected Sales or Lease'!$F$3:$F$200,'Projected Sales or Lease'!$B$3:$B$200,$A15,'Projected Sales or Lease'!$L$3:$L$200,"&lt;&gt;X",'Projected Sales or Lease'!$J$3:$J$200,"&lt;&gt;Lease"))</f>
        <v>238090.64</v>
      </c>
      <c r="D15" s="23">
        <f>IF($A15="","",SUMIFS('Projected Sales or Lease'!$F$3:$F$200,'Projected Sales or Lease'!$B$3:$B$200,$A15,'Projected Sales or Lease'!$L$3:$L$200,"&lt;&gt;X",'Projected Sales or Lease'!$J$3:$J$200,"Lease"))</f>
        <v>39600</v>
      </c>
      <c r="E15" s="23">
        <f>IF($A15="","",SUMIFS('Projected Sales or Lease'!$F$3:$F$200,'Projected Sales or Lease'!$B$3:$B$200,$A15,'Projected Sales or Lease'!$L$3:$L$200,"&lt;&gt;X"))</f>
        <v>277690.64</v>
      </c>
      <c r="F15" s="22">
        <f>IF($A15="","",COUNTIFS('Projected Sales or Lease'!$B$3:$B$200,$A15,'Projected Sales or Lease'!$L$3:$L$200,"✔"))</f>
        <v>4</v>
      </c>
      <c r="G15" s="23">
        <f>IF($A15="","",SUMIFS('Projected Sales or Lease'!$F$3:$F$200,'Projected Sales or Lease'!$B$3:$B$200,$A15,'Projected Sales or Lease'!$L$3:$L$200,"✔"))</f>
        <v>133008.38</v>
      </c>
      <c r="H15" s="23">
        <f t="shared" si="0"/>
        <v>144682.26</v>
      </c>
    </row>
    <row r="16" spans="1:8" ht="15" customHeight="1" x14ac:dyDescent="0.25">
      <c r="A16" s="21" t="str">
        <f>IF(Lists!$Q$7="","",Lists!$Q$7)</f>
        <v>Amanda</v>
      </c>
      <c r="B16" s="22">
        <f>IF($A16="","",COUNTIFS('Projected Sales or Lease'!$B$3:$B$200,$A16,'Projected Sales or Lease'!$L$3:$L$200,"&lt;&gt;X"))</f>
        <v>12</v>
      </c>
      <c r="C16" s="23">
        <f>IF($A16="","",SUMIFS('Projected Sales or Lease'!$F$3:$F$200,'Projected Sales or Lease'!$B$3:$B$200,$A16,'Projected Sales or Lease'!$L$3:$L$200,"&lt;&gt;X",'Projected Sales or Lease'!$J$3:$J$200,"&lt;&gt;Lease"))</f>
        <v>348080.16000000003</v>
      </c>
      <c r="D16" s="23">
        <f>IF($A16="","",SUMIFS('Projected Sales or Lease'!$F$3:$F$200,'Projected Sales or Lease'!$B$3:$B$200,$A16,'Projected Sales or Lease'!$L$3:$L$200,"&lt;&gt;X",'Projected Sales or Lease'!$J$3:$J$200,"Lease"))</f>
        <v>15000</v>
      </c>
      <c r="E16" s="23">
        <f>IF($A16="","",SUMIFS('Projected Sales or Lease'!$F$3:$F$200,'Projected Sales or Lease'!$B$3:$B$200,$A16,'Projected Sales or Lease'!$L$3:$L$200,"&lt;&gt;X"))</f>
        <v>363080.16000000003</v>
      </c>
      <c r="F16" s="22">
        <f>IF($A16="","",COUNTIFS('Projected Sales or Lease'!$B$3:$B$200,$A16,'Projected Sales or Lease'!$L$3:$L$200,"✔"))</f>
        <v>9</v>
      </c>
      <c r="G16" s="23">
        <f>IF($A16="","",SUMIFS('Projected Sales or Lease'!$F$3:$F$200,'Projected Sales or Lease'!$B$3:$B$200,$A16,'Projected Sales or Lease'!$L$3:$L$200,"✔"))</f>
        <v>277098.45999999996</v>
      </c>
      <c r="H16" s="23">
        <f t="shared" si="0"/>
        <v>85981.70000000007</v>
      </c>
    </row>
    <row r="17" spans="1:8" ht="15" customHeight="1" x14ac:dyDescent="0.25">
      <c r="A17" s="21" t="str">
        <f>IF(Lists!$Q$8="","",Lists!$Q$8)</f>
        <v>Jesus</v>
      </c>
      <c r="B17" s="22">
        <f>IF($A17="","",COUNTIFS('Projected Sales or Lease'!$B$3:$B$200,$A17,'Projected Sales or Lease'!$L$3:$L$200,"&lt;&gt;X"))</f>
        <v>0</v>
      </c>
      <c r="C17" s="23">
        <f>IF($A17="","",SUMIFS('Projected Sales or Lease'!$F$3:$F$200,'Projected Sales or Lease'!$B$3:$B$200,$A17,'Projected Sales or Lease'!$L$3:$L$200,"&lt;&gt;X",'Projected Sales or Lease'!$J$3:$J$200,"&lt;&gt;Lease"))</f>
        <v>0</v>
      </c>
      <c r="D17" s="23">
        <f>IF($A17="","",SUMIFS('Projected Sales or Lease'!$F$3:$F$200,'Projected Sales or Lease'!$B$3:$B$200,$A17,'Projected Sales or Lease'!$L$3:$L$200,"&lt;&gt;X",'Projected Sales or Lease'!$J$3:$J$200,"Lease"))</f>
        <v>0</v>
      </c>
      <c r="E17" s="23">
        <f>IF($A17="","",SUMIFS('Projected Sales or Lease'!$F$3:$F$200,'Projected Sales or Lease'!$B$3:$B$200,$A17,'Projected Sales or Lease'!$L$3:$L$200,"&lt;&gt;X"))</f>
        <v>0</v>
      </c>
      <c r="F17" s="22">
        <f>IF($A17="","",COUNTIFS('Projected Sales or Lease'!$B$3:$B$200,$A17,'Projected Sales or Lease'!$L$3:$L$200,"✔"))</f>
        <v>0</v>
      </c>
      <c r="G17" s="23">
        <f>IF($A17="","",SUMIFS('Projected Sales or Lease'!$F$3:$F$200,'Projected Sales or Lease'!$B$3:$B$200,$A17,'Projected Sales or Lease'!$L$3:$L$200,"✔"))</f>
        <v>0</v>
      </c>
      <c r="H17" s="23">
        <f t="shared" si="0"/>
        <v>0</v>
      </c>
    </row>
    <row r="18" spans="1:8" ht="15" customHeight="1" x14ac:dyDescent="0.25">
      <c r="A18" s="21" t="str">
        <f>IF(Lists!$Q$9="","",Lists!$Q$9)</f>
        <v/>
      </c>
      <c r="B18" s="22" t="str">
        <f>IF($A18="","",COUNTIFS('Projected Sales or Lease'!$B$3:$B$200,$A18,'Projected Sales or Lease'!$L$3:$L$200,"&lt;&gt;X"))</f>
        <v/>
      </c>
      <c r="C18" s="23" t="str">
        <f>IF($A18="","",SUMIFS('Projected Sales or Lease'!$F$3:$F$200,'Projected Sales or Lease'!$B$3:$B$200,$A18,'Projected Sales or Lease'!$L$3:$L$200,"&lt;&gt;X",'Projected Sales or Lease'!$J$3:$J$200,"&lt;&gt;Lease"))</f>
        <v/>
      </c>
      <c r="D18" s="23" t="str">
        <f>IF($A18="","",SUMIFS('Projected Sales or Lease'!$F$3:$F$200,'Projected Sales or Lease'!$B$3:$B$200,$A18,'Projected Sales or Lease'!$L$3:$L$200,"&lt;&gt;X",'Projected Sales or Lease'!$J$3:$J$200,"Lease"))</f>
        <v/>
      </c>
      <c r="E18" s="23" t="str">
        <f>IF($A18="","",SUMIFS('Projected Sales or Lease'!$F$3:$F$200,'Projected Sales or Lease'!$B$3:$B$200,$A18,'Projected Sales or Lease'!$L$3:$L$200,"&lt;&gt;X"))</f>
        <v/>
      </c>
      <c r="F18" s="22" t="str">
        <f>IF($A18="","",COUNTIFS('Projected Sales or Lease'!$B$3:$B$200,$A18,'Projected Sales or Lease'!$L$3:$L$200,"✔"))</f>
        <v/>
      </c>
      <c r="G18" s="23" t="str">
        <f>IF($A18="","",SUMIFS('Projected Sales or Lease'!$F$3:$F$200,'Projected Sales or Lease'!$B$3:$B$200,$A18,'Projected Sales or Lease'!$L$3:$L$200,"✔"))</f>
        <v/>
      </c>
      <c r="H18" s="23" t="str">
        <f t="shared" si="0"/>
        <v/>
      </c>
    </row>
    <row r="19" spans="1:8" ht="15" customHeight="1" x14ac:dyDescent="0.25">
      <c r="A19" s="21" t="str">
        <f>IF(Lists!$Q$10="","",Lists!$Q$10)</f>
        <v/>
      </c>
      <c r="B19" s="22" t="str">
        <f>IF($A19="","",COUNTIFS('Projected Sales or Lease'!$B$3:$B$200,$A19,'Projected Sales or Lease'!$L$3:$L$200,"&lt;&gt;X"))</f>
        <v/>
      </c>
      <c r="C19" s="23" t="str">
        <f>IF($A19="","",SUMIFS('Projected Sales or Lease'!$F$3:$F$200,'Projected Sales or Lease'!$B$3:$B$200,$A19,'Projected Sales or Lease'!$L$3:$L$200,"&lt;&gt;X",'Projected Sales or Lease'!$J$3:$J$200,"&lt;&gt;Lease"))</f>
        <v/>
      </c>
      <c r="D19" s="23" t="str">
        <f>IF($A19="","",SUMIFS('Projected Sales or Lease'!$F$3:$F$200,'Projected Sales or Lease'!$B$3:$B$200,$A19,'Projected Sales or Lease'!$L$3:$L$200,"&lt;&gt;X",'Projected Sales or Lease'!$J$3:$J$200,"Lease"))</f>
        <v/>
      </c>
      <c r="E19" s="23" t="str">
        <f>IF($A19="","",SUMIFS('Projected Sales or Lease'!$F$3:$F$200,'Projected Sales or Lease'!$B$3:$B$200,$A19,'Projected Sales or Lease'!$L$3:$L$200,"&lt;&gt;X"))</f>
        <v/>
      </c>
      <c r="F19" s="22" t="str">
        <f>IF($A19="","",COUNTIFS('Projected Sales or Lease'!$B$3:$B$200,$A19,'Projected Sales or Lease'!$L$3:$L$200,"✔"))</f>
        <v/>
      </c>
      <c r="G19" s="23" t="str">
        <f>IF($A19="","",SUMIFS('Projected Sales or Lease'!$F$3:$F$200,'Projected Sales or Lease'!$B$3:$B$200,$A19,'Projected Sales or Lease'!$L$3:$L$200,"✔"))</f>
        <v/>
      </c>
      <c r="H19" s="23" t="str">
        <f t="shared" si="0"/>
        <v/>
      </c>
    </row>
    <row r="20" spans="1:8" ht="15" customHeight="1" x14ac:dyDescent="0.25">
      <c r="A20" s="21" t="str">
        <f>IF(Lists!$Q$11="","",Lists!$Q$11)</f>
        <v/>
      </c>
      <c r="B20" s="22" t="str">
        <f>IF($A20="","",COUNTIFS('Projected Sales or Lease'!$B$3:$B$200,$A20,'Projected Sales or Lease'!$L$3:$L$200,"&lt;&gt;X"))</f>
        <v/>
      </c>
      <c r="C20" s="23" t="str">
        <f>IF($A20="","",SUMIFS('Projected Sales or Lease'!$F$3:$F$200,'Projected Sales or Lease'!$B$3:$B$200,$A20,'Projected Sales or Lease'!$L$3:$L$200,"&lt;&gt;X",'Projected Sales or Lease'!$J$3:$J$200,"&lt;&gt;Lease"))</f>
        <v/>
      </c>
      <c r="D20" s="23" t="str">
        <f>IF($A20="","",SUMIFS('Projected Sales or Lease'!$F$3:$F$200,'Projected Sales or Lease'!$B$3:$B$200,$A20,'Projected Sales or Lease'!$L$3:$L$200,"&lt;&gt;X",'Projected Sales or Lease'!$J$3:$J$200,"Lease"))</f>
        <v/>
      </c>
      <c r="E20" s="23" t="str">
        <f>IF($A20="","",SUMIFS('Projected Sales or Lease'!$F$3:$F$200,'Projected Sales or Lease'!$B$3:$B$200,$A20,'Projected Sales or Lease'!$L$3:$L$200,"&lt;&gt;X"))</f>
        <v/>
      </c>
      <c r="F20" s="22" t="str">
        <f>IF($A20="","",COUNTIFS('Projected Sales or Lease'!$B$3:$B$200,$A20,'Projected Sales or Lease'!$L$3:$L$200,"✔"))</f>
        <v/>
      </c>
      <c r="G20" s="23" t="str">
        <f>IF($A20="","",SUMIFS('Projected Sales or Lease'!$F$3:$F$200,'Projected Sales or Lease'!$B$3:$B$200,$A20,'Projected Sales or Lease'!$L$3:$L$200,"✔"))</f>
        <v/>
      </c>
      <c r="H20" s="23" t="str">
        <f t="shared" si="0"/>
        <v/>
      </c>
    </row>
    <row r="21" spans="1:8" ht="15" customHeight="1" x14ac:dyDescent="0.25">
      <c r="A21" s="21" t="str">
        <f>IF(Lists!$Q$12="","",Lists!$Q$12)</f>
        <v/>
      </c>
      <c r="B21" s="22" t="str">
        <f>IF($A21="","",COUNTIFS('Projected Sales or Lease'!$B$3:$B$200,$A21,'Projected Sales or Lease'!$L$3:$L$200,"&lt;&gt;X"))</f>
        <v/>
      </c>
      <c r="C21" s="23" t="str">
        <f>IF($A21="","",SUMIFS('Projected Sales or Lease'!$F$3:$F$200,'Projected Sales or Lease'!$B$3:$B$200,$A21,'Projected Sales or Lease'!$L$3:$L$200,"&lt;&gt;X",'Projected Sales or Lease'!$J$3:$J$200,"&lt;&gt;Lease"))</f>
        <v/>
      </c>
      <c r="D21" s="23" t="str">
        <f>IF($A21="","",SUMIFS('Projected Sales or Lease'!$F$3:$F$200,'Projected Sales or Lease'!$B$3:$B$200,$A21,'Projected Sales or Lease'!$L$3:$L$200,"&lt;&gt;X",'Projected Sales or Lease'!$J$3:$J$200,"Lease"))</f>
        <v/>
      </c>
      <c r="E21" s="23" t="str">
        <f>IF($A21="","",SUMIFS('Projected Sales or Lease'!$F$3:$F$200,'Projected Sales or Lease'!$B$3:$B$200,$A21,'Projected Sales or Lease'!$L$3:$L$200,"&lt;&gt;X"))</f>
        <v/>
      </c>
      <c r="F21" s="22" t="str">
        <f>IF($A21="","",COUNTIFS('Projected Sales or Lease'!$B$3:$B$200,$A21,'Projected Sales or Lease'!$L$3:$L$200,"✔"))</f>
        <v/>
      </c>
      <c r="G21" s="23" t="str">
        <f>IF($A21="","",SUMIFS('Projected Sales or Lease'!$F$3:$F$200,'Projected Sales or Lease'!$B$3:$B$200,$A21,'Projected Sales or Lease'!$L$3:$L$200,"✔"))</f>
        <v/>
      </c>
      <c r="H21" s="23" t="str">
        <f t="shared" si="0"/>
        <v/>
      </c>
    </row>
    <row r="22" spans="1:8" ht="15" customHeight="1" x14ac:dyDescent="0.25">
      <c r="A22" s="21" t="str">
        <f>IF(Lists!$Q$13="","",Lists!$Q$13)</f>
        <v/>
      </c>
      <c r="B22" s="22" t="str">
        <f>IF($A22="","",COUNTIFS('Projected Sales or Lease'!$B$3:$B$200,$A22,'Projected Sales or Lease'!$L$3:$L$200,"&lt;&gt;X"))</f>
        <v/>
      </c>
      <c r="C22" s="23" t="str">
        <f>IF($A22="","",SUMIFS('Projected Sales or Lease'!$F$3:$F$200,'Projected Sales or Lease'!$B$3:$B$200,$A22,'Projected Sales or Lease'!$L$3:$L$200,"&lt;&gt;X",'Projected Sales or Lease'!$J$3:$J$200,"&lt;&gt;Lease"))</f>
        <v/>
      </c>
      <c r="D22" s="23" t="str">
        <f>IF($A22="","",SUMIFS('Projected Sales or Lease'!$F$3:$F$200,'Projected Sales or Lease'!$B$3:$B$200,$A22,'Projected Sales or Lease'!$L$3:$L$200,"&lt;&gt;X",'Projected Sales or Lease'!$J$3:$J$200,"Lease"))</f>
        <v/>
      </c>
      <c r="E22" s="23" t="str">
        <f>IF($A22="","",SUMIFS('Projected Sales or Lease'!$F$3:$F$200,'Projected Sales or Lease'!$B$3:$B$200,$A22,'Projected Sales or Lease'!$L$3:$L$200,"&lt;&gt;X"))</f>
        <v/>
      </c>
      <c r="F22" s="22" t="str">
        <f>IF($A22="","",COUNTIFS('Projected Sales or Lease'!$B$3:$B$200,$A22,'Projected Sales or Lease'!$L$3:$L$200,"✔"))</f>
        <v/>
      </c>
      <c r="G22" s="23" t="str">
        <f>IF($A22="","",SUMIFS('Projected Sales or Lease'!$F$3:$F$200,'Projected Sales or Lease'!$B$3:$B$200,$A22,'Projected Sales or Lease'!$L$3:$L$200,"✔"))</f>
        <v/>
      </c>
      <c r="H22" s="23" t="str">
        <f t="shared" si="0"/>
        <v/>
      </c>
    </row>
    <row r="23" spans="1:8" ht="15" customHeight="1" x14ac:dyDescent="0.25">
      <c r="A23" s="21" t="str">
        <f>IF(Lists!$Q$14="","",Lists!$Q$14)</f>
        <v/>
      </c>
      <c r="B23" s="22" t="str">
        <f>IF($A23="","",COUNTIFS('Projected Sales or Lease'!$B$3:$B$200,$A23,'Projected Sales or Lease'!$L$3:$L$200,"&lt;&gt;X"))</f>
        <v/>
      </c>
      <c r="C23" s="23" t="str">
        <f>IF($A23="","",SUMIFS('Projected Sales or Lease'!$F$3:$F$200,'Projected Sales or Lease'!$B$3:$B$200,$A23,'Projected Sales or Lease'!$L$3:$L$200,"&lt;&gt;X",'Projected Sales or Lease'!$J$3:$J$200,"&lt;&gt;Lease"))</f>
        <v/>
      </c>
      <c r="D23" s="23" t="str">
        <f>IF($A23="","",SUMIFS('Projected Sales or Lease'!$F$3:$F$200,'Projected Sales or Lease'!$B$3:$B$200,$A23,'Projected Sales or Lease'!$L$3:$L$200,"&lt;&gt;X",'Projected Sales or Lease'!$J$3:$J$200,"Lease"))</f>
        <v/>
      </c>
      <c r="E23" s="23" t="str">
        <f>IF($A23="","",SUMIFS('Projected Sales or Lease'!$F$3:$F$200,'Projected Sales or Lease'!$B$3:$B$200,$A23,'Projected Sales or Lease'!$L$3:$L$200,"&lt;&gt;X"))</f>
        <v/>
      </c>
      <c r="F23" s="22" t="str">
        <f>IF($A23="","",COUNTIFS('Projected Sales or Lease'!$B$3:$B$200,$A23,'Projected Sales or Lease'!$L$3:$L$200,"✔"))</f>
        <v/>
      </c>
      <c r="G23" s="23" t="str">
        <f>IF($A23="","",SUMIFS('Projected Sales or Lease'!$F$3:$F$200,'Projected Sales or Lease'!$B$3:$B$200,$A23,'Projected Sales or Lease'!$L$3:$L$200,"✔"))</f>
        <v/>
      </c>
      <c r="H23" s="23" t="str">
        <f t="shared" si="0"/>
        <v/>
      </c>
    </row>
    <row r="24" spans="1:8" ht="15" customHeight="1" x14ac:dyDescent="0.25">
      <c r="A24" s="21" t="str">
        <f>IF(Lists!$Q$15="","",Lists!$Q$15)</f>
        <v/>
      </c>
      <c r="B24" s="22" t="str">
        <f>IF($A24="","",COUNTIFS('Projected Sales or Lease'!$B$3:$B$200,$A24,'Projected Sales or Lease'!$L$3:$L$200,"&lt;&gt;X"))</f>
        <v/>
      </c>
      <c r="C24" s="23" t="str">
        <f>IF($A24="","",SUMIFS('Projected Sales or Lease'!$F$3:$F$200,'Projected Sales or Lease'!$B$3:$B$200,$A24,'Projected Sales or Lease'!$L$3:$L$200,"&lt;&gt;X",'Projected Sales or Lease'!$J$3:$J$200,"&lt;&gt;Lease"))</f>
        <v/>
      </c>
      <c r="D24" s="23" t="str">
        <f>IF($A24="","",SUMIFS('Projected Sales or Lease'!$F$3:$F$200,'Projected Sales or Lease'!$B$3:$B$200,$A24,'Projected Sales or Lease'!$L$3:$L$200,"&lt;&gt;X",'Projected Sales or Lease'!$J$3:$J$200,"Lease"))</f>
        <v/>
      </c>
      <c r="E24" s="23" t="str">
        <f>IF($A24="","",SUMIFS('Projected Sales or Lease'!$F$3:$F$200,'Projected Sales or Lease'!$B$3:$B$200,$A24,'Projected Sales or Lease'!$L$3:$L$200,"&lt;&gt;X"))</f>
        <v/>
      </c>
      <c r="F24" s="22" t="str">
        <f>IF($A24="","",COUNTIFS('Projected Sales or Lease'!$B$3:$B$200,$A24,'Projected Sales or Lease'!$L$3:$L$200,"✔"))</f>
        <v/>
      </c>
      <c r="G24" s="23" t="str">
        <f>IF($A24="","",SUMIFS('Projected Sales or Lease'!$F$3:$F$200,'Projected Sales or Lease'!$B$3:$B$200,$A24,'Projected Sales or Lease'!$L$3:$L$200,"✔"))</f>
        <v/>
      </c>
      <c r="H24" s="23" t="str">
        <f t="shared" si="0"/>
        <v/>
      </c>
    </row>
    <row r="25" spans="1:8" ht="15" customHeight="1" x14ac:dyDescent="0.25">
      <c r="A25" s="21" t="str">
        <f>IF(Lists!$Q$16="","",Lists!$Q$16)</f>
        <v/>
      </c>
      <c r="B25" s="22" t="str">
        <f>IF($A25="","",COUNTIFS('Projected Sales or Lease'!$B$3:$B$200,$A25,'Projected Sales or Lease'!$L$3:$L$200,"&lt;&gt;X"))</f>
        <v/>
      </c>
      <c r="C25" s="23" t="str">
        <f>IF($A25="","",SUMIFS('Projected Sales or Lease'!$F$3:$F$200,'Projected Sales or Lease'!$B$3:$B$200,$A25,'Projected Sales or Lease'!$L$3:$L$200,"&lt;&gt;X",'Projected Sales or Lease'!$J$3:$J$200,"&lt;&gt;Lease"))</f>
        <v/>
      </c>
      <c r="D25" s="23" t="str">
        <f>IF($A25="","",SUMIFS('Projected Sales or Lease'!$F$3:$F$200,'Projected Sales or Lease'!$B$3:$B$200,$A25,'Projected Sales or Lease'!$L$3:$L$200,"&lt;&gt;X",'Projected Sales or Lease'!$J$3:$J$200,"Lease"))</f>
        <v/>
      </c>
      <c r="E25" s="23" t="str">
        <f>IF($A25="","",SUMIFS('Projected Sales or Lease'!$F$3:$F$200,'Projected Sales or Lease'!$B$3:$B$200,$A25,'Projected Sales or Lease'!$L$3:$L$200,"&lt;&gt;X"))</f>
        <v/>
      </c>
      <c r="F25" s="22" t="str">
        <f>IF($A25="","",COUNTIFS('Projected Sales or Lease'!$B$3:$B$200,$A25,'Projected Sales or Lease'!$L$3:$L$200,"✔"))</f>
        <v/>
      </c>
      <c r="G25" s="23" t="str">
        <f>IF($A25="","",SUMIFS('Projected Sales or Lease'!$F$3:$F$200,'Projected Sales or Lease'!$B$3:$B$200,$A25,'Projected Sales or Lease'!$L$3:$L$200,"✔"))</f>
        <v/>
      </c>
      <c r="H25" s="23" t="str">
        <f t="shared" si="0"/>
        <v/>
      </c>
    </row>
    <row r="26" spans="1:8" ht="15" customHeight="1" x14ac:dyDescent="0.25">
      <c r="A26" s="21" t="s">
        <v>103</v>
      </c>
      <c r="B26" s="22">
        <f>COUNTIFS('Projected Sales or Lease'!$A$3:$A$200,"&lt;&gt;",'Projected Sales or Lease'!$L$3:$L$200,"&lt;&gt;X")-SUM(B11:B25)</f>
        <v>2</v>
      </c>
      <c r="C26" s="23">
        <f>SUMIFS('Projected Sales or Lease'!$F$3:$F$200,'Projected Sales or Lease'!$A$3:$A$200,"&lt;&gt;",'Projected Sales or Lease'!$L$3:$L$200,"&lt;&gt;X",'Projected Sales or Lease'!$J$3:$J$200,"&lt;&gt;Lease")-SUM(C11:C25)</f>
        <v>0</v>
      </c>
      <c r="D26" s="23">
        <f>SUMIFS('Projected Sales or Lease'!$F$3:$F$200,'Projected Sales or Lease'!$A$3:$A$200,"&lt;&gt;",'Projected Sales or Lease'!$L$3:$L$200,"&lt;&gt;X",'Projected Sales or Lease'!$J$3:$J$200,"Lease")-SUM(D11:D25)</f>
        <v>0</v>
      </c>
      <c r="E26" s="23">
        <f>SUMIFS('Projected Sales or Lease'!$F$3:$F$200,'Projected Sales or Lease'!$A$3:$A$200,"&lt;&gt;",'Projected Sales or Lease'!$L$3:$L$200,"&lt;&gt;X")-SUM(E11:E25)</f>
        <v>0</v>
      </c>
      <c r="F26" s="22">
        <f>COUNTIFS('Projected Sales or Lease'!$L$3:$L$200,"✔")-SUM(F11:F25)</f>
        <v>0</v>
      </c>
      <c r="G26" s="23">
        <f>SUMIFS('Projected Sales or Lease'!$F$3:$F$200,'Projected Sales or Lease'!$L$3:$L$200,"✔")-SUM(G11:G25)</f>
        <v>0</v>
      </c>
      <c r="H26" s="23">
        <f>$E26-$G26</f>
        <v>0</v>
      </c>
    </row>
    <row r="27" spans="1:8" ht="15" customHeight="1" x14ac:dyDescent="0.25">
      <c r="A27" s="24" t="s">
        <v>104</v>
      </c>
      <c r="B27" s="25">
        <f t="shared" ref="B27:H27" si="1">SUM(B11:B26)</f>
        <v>29</v>
      </c>
      <c r="C27" s="26">
        <f t="shared" si="1"/>
        <v>626174.88000000012</v>
      </c>
      <c r="D27" s="26">
        <f t="shared" si="1"/>
        <v>114328.4</v>
      </c>
      <c r="E27" s="26">
        <f t="shared" si="1"/>
        <v>740503.28</v>
      </c>
      <c r="F27" s="25">
        <f t="shared" si="1"/>
        <v>15</v>
      </c>
      <c r="G27" s="26">
        <f t="shared" si="1"/>
        <v>453859.92</v>
      </c>
      <c r="H27" s="26">
        <f t="shared" si="1"/>
        <v>286643.3600000001</v>
      </c>
    </row>
    <row r="30" spans="1:8" ht="15" customHeight="1" x14ac:dyDescent="0.25">
      <c r="A30" s="19" t="s">
        <v>105</v>
      </c>
      <c r="E30" s="19" t="s">
        <v>106</v>
      </c>
    </row>
    <row r="31" spans="1:8" ht="15" customHeight="1" x14ac:dyDescent="0.25">
      <c r="A31" s="20" t="s">
        <v>107</v>
      </c>
      <c r="B31" s="20" t="s">
        <v>97</v>
      </c>
      <c r="C31" s="20" t="s">
        <v>108</v>
      </c>
      <c r="E31" s="20" t="s">
        <v>109</v>
      </c>
      <c r="F31" s="20" t="s">
        <v>97</v>
      </c>
      <c r="G31" s="20" t="s">
        <v>108</v>
      </c>
    </row>
    <row r="32" spans="1:8" ht="15" customHeight="1" x14ac:dyDescent="0.25">
      <c r="A32" s="21" t="str">
        <f>Lists!$R$2</f>
        <v>Payment Plan</v>
      </c>
      <c r="B32" s="22">
        <f>COUNTIFS('Projected Sales or Lease'!$J$3:$J$200,$A32,'Projected Sales or Lease'!$L$3:$L$200,"&lt;&gt;X")</f>
        <v>2</v>
      </c>
      <c r="C32" s="23">
        <f>SUMIFS('Projected Sales or Lease'!$F$3:$F$200,'Projected Sales or Lease'!$J$3:$J$200,$A32,'Projected Sales or Lease'!$L$3:$L$200,"&lt;&gt;X")</f>
        <v>118616.06</v>
      </c>
      <c r="E32" s="21" t="s">
        <v>110</v>
      </c>
      <c r="F32" s="22">
        <f>COUNTIFS('Projected Sales or Lease'!$G$3:$G$200,"✔",'Projected Sales or Lease'!$L$3:$L$200,"&lt;&gt;X")</f>
        <v>22</v>
      </c>
      <c r="G32" s="23">
        <f>SUMIFS('Projected Sales or Lease'!$F$3:$F$200,'Projected Sales or Lease'!$G$3:$G$200,"✔",'Projected Sales or Lease'!$L$3:$L$200,"&lt;&gt;X")</f>
        <v>614521.8600000001</v>
      </c>
    </row>
    <row r="33" spans="1:7" ht="15" customHeight="1" x14ac:dyDescent="0.25">
      <c r="A33" s="21" t="str">
        <f>Lists!$R$3</f>
        <v>50% Down + 50% upon install/30 days after</v>
      </c>
      <c r="B33" s="22">
        <f>COUNTIFS('Projected Sales or Lease'!$J$3:$J$200,$A33,'Projected Sales or Lease'!$L$3:$L$200,"&lt;&gt;X")</f>
        <v>4</v>
      </c>
      <c r="C33" s="23">
        <f>SUMIFS('Projected Sales or Lease'!$F$3:$F$200,'Projected Sales or Lease'!$J$3:$J$200,$A33,'Projected Sales or Lease'!$L$3:$L$200,"&lt;&gt;X")</f>
        <v>73322.28</v>
      </c>
      <c r="E33" s="21" t="s">
        <v>111</v>
      </c>
      <c r="F33" s="22">
        <f>COUNTIFS('Projected Sales or Lease'!$H$3:$H$200,"✔",'Projected Sales or Lease'!$L$3:$L$200,"&lt;&gt;X")</f>
        <v>21</v>
      </c>
      <c r="G33" s="23">
        <f>SUMIFS('Projected Sales or Lease'!$F$3:$F$200,'Projected Sales or Lease'!$H$3:$H$200,"✔",'Projected Sales or Lease'!$L$3:$L$200,"&lt;&gt;X")</f>
        <v>594721.8600000001</v>
      </c>
    </row>
    <row r="34" spans="1:7" ht="15" customHeight="1" x14ac:dyDescent="0.25">
      <c r="A34" s="21" t="str">
        <f>Lists!$R$4</f>
        <v>Lease</v>
      </c>
      <c r="B34" s="22">
        <f>COUNTIFS('Projected Sales or Lease'!$J$3:$J$200,$A34,'Projected Sales or Lease'!$L$3:$L$200,"&lt;&gt;X")</f>
        <v>6</v>
      </c>
      <c r="C34" s="23">
        <f>SUMIFS('Projected Sales or Lease'!$F$3:$F$200,'Projected Sales or Lease'!$J$3:$J$200,$A34,'Projected Sales or Lease'!$L$3:$L$200,"&lt;&gt;X")</f>
        <v>114328.4</v>
      </c>
      <c r="E34" s="21" t="s">
        <v>112</v>
      </c>
      <c r="F34" s="22">
        <f>COUNTIFS('Projected Sales or Lease'!$L$3:$L$200,"✔")</f>
        <v>15</v>
      </c>
      <c r="G34" s="23">
        <f>SUMIFS('Projected Sales or Lease'!$F$3:$F$200,'Projected Sales or Lease'!$L$3:$L$200,"✔")</f>
        <v>453859.92</v>
      </c>
    </row>
    <row r="35" spans="1:7" ht="15" customHeight="1" x14ac:dyDescent="0.25">
      <c r="A35" s="21" t="str">
        <f>Lists!$R$5</f>
        <v>Paid in Full</v>
      </c>
      <c r="B35" s="22">
        <f>COUNTIFS('Projected Sales or Lease'!$J$3:$J$200,$A35,'Projected Sales or Lease'!$L$3:$L$200,"&lt;&gt;X")</f>
        <v>11</v>
      </c>
      <c r="C35" s="23">
        <f>SUMIFS('Projected Sales or Lease'!$F$3:$F$200,'Projected Sales or Lease'!$J$3:$J$200,$A35,'Projected Sales or Lease'!$L$3:$L$200,"&lt;&gt;X")</f>
        <v>318255.12000000005</v>
      </c>
    </row>
    <row r="36" spans="1:7" ht="15" customHeight="1" x14ac:dyDescent="0.25">
      <c r="A36" s="21" t="s">
        <v>113</v>
      </c>
      <c r="B36" s="22">
        <f>COUNTIFS('Projected Sales or Lease'!$A$3:$A$200,"&lt;&gt;",'Projected Sales or Lease'!$J$3:$J$200,"=",'Projected Sales or Lease'!$L$3:$L$200,"&lt;&gt;X")</f>
        <v>6</v>
      </c>
      <c r="C36" s="23">
        <f>SUMIFS('Projected Sales or Lease'!$F$3:$F$200,'Projected Sales or Lease'!$A$3:$A$200,"&lt;&gt;",'Projected Sales or Lease'!$J$3:$J$200,"=",'Projected Sales or Lease'!$L$3:$L$200,"&lt;&gt;X")</f>
        <v>115981.42</v>
      </c>
    </row>
  </sheetData>
  <sheetProtection sheet="1" objects="1" scenarios="1"/>
  <mergeCells count="1">
    <mergeCell ref="A2:H2"/>
  </mergeCells>
  <hyperlinks>
    <hyperlink ref="B3" location="SOP!A1" display="SOP" xr:uid="{00000000-0004-0000-0100-000000000000}"/>
    <hyperlink ref="C3" location="'Projected Sales or Lease'!A1" display="Projected Sales or Lease" xr:uid="{00000000-0004-0000-0100-000001000000}"/>
    <hyperlink ref="D3" location="Installs!A1" display="Installs" xr:uid="{00000000-0004-0000-0100-000002000000}"/>
    <hyperlink ref="E3" location="Lists!A1" display="Lists" xr:uid="{00000000-0004-0000-0100-000003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O200"/>
  <sheetViews>
    <sheetView zoomScaleNormal="100" workbookViewId="0">
      <pane ySplit="2" topLeftCell="A11" activePane="bottomLeft" state="frozen"/>
      <selection pane="bottomLeft" activeCell="J18" sqref="J18"/>
    </sheetView>
  </sheetViews>
  <sheetFormatPr defaultColWidth="8.5703125" defaultRowHeight="15" x14ac:dyDescent="0.25"/>
  <cols>
    <col min="1" max="1" width="30" customWidth="1"/>
    <col min="2" max="2" width="12" customWidth="1"/>
    <col min="3" max="3" width="14" customWidth="1"/>
    <col min="4" max="4" width="12" customWidth="1"/>
    <col min="5" max="5" width="42" customWidth="1"/>
    <col min="6" max="6" width="14" customWidth="1"/>
    <col min="7" max="7" width="10" customWidth="1"/>
    <col min="8" max="9" width="12" customWidth="1"/>
    <col min="10" max="10" width="38.140625" customWidth="1"/>
    <col min="11" max="11" width="14" customWidth="1"/>
    <col min="12" max="12" width="12" customWidth="1"/>
    <col min="13" max="13" width="30" customWidth="1"/>
    <col min="14" max="15" width="8" hidden="1" customWidth="1"/>
  </cols>
  <sheetData>
    <row r="1" spans="1:15" ht="25.5" customHeight="1" x14ac:dyDescent="0.25">
      <c r="A1" s="27" t="s">
        <v>114</v>
      </c>
      <c r="E1" s="62" t="s">
        <v>115</v>
      </c>
      <c r="F1" s="62"/>
      <c r="G1" s="62"/>
      <c r="H1" s="62"/>
      <c r="I1" s="62"/>
      <c r="J1" s="62"/>
      <c r="K1" s="62"/>
      <c r="L1" s="62"/>
    </row>
    <row r="2" spans="1:15" ht="46.5" customHeight="1" x14ac:dyDescent="0.25">
      <c r="A2" s="28" t="s">
        <v>116</v>
      </c>
      <c r="B2" s="28" t="s">
        <v>96</v>
      </c>
      <c r="C2" s="28" t="s">
        <v>117</v>
      </c>
      <c r="D2" s="28" t="s">
        <v>118</v>
      </c>
      <c r="E2" s="28" t="s">
        <v>119</v>
      </c>
      <c r="F2" s="28" t="s">
        <v>120</v>
      </c>
      <c r="G2" s="28" t="s">
        <v>110</v>
      </c>
      <c r="H2" s="28" t="s">
        <v>111</v>
      </c>
      <c r="I2" s="28" t="s">
        <v>121</v>
      </c>
      <c r="J2" s="28" t="s">
        <v>107</v>
      </c>
      <c r="K2" s="28" t="s">
        <v>122</v>
      </c>
      <c r="L2" s="28" t="s">
        <v>123</v>
      </c>
      <c r="M2" s="28" t="s">
        <v>124</v>
      </c>
      <c r="N2" s="29" t="s">
        <v>125</v>
      </c>
      <c r="O2" s="29" t="s">
        <v>126</v>
      </c>
    </row>
    <row r="3" spans="1:15" ht="25.5" customHeight="1" x14ac:dyDescent="0.25">
      <c r="A3" s="30" t="s">
        <v>127</v>
      </c>
      <c r="B3" s="22" t="s">
        <v>128</v>
      </c>
      <c r="C3" s="22"/>
      <c r="D3" s="31"/>
      <c r="E3" s="30" t="s">
        <v>129</v>
      </c>
      <c r="F3" s="32">
        <v>11118.85</v>
      </c>
      <c r="G3" s="22" t="s">
        <v>130</v>
      </c>
      <c r="H3" s="22" t="s">
        <v>130</v>
      </c>
      <c r="I3" s="31" t="s">
        <v>131</v>
      </c>
      <c r="J3" s="33" t="s">
        <v>132</v>
      </c>
      <c r="K3" s="22">
        <v>740831</v>
      </c>
      <c r="L3" s="22" t="s">
        <v>130</v>
      </c>
      <c r="M3" s="30" t="s">
        <v>133</v>
      </c>
      <c r="N3" s="34">
        <f>IF(AND($L3="✔",$A3&lt;&gt;"",COUNTIF(Installs!$B$5:$B$159,$A3)=0),1,0)</f>
        <v>1</v>
      </c>
      <c r="O3" s="34">
        <f>IF($N3=1,SUM($N$3:$N3),"")</f>
        <v>1</v>
      </c>
    </row>
    <row r="4" spans="1:15" ht="15" customHeight="1" x14ac:dyDescent="0.25">
      <c r="A4" s="30" t="s">
        <v>134</v>
      </c>
      <c r="B4" s="22" t="s">
        <v>128</v>
      </c>
      <c r="C4" s="22" t="s">
        <v>135</v>
      </c>
      <c r="D4" s="31"/>
      <c r="E4" s="30" t="s">
        <v>136</v>
      </c>
      <c r="F4" s="32">
        <v>22151.26</v>
      </c>
      <c r="G4" s="22" t="s">
        <v>130</v>
      </c>
      <c r="H4" s="22" t="s">
        <v>130</v>
      </c>
      <c r="I4" s="31" t="s">
        <v>137</v>
      </c>
      <c r="J4" s="33" t="s">
        <v>138</v>
      </c>
      <c r="K4" s="22">
        <v>734302</v>
      </c>
      <c r="L4" s="22" t="s">
        <v>130</v>
      </c>
      <c r="M4" s="30"/>
      <c r="N4" s="34">
        <f>IF(AND($L4="✔",$A4&lt;&gt;"",COUNTIF(Installs!$B$5:$B$159,$A4)=0),1,0)</f>
        <v>1</v>
      </c>
      <c r="O4" s="34">
        <f>IF($N4=1,SUM($N$3:$N4),"")</f>
        <v>2</v>
      </c>
    </row>
    <row r="5" spans="1:15" ht="15" customHeight="1" x14ac:dyDescent="0.25">
      <c r="A5" s="30" t="s">
        <v>139</v>
      </c>
      <c r="B5" s="22" t="s">
        <v>140</v>
      </c>
      <c r="C5" s="22"/>
      <c r="D5" s="31"/>
      <c r="E5" s="30" t="s">
        <v>141</v>
      </c>
      <c r="F5" s="32">
        <v>37611.26</v>
      </c>
      <c r="G5" s="22" t="s">
        <v>130</v>
      </c>
      <c r="H5" s="22" t="s">
        <v>130</v>
      </c>
      <c r="I5" s="31"/>
      <c r="J5" s="33" t="s">
        <v>132</v>
      </c>
      <c r="K5" s="22">
        <v>745528</v>
      </c>
      <c r="L5" s="22"/>
      <c r="M5" s="30" t="s">
        <v>142</v>
      </c>
      <c r="N5" s="34">
        <f>IF(AND($L5="✔",$A5&lt;&gt;"",COUNTIF(Installs!$B$5:$B$159,$A5)=0),1,0)</f>
        <v>0</v>
      </c>
      <c r="O5" s="34" t="str">
        <f>IF($N5=1,SUM($N$3:$N5),"")</f>
        <v/>
      </c>
    </row>
    <row r="6" spans="1:15" ht="76.5" customHeight="1" x14ac:dyDescent="0.25">
      <c r="A6" s="30" t="s">
        <v>143</v>
      </c>
      <c r="B6" s="22" t="s">
        <v>140</v>
      </c>
      <c r="C6" s="22"/>
      <c r="D6" s="31"/>
      <c r="E6" s="30" t="s">
        <v>144</v>
      </c>
      <c r="F6" s="32">
        <v>49601.19</v>
      </c>
      <c r="G6" s="22" t="s">
        <v>130</v>
      </c>
      <c r="H6" s="22" t="s">
        <v>130</v>
      </c>
      <c r="I6" s="31"/>
      <c r="J6" s="33" t="s">
        <v>132</v>
      </c>
      <c r="K6" s="35" t="s">
        <v>145</v>
      </c>
      <c r="L6" s="22" t="s">
        <v>130</v>
      </c>
      <c r="M6" s="30" t="s">
        <v>146</v>
      </c>
      <c r="N6" s="34">
        <f>IF(AND($L6="✔",$A6&lt;&gt;"",COUNTIF(Installs!$B$5:$B$159,$A6)=0),1,0)</f>
        <v>1</v>
      </c>
      <c r="O6" s="34">
        <f>IF($N6=1,SUM($N$3:$N6),"")</f>
        <v>3</v>
      </c>
    </row>
    <row r="7" spans="1:15" ht="15" customHeight="1" x14ac:dyDescent="0.25">
      <c r="A7" s="30" t="s">
        <v>147</v>
      </c>
      <c r="B7" s="22" t="s">
        <v>140</v>
      </c>
      <c r="C7" s="22" t="s">
        <v>135</v>
      </c>
      <c r="D7" s="31"/>
      <c r="E7" s="30" t="s">
        <v>148</v>
      </c>
      <c r="F7" s="32">
        <v>35000</v>
      </c>
      <c r="G7" s="22"/>
      <c r="H7" s="22"/>
      <c r="I7" s="31"/>
      <c r="J7" s="33"/>
      <c r="K7" s="22"/>
      <c r="L7" s="22"/>
      <c r="M7" s="30" t="s">
        <v>149</v>
      </c>
      <c r="N7" s="34">
        <f>IF(AND($L7="✔",$A7&lt;&gt;"",COUNTIF(Installs!$B$5:$B$159,$A7)=0),1,0)</f>
        <v>0</v>
      </c>
      <c r="O7" s="34" t="str">
        <f>IF($N7=1,SUM($N$3:$N7),"")</f>
        <v/>
      </c>
    </row>
    <row r="8" spans="1:15" ht="15" customHeight="1" x14ac:dyDescent="0.25">
      <c r="A8" s="30" t="s">
        <v>150</v>
      </c>
      <c r="B8" s="22"/>
      <c r="C8" s="22"/>
      <c r="D8" s="31"/>
      <c r="E8" s="30"/>
      <c r="F8" s="32"/>
      <c r="G8" s="22"/>
      <c r="H8" s="22"/>
      <c r="I8" s="31"/>
      <c r="J8" s="33"/>
      <c r="K8" s="22"/>
      <c r="L8" s="22"/>
      <c r="M8" s="30"/>
      <c r="N8" s="34">
        <f>IF(AND($L8="✔",$A8&lt;&gt;"",COUNTIF(Installs!$B$5:$B$159,$A8)=0),1,0)</f>
        <v>0</v>
      </c>
      <c r="O8" s="34" t="str">
        <f>IF($N8=1,SUM($N$3:$N8),"")</f>
        <v/>
      </c>
    </row>
    <row r="9" spans="1:15" ht="25.5" customHeight="1" x14ac:dyDescent="0.25">
      <c r="A9" s="30" t="s">
        <v>151</v>
      </c>
      <c r="B9" s="22" t="s">
        <v>128</v>
      </c>
      <c r="C9" s="22"/>
      <c r="D9" s="31"/>
      <c r="E9" s="30" t="s">
        <v>152</v>
      </c>
      <c r="F9" s="32">
        <v>49930.42</v>
      </c>
      <c r="G9" s="22"/>
      <c r="H9" s="22"/>
      <c r="I9" s="31"/>
      <c r="J9" s="33"/>
      <c r="K9" s="22"/>
      <c r="L9" s="22"/>
      <c r="M9" s="30"/>
      <c r="N9" s="34">
        <f>IF(AND($L9="✔",$A9&lt;&gt;"",COUNTIF(Installs!$B$5:$B$159,$A9)=0),1,0)</f>
        <v>0</v>
      </c>
      <c r="O9" s="34" t="str">
        <f>IF($N9=1,SUM($N$3:$N9),"")</f>
        <v/>
      </c>
    </row>
    <row r="10" spans="1:15" ht="25.5" customHeight="1" x14ac:dyDescent="0.25">
      <c r="A10" s="30" t="s">
        <v>153</v>
      </c>
      <c r="B10" s="22" t="s">
        <v>140</v>
      </c>
      <c r="C10" s="22"/>
      <c r="D10" s="31"/>
      <c r="E10" s="30" t="s">
        <v>154</v>
      </c>
      <c r="F10" s="32">
        <v>27271</v>
      </c>
      <c r="G10" s="22" t="s">
        <v>130</v>
      </c>
      <c r="H10" s="22" t="s">
        <v>130</v>
      </c>
      <c r="I10" s="31" t="s">
        <v>131</v>
      </c>
      <c r="J10" s="33" t="s">
        <v>155</v>
      </c>
      <c r="K10" s="22">
        <v>746261</v>
      </c>
      <c r="L10" s="22"/>
      <c r="M10" s="30"/>
      <c r="N10" s="34">
        <f>IF(AND($L10="✔",$A10&lt;&gt;"",COUNTIF(Installs!$B$5:$B$159,$A10)=0),1,0)</f>
        <v>0</v>
      </c>
      <c r="O10" s="34" t="str">
        <f>IF($N10=1,SUM($N$3:$N10),"")</f>
        <v/>
      </c>
    </row>
    <row r="11" spans="1:15" ht="23.25" customHeight="1" x14ac:dyDescent="0.25">
      <c r="A11" s="30" t="s">
        <v>156</v>
      </c>
      <c r="B11" s="22" t="s">
        <v>128</v>
      </c>
      <c r="C11" s="22"/>
      <c r="D11" s="31"/>
      <c r="E11" s="30" t="s">
        <v>157</v>
      </c>
      <c r="F11" s="32">
        <v>31902</v>
      </c>
      <c r="G11" s="22" t="s">
        <v>130</v>
      </c>
      <c r="H11" s="22" t="s">
        <v>130</v>
      </c>
      <c r="I11" s="31" t="s">
        <v>131</v>
      </c>
      <c r="J11" s="33" t="s">
        <v>132</v>
      </c>
      <c r="K11" s="22">
        <v>746493</v>
      </c>
      <c r="L11" s="22" t="s">
        <v>130</v>
      </c>
      <c r="M11" s="30"/>
      <c r="N11" s="34">
        <f>IF(AND($L11="✔",$A11&lt;&gt;"",COUNTIF(Installs!$B$5:$B$159,$A11)=0),1,0)</f>
        <v>0</v>
      </c>
      <c r="O11" s="34" t="str">
        <f>IF($N11=1,SUM($N$3:$N11),"")</f>
        <v/>
      </c>
    </row>
    <row r="12" spans="1:15" ht="15" customHeight="1" x14ac:dyDescent="0.25">
      <c r="A12" s="30" t="s">
        <v>158</v>
      </c>
      <c r="B12" s="22"/>
      <c r="C12" s="22"/>
      <c r="D12" s="31"/>
      <c r="E12" s="30"/>
      <c r="F12" s="32"/>
      <c r="G12" s="22"/>
      <c r="H12" s="22"/>
      <c r="I12" s="31"/>
      <c r="J12" s="33"/>
      <c r="K12" s="22"/>
      <c r="L12" s="22"/>
      <c r="M12" s="30"/>
      <c r="N12" s="34">
        <f>IF(AND($L12="✔",$A12&lt;&gt;"",COUNTIF(Installs!$B$5:$B$159,$A12)=0),1,0)</f>
        <v>0</v>
      </c>
      <c r="O12" s="34" t="str">
        <f>IF($N12=1,SUM($N$3:$N12),"")</f>
        <v/>
      </c>
    </row>
    <row r="13" spans="1:15" ht="15" customHeight="1" x14ac:dyDescent="0.25">
      <c r="A13" s="30" t="s">
        <v>159</v>
      </c>
      <c r="B13" s="22" t="s">
        <v>140</v>
      </c>
      <c r="C13" s="22"/>
      <c r="D13" s="31"/>
      <c r="E13" s="30" t="s">
        <v>160</v>
      </c>
      <c r="F13" s="32">
        <v>26089.52</v>
      </c>
      <c r="G13" s="22" t="s">
        <v>130</v>
      </c>
      <c r="H13" s="22" t="s">
        <v>130</v>
      </c>
      <c r="I13" s="31" t="s">
        <v>137</v>
      </c>
      <c r="J13" s="33" t="s">
        <v>132</v>
      </c>
      <c r="K13" s="22">
        <v>748258</v>
      </c>
      <c r="L13" s="22" t="s">
        <v>130</v>
      </c>
      <c r="M13" s="30" t="s">
        <v>161</v>
      </c>
      <c r="N13" s="34">
        <f>IF(AND($L13="✔",$A13&lt;&gt;"",COUNTIF(Installs!$B$5:$B$159,$A13)=0),1,0)</f>
        <v>0</v>
      </c>
      <c r="O13" s="34" t="str">
        <f>IF($N13=1,SUM($N$3:$N13),"")</f>
        <v/>
      </c>
    </row>
    <row r="14" spans="1:15" ht="25.5" customHeight="1" x14ac:dyDescent="0.25">
      <c r="A14" s="30" t="s">
        <v>162</v>
      </c>
      <c r="B14" s="22" t="s">
        <v>140</v>
      </c>
      <c r="C14" s="22"/>
      <c r="D14" s="31"/>
      <c r="E14" s="30" t="s">
        <v>163</v>
      </c>
      <c r="F14" s="32">
        <v>19800</v>
      </c>
      <c r="G14" s="22" t="s">
        <v>130</v>
      </c>
      <c r="H14" s="22" t="s">
        <v>130</v>
      </c>
      <c r="I14" s="31" t="s">
        <v>137</v>
      </c>
      <c r="J14" s="33" t="s">
        <v>164</v>
      </c>
      <c r="K14" s="22"/>
      <c r="L14" s="22" t="s">
        <v>130</v>
      </c>
      <c r="M14" s="30"/>
      <c r="N14" s="34">
        <f>IF(AND($L14="✔",$A14&lt;&gt;"",COUNTIF(Installs!$B$5:$B$159,$A14)=0),1,0)</f>
        <v>1</v>
      </c>
      <c r="O14" s="34">
        <f>IF($N14=1,SUM($N$3:$N14),"")</f>
        <v>4</v>
      </c>
    </row>
    <row r="15" spans="1:15" ht="15" customHeight="1" x14ac:dyDescent="0.25">
      <c r="A15" s="30" t="s">
        <v>165</v>
      </c>
      <c r="B15" s="22" t="s">
        <v>140</v>
      </c>
      <c r="C15" s="22" t="s">
        <v>135</v>
      </c>
      <c r="D15" s="31"/>
      <c r="E15" s="30" t="s">
        <v>163</v>
      </c>
      <c r="F15" s="32">
        <v>19800</v>
      </c>
      <c r="G15" s="22" t="s">
        <v>130</v>
      </c>
      <c r="H15" s="22"/>
      <c r="I15" s="31"/>
      <c r="J15" s="33" t="s">
        <v>164</v>
      </c>
      <c r="K15" s="22"/>
      <c r="L15" s="22"/>
      <c r="M15" s="30"/>
      <c r="N15" s="34">
        <f>IF(AND($L15="✔",$A15&lt;&gt;"",COUNTIF(Installs!$B$5:$B$159,$A15)=0),1,0)</f>
        <v>0</v>
      </c>
      <c r="O15" s="34" t="str">
        <f>IF($N15=1,SUM($N$3:$N15),"")</f>
        <v/>
      </c>
    </row>
    <row r="16" spans="1:15" ht="63.75" customHeight="1" x14ac:dyDescent="0.25">
      <c r="A16" s="30" t="s">
        <v>166</v>
      </c>
      <c r="B16" s="22" t="s">
        <v>128</v>
      </c>
      <c r="C16" s="22" t="s">
        <v>135</v>
      </c>
      <c r="D16" s="31"/>
      <c r="E16" s="30" t="s">
        <v>167</v>
      </c>
      <c r="F16" s="32">
        <v>96464.8</v>
      </c>
      <c r="G16" s="22" t="s">
        <v>130</v>
      </c>
      <c r="H16" s="22" t="s">
        <v>130</v>
      </c>
      <c r="I16" s="31" t="s">
        <v>137</v>
      </c>
      <c r="J16" s="33" t="s">
        <v>138</v>
      </c>
      <c r="K16" s="22">
        <v>749148</v>
      </c>
      <c r="L16" s="22" t="s">
        <v>130</v>
      </c>
      <c r="M16" s="30"/>
      <c r="N16" s="34">
        <f>IF(AND($L16="✔",$A16&lt;&gt;"",COUNTIF(Installs!$B$5:$B$159,$A16)=0),1,0)</f>
        <v>0</v>
      </c>
      <c r="O16" s="34" t="str">
        <f>IF($N16=1,SUM($N$3:$N16),"")</f>
        <v/>
      </c>
    </row>
    <row r="17" spans="1:15" ht="15" customHeight="1" x14ac:dyDescent="0.25">
      <c r="A17" s="30" t="s">
        <v>168</v>
      </c>
      <c r="B17" s="22" t="s">
        <v>140</v>
      </c>
      <c r="C17" s="22"/>
      <c r="D17" s="31"/>
      <c r="E17" s="30" t="s">
        <v>169</v>
      </c>
      <c r="F17" s="32">
        <v>37517.67</v>
      </c>
      <c r="G17" s="22" t="s">
        <v>130</v>
      </c>
      <c r="H17" s="22" t="s">
        <v>130</v>
      </c>
      <c r="I17" s="31" t="s">
        <v>137</v>
      </c>
      <c r="J17" s="33" t="s">
        <v>132</v>
      </c>
      <c r="K17" s="22">
        <v>735103</v>
      </c>
      <c r="L17" s="22" t="s">
        <v>130</v>
      </c>
      <c r="M17" s="30"/>
      <c r="N17" s="34">
        <f>IF(AND($L17="✔",$A17&lt;&gt;"",COUNTIF(Installs!$B$5:$B$159,$A17)=0),1,0)</f>
        <v>0</v>
      </c>
      <c r="O17" s="34" t="str">
        <f>IF($N17=1,SUM($N$3:$N17),"")</f>
        <v/>
      </c>
    </row>
    <row r="18" spans="1:15" ht="23.25" customHeight="1" x14ac:dyDescent="0.25">
      <c r="A18" s="30" t="s">
        <v>170</v>
      </c>
      <c r="B18" s="22" t="s">
        <v>128</v>
      </c>
      <c r="C18" s="22"/>
      <c r="D18" s="31"/>
      <c r="E18" s="30" t="s">
        <v>171</v>
      </c>
      <c r="F18" s="32">
        <v>21043.39</v>
      </c>
      <c r="G18" s="22" t="s">
        <v>130</v>
      </c>
      <c r="H18" s="22" t="s">
        <v>130</v>
      </c>
      <c r="I18" s="31" t="s">
        <v>137</v>
      </c>
      <c r="J18" s="33" t="s">
        <v>132</v>
      </c>
      <c r="K18" s="22">
        <v>751629</v>
      </c>
      <c r="L18" s="22" t="s">
        <v>130</v>
      </c>
      <c r="M18" s="30"/>
      <c r="N18" s="34">
        <f>IF(AND($L18="✔",$A18&lt;&gt;"",COUNTIF(Installs!$B$5:$B$159,$A18)=0),1,0)</f>
        <v>0</v>
      </c>
      <c r="O18" s="34" t="str">
        <f>IF($N18=1,SUM($N$3:$N18),"")</f>
        <v/>
      </c>
    </row>
    <row r="19" spans="1:15" ht="15" customHeight="1" x14ac:dyDescent="0.25">
      <c r="A19" s="30" t="s">
        <v>172</v>
      </c>
      <c r="B19" s="22" t="s">
        <v>128</v>
      </c>
      <c r="C19" s="22"/>
      <c r="D19" s="31"/>
      <c r="E19" s="30" t="s">
        <v>173</v>
      </c>
      <c r="F19" s="32">
        <v>14018.16</v>
      </c>
      <c r="G19" s="22" t="s">
        <v>130</v>
      </c>
      <c r="H19" s="22" t="s">
        <v>130</v>
      </c>
      <c r="I19" s="31" t="s">
        <v>137</v>
      </c>
      <c r="J19" s="33" t="s">
        <v>132</v>
      </c>
      <c r="K19" s="22">
        <v>752128</v>
      </c>
      <c r="L19" s="22" t="s">
        <v>130</v>
      </c>
      <c r="M19" s="30"/>
      <c r="N19" s="34">
        <f>IF(AND($L19="✔",$A19&lt;&gt;"",COUNTIF(Installs!$B$5:$B$159,$A19)=0),1,0)</f>
        <v>0</v>
      </c>
      <c r="O19" s="34" t="str">
        <f>IF($N19=1,SUM($N$3:$N19),"")</f>
        <v/>
      </c>
    </row>
    <row r="20" spans="1:15" ht="15" customHeight="1" x14ac:dyDescent="0.25">
      <c r="A20" s="30" t="s">
        <v>174</v>
      </c>
      <c r="B20" s="22" t="s">
        <v>175</v>
      </c>
      <c r="C20" s="22"/>
      <c r="D20" s="31"/>
      <c r="E20" s="30" t="s">
        <v>163</v>
      </c>
      <c r="F20" s="32">
        <v>19800</v>
      </c>
      <c r="G20" s="22" t="s">
        <v>130</v>
      </c>
      <c r="H20" s="22" t="s">
        <v>130</v>
      </c>
      <c r="I20" s="31" t="s">
        <v>137</v>
      </c>
      <c r="J20" s="33" t="s">
        <v>164</v>
      </c>
      <c r="K20" s="22" t="s">
        <v>176</v>
      </c>
      <c r="L20" s="22" t="s">
        <v>130</v>
      </c>
      <c r="M20" s="30"/>
      <c r="N20" s="34">
        <f>IF(AND($L20="✔",$A20&lt;&gt;"",COUNTIF(Installs!$B$5:$B$159,$A20)=0),1,0)</f>
        <v>0</v>
      </c>
      <c r="O20" s="34" t="str">
        <f>IF($N20=1,SUM($N$3:$N20),"")</f>
        <v/>
      </c>
    </row>
    <row r="21" spans="1:15" ht="15" customHeight="1" x14ac:dyDescent="0.25">
      <c r="A21" s="30" t="s">
        <v>177</v>
      </c>
      <c r="B21" s="22" t="s">
        <v>128</v>
      </c>
      <c r="C21" s="22"/>
      <c r="D21" s="31"/>
      <c r="E21" s="30" t="s">
        <v>178</v>
      </c>
      <c r="F21" s="32">
        <v>35400</v>
      </c>
      <c r="G21" s="22" t="s">
        <v>130</v>
      </c>
      <c r="H21" s="22" t="s">
        <v>130</v>
      </c>
      <c r="I21" s="31" t="s">
        <v>137</v>
      </c>
      <c r="J21" s="33" t="s">
        <v>132</v>
      </c>
      <c r="K21" s="22">
        <v>754732</v>
      </c>
      <c r="L21" s="22" t="s">
        <v>130</v>
      </c>
      <c r="M21" s="30"/>
      <c r="N21" s="34">
        <f>IF(AND($L21="✔",$A21&lt;&gt;"",COUNTIF(Installs!$B$5:$B$159,$A21)=0),1,0)</f>
        <v>0</v>
      </c>
      <c r="O21" s="34" t="str">
        <f>IF($N21=1,SUM($N$3:$N21),"")</f>
        <v/>
      </c>
    </row>
    <row r="22" spans="1:15" ht="25.5" customHeight="1" x14ac:dyDescent="0.25">
      <c r="A22" s="30" t="s">
        <v>179</v>
      </c>
      <c r="B22" s="22" t="s">
        <v>128</v>
      </c>
      <c r="C22" s="22" t="s">
        <v>135</v>
      </c>
      <c r="D22" s="31"/>
      <c r="E22" s="30" t="s">
        <v>180</v>
      </c>
      <c r="F22" s="32">
        <v>16051.28</v>
      </c>
      <c r="G22" s="22" t="s">
        <v>130</v>
      </c>
      <c r="H22" s="22" t="s">
        <v>130</v>
      </c>
      <c r="I22" s="31" t="s">
        <v>181</v>
      </c>
      <c r="J22" s="33" t="s">
        <v>155</v>
      </c>
      <c r="K22" s="22">
        <v>756106</v>
      </c>
      <c r="L22" s="22"/>
      <c r="M22" s="30" t="s">
        <v>182</v>
      </c>
      <c r="N22" s="34">
        <f>IF(AND($L22="✔",$A22&lt;&gt;"",COUNTIF(Installs!$B$5:$B$159,$A22)=0),1,0)</f>
        <v>0</v>
      </c>
      <c r="O22" s="34" t="str">
        <f>IF($N22=1,SUM($N$3:$N22),"")</f>
        <v/>
      </c>
    </row>
    <row r="23" spans="1:15" ht="25.5" customHeight="1" x14ac:dyDescent="0.25">
      <c r="A23" s="30" t="s">
        <v>183</v>
      </c>
      <c r="B23" s="22" t="s">
        <v>184</v>
      </c>
      <c r="C23" s="22"/>
      <c r="D23" s="31"/>
      <c r="E23" s="30" t="s">
        <v>180</v>
      </c>
      <c r="F23" s="32">
        <v>16051</v>
      </c>
      <c r="G23" s="22"/>
      <c r="H23" s="22"/>
      <c r="I23" s="31"/>
      <c r="J23" s="33"/>
      <c r="K23" s="22"/>
      <c r="L23" s="22"/>
      <c r="M23" s="30" t="s">
        <v>185</v>
      </c>
      <c r="N23" s="34">
        <f>IF(AND($L23="✔",$A23&lt;&gt;"",COUNTIF(Installs!$B$5:$B$159,$A23)=0),1,0)</f>
        <v>0</v>
      </c>
      <c r="O23" s="34" t="str">
        <f>IF($N23=1,SUM($N$3:$N23),"")</f>
        <v/>
      </c>
    </row>
    <row r="24" spans="1:15" ht="15" customHeight="1" x14ac:dyDescent="0.25">
      <c r="A24" s="30" t="s">
        <v>186</v>
      </c>
      <c r="B24" s="22" t="s">
        <v>187</v>
      </c>
      <c r="C24" s="22"/>
      <c r="D24" s="31"/>
      <c r="E24" s="30" t="s">
        <v>163</v>
      </c>
      <c r="F24" s="32">
        <v>23953.08</v>
      </c>
      <c r="G24" s="22" t="s">
        <v>130</v>
      </c>
      <c r="H24" s="22" t="s">
        <v>130</v>
      </c>
      <c r="I24" s="31">
        <v>45121</v>
      </c>
      <c r="J24" s="33" t="s">
        <v>132</v>
      </c>
      <c r="K24" s="22">
        <v>755161</v>
      </c>
      <c r="L24" s="22" t="s">
        <v>130</v>
      </c>
      <c r="M24" s="30"/>
      <c r="N24" s="34">
        <f>IF(AND($L24="✔",$A24&lt;&gt;"",COUNTIF(Installs!$B$5:$B$159,$A24)=0),1,0)</f>
        <v>1</v>
      </c>
      <c r="O24" s="34">
        <f>IF($N24=1,SUM($N$3:$N24),"")</f>
        <v>5</v>
      </c>
    </row>
    <row r="25" spans="1:15" ht="27.75" customHeight="1" x14ac:dyDescent="0.25">
      <c r="A25" s="30" t="s">
        <v>188</v>
      </c>
      <c r="B25" s="22" t="s">
        <v>175</v>
      </c>
      <c r="C25" s="22"/>
      <c r="D25" s="31"/>
      <c r="E25" s="30" t="s">
        <v>189</v>
      </c>
      <c r="F25" s="32">
        <v>11128.4</v>
      </c>
      <c r="G25" s="22" t="s">
        <v>130</v>
      </c>
      <c r="H25" s="22" t="s">
        <v>130</v>
      </c>
      <c r="I25" s="31" t="s">
        <v>131</v>
      </c>
      <c r="J25" s="33" t="s">
        <v>164</v>
      </c>
      <c r="K25" s="22"/>
      <c r="L25" s="22"/>
      <c r="M25" s="30" t="s">
        <v>190</v>
      </c>
      <c r="N25" s="34">
        <f>IF(AND($L25="✔",$A25&lt;&gt;"",COUNTIF(Installs!$B$5:$B$159,$A25)=0),1,0)</f>
        <v>0</v>
      </c>
      <c r="O25" s="34" t="str">
        <f>IF($N25=1,SUM($N$3:$N25),"")</f>
        <v/>
      </c>
    </row>
    <row r="26" spans="1:15" ht="15" customHeight="1" x14ac:dyDescent="0.25">
      <c r="A26" s="30" t="s">
        <v>191</v>
      </c>
      <c r="B26" s="22" t="s">
        <v>175</v>
      </c>
      <c r="C26" s="22" t="s">
        <v>135</v>
      </c>
      <c r="D26" s="31"/>
      <c r="E26" s="30" t="s">
        <v>192</v>
      </c>
      <c r="F26" s="32">
        <v>28800</v>
      </c>
      <c r="G26" s="22" t="s">
        <v>130</v>
      </c>
      <c r="H26" s="22" t="s">
        <v>130</v>
      </c>
      <c r="I26" s="31"/>
      <c r="J26" s="33" t="s">
        <v>164</v>
      </c>
      <c r="K26" s="22"/>
      <c r="L26" s="22"/>
      <c r="M26" s="30" t="s">
        <v>193</v>
      </c>
      <c r="N26" s="34">
        <f>IF(AND($L26="✔",$A26&lt;&gt;"",COUNTIF(Installs!$B$5:$B$159,$A26)=0),1,0)</f>
        <v>0</v>
      </c>
      <c r="O26" s="34" t="str">
        <f>IF($N26=1,SUM($N$3:$N26),"")</f>
        <v/>
      </c>
    </row>
    <row r="27" spans="1:15" ht="15" customHeight="1" x14ac:dyDescent="0.25">
      <c r="A27" s="30" t="s">
        <v>194</v>
      </c>
      <c r="B27" s="22" t="s">
        <v>128</v>
      </c>
      <c r="C27" s="22"/>
      <c r="D27" s="31"/>
      <c r="E27" s="30" t="s">
        <v>195</v>
      </c>
      <c r="F27" s="32">
        <v>30000</v>
      </c>
      <c r="G27" s="22" t="s">
        <v>130</v>
      </c>
      <c r="H27" s="22" t="s">
        <v>130</v>
      </c>
      <c r="I27" s="31"/>
      <c r="J27" s="33" t="s">
        <v>132</v>
      </c>
      <c r="K27" s="22">
        <v>743957</v>
      </c>
      <c r="L27" s="22" t="s">
        <v>130</v>
      </c>
      <c r="M27" s="30" t="s">
        <v>196</v>
      </c>
      <c r="N27" s="34">
        <f>IF(AND($L27="✔",$A27&lt;&gt;"",COUNTIF(Installs!$B$5:$B$159,$A27)=0),1,0)</f>
        <v>0</v>
      </c>
      <c r="O27" s="34" t="str">
        <f>IF($N27=1,SUM($N$3:$N27),"")</f>
        <v/>
      </c>
    </row>
    <row r="28" spans="1:15" ht="15" customHeight="1" x14ac:dyDescent="0.25">
      <c r="A28" s="30" t="s">
        <v>197</v>
      </c>
      <c r="B28" s="22" t="s">
        <v>128</v>
      </c>
      <c r="C28" s="22"/>
      <c r="D28" s="31"/>
      <c r="E28" s="30" t="s">
        <v>198</v>
      </c>
      <c r="F28" s="32">
        <v>20000</v>
      </c>
      <c r="G28" s="22" t="s">
        <v>130</v>
      </c>
      <c r="H28" s="22" t="s">
        <v>130</v>
      </c>
      <c r="I28" s="31"/>
      <c r="J28" s="33" t="s">
        <v>155</v>
      </c>
      <c r="K28" s="22">
        <v>756855</v>
      </c>
      <c r="L28" s="22"/>
      <c r="M28" s="30"/>
      <c r="N28" s="34">
        <f>IF(AND($L28="✔",$A28&lt;&gt;"",COUNTIF(Installs!$B$5:$B$159,$A28)=0),1,0)</f>
        <v>0</v>
      </c>
      <c r="O28" s="34" t="str">
        <f>IF($N28=1,SUM($N$3:$N28),"")</f>
        <v/>
      </c>
    </row>
    <row r="29" spans="1:15" ht="15" customHeight="1" x14ac:dyDescent="0.25">
      <c r="A29" s="30" t="s">
        <v>199</v>
      </c>
      <c r="B29" s="22" t="s">
        <v>128</v>
      </c>
      <c r="C29" s="22" t="s">
        <v>135</v>
      </c>
      <c r="D29" s="31"/>
      <c r="E29" s="30" t="s">
        <v>198</v>
      </c>
      <c r="F29" s="32">
        <v>15000</v>
      </c>
      <c r="G29" s="22" t="s">
        <v>130</v>
      </c>
      <c r="H29" s="22" t="s">
        <v>130</v>
      </c>
      <c r="I29" s="31" t="s">
        <v>200</v>
      </c>
      <c r="J29" s="33" t="s">
        <v>164</v>
      </c>
      <c r="K29" s="22"/>
      <c r="L29" s="22" t="s">
        <v>130</v>
      </c>
      <c r="M29" s="30"/>
      <c r="N29" s="34">
        <f>IF(AND($L29="✔",$A29&lt;&gt;"",COUNTIF(Installs!$B$5:$B$159,$A29)=0),1,0)</f>
        <v>0</v>
      </c>
      <c r="O29" s="34" t="str">
        <f>IF($N29=1,SUM($N$3:$N29),"")</f>
        <v/>
      </c>
    </row>
    <row r="30" spans="1:15" ht="15" customHeight="1" x14ac:dyDescent="0.25">
      <c r="A30" s="30" t="s">
        <v>201</v>
      </c>
      <c r="B30" s="22" t="s">
        <v>140</v>
      </c>
      <c r="C30" s="22"/>
      <c r="D30" s="31"/>
      <c r="E30" s="30" t="s">
        <v>202</v>
      </c>
      <c r="F30" s="32">
        <v>10000</v>
      </c>
      <c r="G30" s="22"/>
      <c r="H30" s="22"/>
      <c r="I30" s="31"/>
      <c r="J30" s="33" t="s">
        <v>155</v>
      </c>
      <c r="K30" s="22"/>
      <c r="L30" s="22"/>
      <c r="M30" s="30" t="s">
        <v>203</v>
      </c>
      <c r="N30" s="34">
        <f>IF(AND($L30="✔",$A30&lt;&gt;"",COUNTIF(Installs!$B$5:$B$159,$A30)=0),1,0)</f>
        <v>0</v>
      </c>
      <c r="O30" s="34" t="str">
        <f>IF($N30=1,SUM($N$3:$N30),"")</f>
        <v/>
      </c>
    </row>
    <row r="31" spans="1:15" ht="15" customHeight="1" x14ac:dyDescent="0.25">
      <c r="A31" s="30" t="s">
        <v>204</v>
      </c>
      <c r="B31" s="22" t="s">
        <v>140</v>
      </c>
      <c r="C31" s="22"/>
      <c r="D31" s="31"/>
      <c r="E31" s="30" t="s">
        <v>205</v>
      </c>
      <c r="F31" s="32">
        <v>15000</v>
      </c>
      <c r="G31" s="22"/>
      <c r="H31" s="22"/>
      <c r="I31" s="31"/>
      <c r="J31" s="33"/>
      <c r="K31" s="22"/>
      <c r="L31" s="22"/>
      <c r="M31" s="30"/>
      <c r="N31" s="34">
        <f>IF(AND($L31="✔",$A31&lt;&gt;"",COUNTIF(Installs!$B$5:$B$159,$A31)=0),1,0)</f>
        <v>0</v>
      </c>
      <c r="O31" s="34" t="str">
        <f>IF($N31=1,SUM($N$3:$N31),"")</f>
        <v/>
      </c>
    </row>
    <row r="32" spans="1:15" ht="15" customHeight="1" x14ac:dyDescent="0.25">
      <c r="A32" s="30"/>
      <c r="B32" s="22"/>
      <c r="C32" s="22"/>
      <c r="D32" s="31"/>
      <c r="E32" s="30"/>
      <c r="F32" s="32"/>
      <c r="G32" s="22"/>
      <c r="H32" s="22"/>
      <c r="I32" s="31"/>
      <c r="J32" s="33"/>
      <c r="K32" s="22"/>
      <c r="L32" s="22"/>
      <c r="M32" s="30"/>
      <c r="N32" s="34">
        <f>IF(AND($L32="✔",$A32&lt;&gt;"",COUNTIF(Installs!$B$5:$B$159,$A32)=0),1,0)</f>
        <v>0</v>
      </c>
      <c r="O32" s="34" t="str">
        <f>IF($N32=1,SUM($N$3:$N32),"")</f>
        <v/>
      </c>
    </row>
    <row r="33" spans="1:15" ht="15" customHeight="1" x14ac:dyDescent="0.25">
      <c r="A33" s="30"/>
      <c r="B33" s="22"/>
      <c r="C33" s="22"/>
      <c r="D33" s="31"/>
      <c r="E33" s="30"/>
      <c r="F33" s="32"/>
      <c r="G33" s="22"/>
      <c r="H33" s="22"/>
      <c r="I33" s="31"/>
      <c r="J33" s="33"/>
      <c r="K33" s="22"/>
      <c r="L33" s="22"/>
      <c r="M33" s="30"/>
      <c r="N33" s="34">
        <f>IF(AND($L33="✔",$A33&lt;&gt;"",COUNTIF(Installs!$B$5:$B$159,$A33)=0),1,0)</f>
        <v>0</v>
      </c>
      <c r="O33" s="34" t="str">
        <f>IF($N33=1,SUM($N$3:$N33),"")</f>
        <v/>
      </c>
    </row>
    <row r="34" spans="1:15" ht="15" customHeight="1" x14ac:dyDescent="0.25">
      <c r="A34" s="30"/>
      <c r="B34" s="22"/>
      <c r="C34" s="22"/>
      <c r="D34" s="31"/>
      <c r="E34" s="30"/>
      <c r="F34" s="32"/>
      <c r="G34" s="22"/>
      <c r="H34" s="22"/>
      <c r="I34" s="31"/>
      <c r="J34" s="33"/>
      <c r="K34" s="22"/>
      <c r="L34" s="22"/>
      <c r="M34" s="30"/>
      <c r="N34" s="34">
        <f>IF(AND($L34="✔",$A34&lt;&gt;"",COUNTIF(Installs!$B$5:$B$159,$A34)=0),1,0)</f>
        <v>0</v>
      </c>
      <c r="O34" s="34" t="str">
        <f>IF($N34=1,SUM($N$3:$N34),"")</f>
        <v/>
      </c>
    </row>
    <row r="35" spans="1:15" ht="15" customHeight="1" x14ac:dyDescent="0.25">
      <c r="A35" s="30"/>
      <c r="B35" s="22"/>
      <c r="C35" s="22"/>
      <c r="D35" s="31"/>
      <c r="E35" s="30"/>
      <c r="F35" s="32"/>
      <c r="G35" s="22"/>
      <c r="H35" s="22"/>
      <c r="I35" s="31"/>
      <c r="J35" s="33"/>
      <c r="K35" s="22"/>
      <c r="L35" s="22"/>
      <c r="M35" s="30"/>
      <c r="N35" s="34">
        <f>IF(AND($L35="✔",$A35&lt;&gt;"",COUNTIF(Installs!$B$5:$B$159,$A35)=0),1,0)</f>
        <v>0</v>
      </c>
      <c r="O35" s="34" t="str">
        <f>IF($N35=1,SUM($N$3:$N35),"")</f>
        <v/>
      </c>
    </row>
    <row r="36" spans="1:15" ht="15" customHeight="1" x14ac:dyDescent="0.25">
      <c r="A36" s="30"/>
      <c r="B36" s="22"/>
      <c r="C36" s="22"/>
      <c r="D36" s="31"/>
      <c r="E36" s="30"/>
      <c r="F36" s="32"/>
      <c r="G36" s="22"/>
      <c r="H36" s="22"/>
      <c r="I36" s="31"/>
      <c r="J36" s="33"/>
      <c r="K36" s="22"/>
      <c r="L36" s="22"/>
      <c r="M36" s="30"/>
      <c r="N36" s="34">
        <f>IF(AND($L36="✔",$A36&lt;&gt;"",COUNTIF(Installs!$B$5:$B$159,$A36)=0),1,0)</f>
        <v>0</v>
      </c>
      <c r="O36" s="34" t="str">
        <f>IF($N36=1,SUM($N$3:$N36),"")</f>
        <v/>
      </c>
    </row>
    <row r="37" spans="1:15" ht="15" customHeight="1" x14ac:dyDescent="0.25">
      <c r="A37" s="30"/>
      <c r="B37" s="22"/>
      <c r="C37" s="22"/>
      <c r="D37" s="31"/>
      <c r="E37" s="30"/>
      <c r="F37" s="32"/>
      <c r="G37" s="22"/>
      <c r="H37" s="22"/>
      <c r="I37" s="31"/>
      <c r="J37" s="33"/>
      <c r="K37" s="22"/>
      <c r="L37" s="22"/>
      <c r="M37" s="30"/>
      <c r="N37" s="34">
        <f>IF(AND($L37="✔",$A37&lt;&gt;"",COUNTIF(Installs!$B$5:$B$159,$A37)=0),1,0)</f>
        <v>0</v>
      </c>
      <c r="O37" s="34" t="str">
        <f>IF($N37=1,SUM($N$3:$N37),"")</f>
        <v/>
      </c>
    </row>
    <row r="38" spans="1:15" ht="15" customHeight="1" x14ac:dyDescent="0.25">
      <c r="A38" s="30"/>
      <c r="B38" s="22"/>
      <c r="C38" s="22"/>
      <c r="D38" s="31"/>
      <c r="E38" s="30"/>
      <c r="F38" s="32"/>
      <c r="G38" s="22"/>
      <c r="H38" s="22"/>
      <c r="I38" s="31"/>
      <c r="J38" s="33"/>
      <c r="K38" s="22"/>
      <c r="L38" s="22"/>
      <c r="M38" s="30"/>
      <c r="N38" s="34">
        <f>IF(AND($L38="✔",$A38&lt;&gt;"",COUNTIF(Installs!$B$5:$B$159,$A38)=0),1,0)</f>
        <v>0</v>
      </c>
      <c r="O38" s="34" t="str">
        <f>IF($N38=1,SUM($N$3:$N38),"")</f>
        <v/>
      </c>
    </row>
    <row r="39" spans="1:15" ht="15" customHeight="1" x14ac:dyDescent="0.25">
      <c r="A39" s="30"/>
      <c r="B39" s="22"/>
      <c r="C39" s="22"/>
      <c r="D39" s="31"/>
      <c r="E39" s="30"/>
      <c r="F39" s="32"/>
      <c r="G39" s="22"/>
      <c r="H39" s="22"/>
      <c r="I39" s="31"/>
      <c r="J39" s="33"/>
      <c r="K39" s="22"/>
      <c r="L39" s="22"/>
      <c r="M39" s="30"/>
      <c r="N39" s="34">
        <f>IF(AND($L39="✔",$A39&lt;&gt;"",COUNTIF(Installs!$B$5:$B$159,$A39)=0),1,0)</f>
        <v>0</v>
      </c>
      <c r="O39" s="34" t="str">
        <f>IF($N39=1,SUM($N$3:$N39),"")</f>
        <v/>
      </c>
    </row>
    <row r="40" spans="1:15" ht="15" customHeight="1" x14ac:dyDescent="0.25">
      <c r="A40" s="30"/>
      <c r="B40" s="22"/>
      <c r="C40" s="22"/>
      <c r="D40" s="31"/>
      <c r="E40" s="30"/>
      <c r="F40" s="32"/>
      <c r="G40" s="22"/>
      <c r="H40" s="22"/>
      <c r="I40" s="31"/>
      <c r="J40" s="33"/>
      <c r="K40" s="22"/>
      <c r="L40" s="22"/>
      <c r="M40" s="30"/>
      <c r="N40" s="34">
        <f>IF(AND($L40="✔",$A40&lt;&gt;"",COUNTIF(Installs!$B$5:$B$159,$A40)=0),1,0)</f>
        <v>0</v>
      </c>
      <c r="O40" s="34" t="str">
        <f>IF($N40=1,SUM($N$3:$N40),"")</f>
        <v/>
      </c>
    </row>
    <row r="41" spans="1:15" ht="15" customHeight="1" x14ac:dyDescent="0.25">
      <c r="A41" s="30"/>
      <c r="B41" s="22"/>
      <c r="C41" s="22"/>
      <c r="D41" s="31"/>
      <c r="E41" s="30"/>
      <c r="F41" s="32"/>
      <c r="G41" s="22"/>
      <c r="H41" s="22"/>
      <c r="I41" s="31"/>
      <c r="J41" s="33"/>
      <c r="K41" s="22"/>
      <c r="L41" s="22"/>
      <c r="M41" s="30"/>
      <c r="N41" s="34">
        <f>IF(AND($L41="✔",$A41&lt;&gt;"",COUNTIF(Installs!$B$5:$B$159,$A41)=0),1,0)</f>
        <v>0</v>
      </c>
      <c r="O41" s="34" t="str">
        <f>IF($N41=1,SUM($N$3:$N41),"")</f>
        <v/>
      </c>
    </row>
    <row r="42" spans="1:15" ht="15" customHeight="1" x14ac:dyDescent="0.25">
      <c r="A42" s="30"/>
      <c r="B42" s="22"/>
      <c r="C42" s="22"/>
      <c r="D42" s="31"/>
      <c r="E42" s="30"/>
      <c r="F42" s="32"/>
      <c r="G42" s="22"/>
      <c r="H42" s="22"/>
      <c r="I42" s="31"/>
      <c r="J42" s="33"/>
      <c r="K42" s="22"/>
      <c r="L42" s="22"/>
      <c r="M42" s="30"/>
      <c r="N42" s="34">
        <f>IF(AND($L42="✔",$A42&lt;&gt;"",COUNTIF(Installs!$B$5:$B$159,$A42)=0),1,0)</f>
        <v>0</v>
      </c>
      <c r="O42" s="34" t="str">
        <f>IF($N42=1,SUM($N$3:$N42),"")</f>
        <v/>
      </c>
    </row>
    <row r="43" spans="1:15" ht="15" customHeight="1" x14ac:dyDescent="0.25">
      <c r="A43" s="30"/>
      <c r="B43" s="22"/>
      <c r="C43" s="22"/>
      <c r="D43" s="31"/>
      <c r="E43" s="30"/>
      <c r="F43" s="32"/>
      <c r="G43" s="22"/>
      <c r="H43" s="22"/>
      <c r="I43" s="31"/>
      <c r="J43" s="33"/>
      <c r="K43" s="22"/>
      <c r="L43" s="22"/>
      <c r="M43" s="30"/>
      <c r="N43" s="34">
        <f>IF(AND($L43="✔",$A43&lt;&gt;"",COUNTIF(Installs!$B$5:$B$159,$A43)=0),1,0)</f>
        <v>0</v>
      </c>
      <c r="O43" s="34" t="str">
        <f>IF($N43=1,SUM($N$3:$N43),"")</f>
        <v/>
      </c>
    </row>
    <row r="44" spans="1:15" ht="15" customHeight="1" x14ac:dyDescent="0.25">
      <c r="A44" s="30"/>
      <c r="B44" s="22"/>
      <c r="C44" s="22"/>
      <c r="D44" s="31"/>
      <c r="E44" s="30"/>
      <c r="F44" s="32"/>
      <c r="G44" s="22"/>
      <c r="H44" s="22"/>
      <c r="I44" s="31"/>
      <c r="J44" s="33"/>
      <c r="K44" s="22"/>
      <c r="L44" s="22"/>
      <c r="M44" s="30"/>
      <c r="N44" s="34">
        <f>IF(AND($L44="✔",$A44&lt;&gt;"",COUNTIF(Installs!$B$5:$B$159,$A44)=0),1,0)</f>
        <v>0</v>
      </c>
      <c r="O44" s="34" t="str">
        <f>IF($N44=1,SUM($N$3:$N44),"")</f>
        <v/>
      </c>
    </row>
    <row r="45" spans="1:15" ht="15" customHeight="1" x14ac:dyDescent="0.25">
      <c r="A45" s="30"/>
      <c r="B45" s="22"/>
      <c r="C45" s="22"/>
      <c r="D45" s="31"/>
      <c r="E45" s="30"/>
      <c r="F45" s="32"/>
      <c r="G45" s="22"/>
      <c r="H45" s="22"/>
      <c r="I45" s="31"/>
      <c r="J45" s="33"/>
      <c r="K45" s="22"/>
      <c r="L45" s="22"/>
      <c r="M45" s="30"/>
      <c r="N45" s="34">
        <f>IF(AND($L45="✔",$A45&lt;&gt;"",COUNTIF(Installs!$B$5:$B$159,$A45)=0),1,0)</f>
        <v>0</v>
      </c>
      <c r="O45" s="34" t="str">
        <f>IF($N45=1,SUM($N$3:$N45),"")</f>
        <v/>
      </c>
    </row>
    <row r="46" spans="1:15" ht="15" customHeight="1" x14ac:dyDescent="0.25">
      <c r="A46" s="30"/>
      <c r="B46" s="22"/>
      <c r="C46" s="22"/>
      <c r="D46" s="31"/>
      <c r="E46" s="30"/>
      <c r="F46" s="32"/>
      <c r="G46" s="22"/>
      <c r="H46" s="22"/>
      <c r="I46" s="31"/>
      <c r="J46" s="33"/>
      <c r="K46" s="22"/>
      <c r="L46" s="22"/>
      <c r="M46" s="30"/>
      <c r="N46" s="34">
        <f>IF(AND($L46="✔",$A46&lt;&gt;"",COUNTIF(Installs!$B$5:$B$159,$A46)=0),1,0)</f>
        <v>0</v>
      </c>
      <c r="O46" s="34" t="str">
        <f>IF($N46=1,SUM($N$3:$N46),"")</f>
        <v/>
      </c>
    </row>
    <row r="47" spans="1:15" ht="15" customHeight="1" x14ac:dyDescent="0.25">
      <c r="A47" s="30"/>
      <c r="B47" s="22"/>
      <c r="C47" s="22"/>
      <c r="D47" s="31"/>
      <c r="E47" s="30"/>
      <c r="F47" s="32"/>
      <c r="G47" s="22"/>
      <c r="H47" s="22"/>
      <c r="I47" s="31"/>
      <c r="J47" s="33"/>
      <c r="K47" s="22"/>
      <c r="L47" s="22"/>
      <c r="M47" s="30"/>
      <c r="N47" s="34">
        <f>IF(AND($L47="✔",$A47&lt;&gt;"",COUNTIF(Installs!$B$5:$B$159,$A47)=0),1,0)</f>
        <v>0</v>
      </c>
      <c r="O47" s="34" t="str">
        <f>IF($N47=1,SUM($N$3:$N47),"")</f>
        <v/>
      </c>
    </row>
    <row r="48" spans="1:15" ht="15" customHeight="1" x14ac:dyDescent="0.25">
      <c r="A48" s="30"/>
      <c r="B48" s="22"/>
      <c r="C48" s="22"/>
      <c r="D48" s="31"/>
      <c r="E48" s="30"/>
      <c r="F48" s="32"/>
      <c r="G48" s="22"/>
      <c r="H48" s="22"/>
      <c r="I48" s="31"/>
      <c r="J48" s="33"/>
      <c r="K48" s="22"/>
      <c r="L48" s="22"/>
      <c r="M48" s="30"/>
      <c r="N48" s="34">
        <f>IF(AND($L48="✔",$A48&lt;&gt;"",COUNTIF(Installs!$B$5:$B$159,$A48)=0),1,0)</f>
        <v>0</v>
      </c>
      <c r="O48" s="34" t="str">
        <f>IF($N48=1,SUM($N$3:$N48),"")</f>
        <v/>
      </c>
    </row>
    <row r="49" spans="1:15" ht="15" customHeight="1" x14ac:dyDescent="0.25">
      <c r="A49" s="30"/>
      <c r="B49" s="22"/>
      <c r="C49" s="22"/>
      <c r="D49" s="31"/>
      <c r="E49" s="30"/>
      <c r="F49" s="32"/>
      <c r="G49" s="22"/>
      <c r="H49" s="22"/>
      <c r="I49" s="31"/>
      <c r="J49" s="33"/>
      <c r="K49" s="22"/>
      <c r="L49" s="22"/>
      <c r="M49" s="30"/>
      <c r="N49" s="34">
        <f>IF(AND($L49="✔",$A49&lt;&gt;"",COUNTIF(Installs!$B$5:$B$159,$A49)=0),1,0)</f>
        <v>0</v>
      </c>
      <c r="O49" s="34" t="str">
        <f>IF($N49=1,SUM($N$3:$N49),"")</f>
        <v/>
      </c>
    </row>
    <row r="50" spans="1:15" ht="15" customHeight="1" x14ac:dyDescent="0.25">
      <c r="A50" s="30"/>
      <c r="B50" s="22"/>
      <c r="C50" s="22"/>
      <c r="D50" s="31"/>
      <c r="E50" s="30"/>
      <c r="F50" s="32"/>
      <c r="G50" s="22"/>
      <c r="H50" s="22"/>
      <c r="I50" s="31"/>
      <c r="J50" s="33"/>
      <c r="K50" s="22"/>
      <c r="L50" s="22"/>
      <c r="M50" s="30"/>
      <c r="N50" s="34">
        <f>IF(AND($L50="✔",$A50&lt;&gt;"",COUNTIF(Installs!$B$5:$B$159,$A50)=0),1,0)</f>
        <v>0</v>
      </c>
      <c r="O50" s="34" t="str">
        <f>IF($N50=1,SUM($N$3:$N50),"")</f>
        <v/>
      </c>
    </row>
    <row r="51" spans="1:15" ht="15" customHeight="1" x14ac:dyDescent="0.25">
      <c r="A51" s="30"/>
      <c r="B51" s="22"/>
      <c r="C51" s="22"/>
      <c r="D51" s="31"/>
      <c r="E51" s="30"/>
      <c r="F51" s="32"/>
      <c r="G51" s="22"/>
      <c r="H51" s="22"/>
      <c r="I51" s="31"/>
      <c r="J51" s="33"/>
      <c r="K51" s="22"/>
      <c r="L51" s="22"/>
      <c r="M51" s="30"/>
      <c r="N51" s="34">
        <f>IF(AND($L51="✔",$A51&lt;&gt;"",COUNTIF(Installs!$B$5:$B$159,$A51)=0),1,0)</f>
        <v>0</v>
      </c>
      <c r="O51" s="34" t="str">
        <f>IF($N51=1,SUM($N$3:$N51),"")</f>
        <v/>
      </c>
    </row>
    <row r="52" spans="1:15" ht="15" customHeight="1" x14ac:dyDescent="0.25">
      <c r="A52" s="30"/>
      <c r="B52" s="22"/>
      <c r="C52" s="22"/>
      <c r="D52" s="31"/>
      <c r="E52" s="30"/>
      <c r="F52" s="32"/>
      <c r="G52" s="22"/>
      <c r="H52" s="22"/>
      <c r="I52" s="31"/>
      <c r="J52" s="33"/>
      <c r="K52" s="22"/>
      <c r="L52" s="22"/>
      <c r="M52" s="30"/>
      <c r="N52" s="34">
        <f>IF(AND($L52="✔",$A52&lt;&gt;"",COUNTIF(Installs!$B$5:$B$159,$A52)=0),1,0)</f>
        <v>0</v>
      </c>
      <c r="O52" s="34" t="str">
        <f>IF($N52=1,SUM($N$3:$N52),"")</f>
        <v/>
      </c>
    </row>
    <row r="53" spans="1:15" ht="15" customHeight="1" x14ac:dyDescent="0.25">
      <c r="A53" s="30"/>
      <c r="B53" s="22"/>
      <c r="C53" s="22"/>
      <c r="D53" s="31"/>
      <c r="E53" s="30"/>
      <c r="F53" s="32"/>
      <c r="G53" s="22"/>
      <c r="H53" s="22"/>
      <c r="I53" s="31"/>
      <c r="J53" s="33"/>
      <c r="K53" s="22"/>
      <c r="L53" s="22"/>
      <c r="M53" s="30"/>
      <c r="N53" s="34">
        <f>IF(AND($L53="✔",$A53&lt;&gt;"",COUNTIF(Installs!$B$5:$B$159,$A53)=0),1,0)</f>
        <v>0</v>
      </c>
      <c r="O53" s="34" t="str">
        <f>IF($N53=1,SUM($N$3:$N53),"")</f>
        <v/>
      </c>
    </row>
    <row r="54" spans="1:15" ht="15" customHeight="1" x14ac:dyDescent="0.25">
      <c r="A54" s="30"/>
      <c r="B54" s="22"/>
      <c r="C54" s="22"/>
      <c r="D54" s="31"/>
      <c r="E54" s="30"/>
      <c r="F54" s="32"/>
      <c r="G54" s="22"/>
      <c r="H54" s="22"/>
      <c r="I54" s="31"/>
      <c r="J54" s="33"/>
      <c r="K54" s="22"/>
      <c r="L54" s="22"/>
      <c r="M54" s="30"/>
      <c r="N54" s="34">
        <f>IF(AND($L54="✔",$A54&lt;&gt;"",COUNTIF(Installs!$B$5:$B$159,$A54)=0),1,0)</f>
        <v>0</v>
      </c>
      <c r="O54" s="34" t="str">
        <f>IF($N54=1,SUM($N$3:$N54),"")</f>
        <v/>
      </c>
    </row>
    <row r="55" spans="1:15" ht="15" customHeight="1" x14ac:dyDescent="0.25">
      <c r="A55" s="30"/>
      <c r="B55" s="22"/>
      <c r="C55" s="22"/>
      <c r="D55" s="31"/>
      <c r="E55" s="30"/>
      <c r="F55" s="32"/>
      <c r="G55" s="22"/>
      <c r="H55" s="22"/>
      <c r="I55" s="31"/>
      <c r="J55" s="33"/>
      <c r="K55" s="22"/>
      <c r="L55" s="22"/>
      <c r="M55" s="30"/>
      <c r="N55" s="34">
        <f>IF(AND($L55="✔",$A55&lt;&gt;"",COUNTIF(Installs!$B$5:$B$159,$A55)=0),1,0)</f>
        <v>0</v>
      </c>
      <c r="O55" s="34" t="str">
        <f>IF($N55=1,SUM($N$3:$N55),"")</f>
        <v/>
      </c>
    </row>
    <row r="56" spans="1:15" ht="15" customHeight="1" x14ac:dyDescent="0.25">
      <c r="A56" s="30"/>
      <c r="B56" s="22"/>
      <c r="C56" s="22"/>
      <c r="D56" s="31"/>
      <c r="E56" s="30"/>
      <c r="F56" s="32"/>
      <c r="G56" s="22"/>
      <c r="H56" s="22"/>
      <c r="I56" s="31"/>
      <c r="J56" s="33"/>
      <c r="K56" s="22"/>
      <c r="L56" s="22"/>
      <c r="M56" s="30"/>
      <c r="N56" s="34">
        <f>IF(AND($L56="✔",$A56&lt;&gt;"",COUNTIF(Installs!$B$5:$B$159,$A56)=0),1,0)</f>
        <v>0</v>
      </c>
      <c r="O56" s="34" t="str">
        <f>IF($N56=1,SUM($N$3:$N56),"")</f>
        <v/>
      </c>
    </row>
    <row r="57" spans="1:15" ht="15" customHeight="1" x14ac:dyDescent="0.25">
      <c r="A57" s="30"/>
      <c r="B57" s="22"/>
      <c r="C57" s="22"/>
      <c r="D57" s="31"/>
      <c r="E57" s="30"/>
      <c r="F57" s="32"/>
      <c r="G57" s="22"/>
      <c r="H57" s="22"/>
      <c r="I57" s="31"/>
      <c r="J57" s="33"/>
      <c r="K57" s="22"/>
      <c r="L57" s="22"/>
      <c r="M57" s="30"/>
      <c r="N57" s="34">
        <f>IF(AND($L57="✔",$A57&lt;&gt;"",COUNTIF(Installs!$B$5:$B$159,$A57)=0),1,0)</f>
        <v>0</v>
      </c>
      <c r="O57" s="34" t="str">
        <f>IF($N57=1,SUM($N$3:$N57),"")</f>
        <v/>
      </c>
    </row>
    <row r="58" spans="1:15" ht="15" customHeight="1" x14ac:dyDescent="0.25">
      <c r="A58" s="30"/>
      <c r="B58" s="22"/>
      <c r="C58" s="22"/>
      <c r="D58" s="31"/>
      <c r="E58" s="30"/>
      <c r="F58" s="32"/>
      <c r="G58" s="22"/>
      <c r="H58" s="22"/>
      <c r="I58" s="31"/>
      <c r="J58" s="33"/>
      <c r="K58" s="22"/>
      <c r="L58" s="22"/>
      <c r="M58" s="30"/>
      <c r="N58" s="34">
        <f>IF(AND($L58="✔",$A58&lt;&gt;"",COUNTIF(Installs!$B$5:$B$159,$A58)=0),1,0)</f>
        <v>0</v>
      </c>
      <c r="O58" s="34" t="str">
        <f>IF($N58=1,SUM($N$3:$N58),"")</f>
        <v/>
      </c>
    </row>
    <row r="59" spans="1:15" ht="15" customHeight="1" x14ac:dyDescent="0.25">
      <c r="A59" s="30"/>
      <c r="B59" s="22"/>
      <c r="C59" s="22"/>
      <c r="D59" s="31"/>
      <c r="E59" s="30"/>
      <c r="F59" s="32"/>
      <c r="G59" s="22"/>
      <c r="H59" s="22"/>
      <c r="I59" s="31"/>
      <c r="J59" s="33"/>
      <c r="K59" s="22"/>
      <c r="L59" s="22"/>
      <c r="M59" s="30"/>
      <c r="N59" s="34">
        <f>IF(AND($L59="✔",$A59&lt;&gt;"",COUNTIF(Installs!$B$5:$B$159,$A59)=0),1,0)</f>
        <v>0</v>
      </c>
      <c r="O59" s="34" t="str">
        <f>IF($N59=1,SUM($N$3:$N59),"")</f>
        <v/>
      </c>
    </row>
    <row r="60" spans="1:15" ht="15" customHeight="1" x14ac:dyDescent="0.25">
      <c r="A60" s="30"/>
      <c r="B60" s="22"/>
      <c r="C60" s="22"/>
      <c r="D60" s="31"/>
      <c r="E60" s="30"/>
      <c r="F60" s="32"/>
      <c r="G60" s="22"/>
      <c r="H60" s="22"/>
      <c r="I60" s="31"/>
      <c r="J60" s="33"/>
      <c r="K60" s="22"/>
      <c r="L60" s="22"/>
      <c r="M60" s="30"/>
      <c r="N60" s="34">
        <f>IF(AND($L60="✔",$A60&lt;&gt;"",COUNTIF(Installs!$B$5:$B$159,$A60)=0),1,0)</f>
        <v>0</v>
      </c>
      <c r="O60" s="34" t="str">
        <f>IF($N60=1,SUM($N$3:$N60),"")</f>
        <v/>
      </c>
    </row>
    <row r="61" spans="1:15" ht="15" customHeight="1" x14ac:dyDescent="0.25">
      <c r="A61" s="30"/>
      <c r="B61" s="22"/>
      <c r="C61" s="22"/>
      <c r="D61" s="31"/>
      <c r="E61" s="30"/>
      <c r="F61" s="32"/>
      <c r="G61" s="22"/>
      <c r="H61" s="22"/>
      <c r="I61" s="31"/>
      <c r="J61" s="33"/>
      <c r="K61" s="22"/>
      <c r="L61" s="22"/>
      <c r="M61" s="30"/>
      <c r="N61" s="34">
        <f>IF(AND($L61="✔",$A61&lt;&gt;"",COUNTIF(Installs!$B$5:$B$159,$A61)=0),1,0)</f>
        <v>0</v>
      </c>
      <c r="O61" s="34" t="str">
        <f>IF($N61=1,SUM($N$3:$N61),"")</f>
        <v/>
      </c>
    </row>
    <row r="62" spans="1:15" ht="15" customHeight="1" x14ac:dyDescent="0.25">
      <c r="A62" s="30"/>
      <c r="B62" s="22"/>
      <c r="C62" s="22"/>
      <c r="D62" s="31"/>
      <c r="E62" s="30"/>
      <c r="F62" s="32"/>
      <c r="G62" s="22"/>
      <c r="H62" s="22"/>
      <c r="I62" s="31"/>
      <c r="J62" s="33"/>
      <c r="K62" s="22"/>
      <c r="L62" s="22"/>
      <c r="M62" s="30"/>
      <c r="N62" s="34">
        <f>IF(AND($L62="✔",$A62&lt;&gt;"",COUNTIF(Installs!$B$5:$B$159,$A62)=0),1,0)</f>
        <v>0</v>
      </c>
      <c r="O62" s="34" t="str">
        <f>IF($N62=1,SUM($N$3:$N62),"")</f>
        <v/>
      </c>
    </row>
    <row r="63" spans="1:15" ht="15" customHeight="1" x14ac:dyDescent="0.25">
      <c r="A63" s="30"/>
      <c r="B63" s="22"/>
      <c r="C63" s="22"/>
      <c r="D63" s="31"/>
      <c r="E63" s="30"/>
      <c r="F63" s="32"/>
      <c r="G63" s="22"/>
      <c r="H63" s="22"/>
      <c r="I63" s="31"/>
      <c r="J63" s="33"/>
      <c r="K63" s="22"/>
      <c r="L63" s="22"/>
      <c r="M63" s="30"/>
      <c r="N63" s="34">
        <f>IF(AND($L63="✔",$A63&lt;&gt;"",COUNTIF(Installs!$B$5:$B$159,$A63)=0),1,0)</f>
        <v>0</v>
      </c>
      <c r="O63" s="34" t="str">
        <f>IF($N63=1,SUM($N$3:$N63),"")</f>
        <v/>
      </c>
    </row>
    <row r="64" spans="1:15" ht="15" customHeight="1" x14ac:dyDescent="0.25">
      <c r="A64" s="30"/>
      <c r="B64" s="22"/>
      <c r="C64" s="22"/>
      <c r="D64" s="31"/>
      <c r="E64" s="30"/>
      <c r="F64" s="32"/>
      <c r="G64" s="22"/>
      <c r="H64" s="22"/>
      <c r="I64" s="31"/>
      <c r="J64" s="33"/>
      <c r="K64" s="22"/>
      <c r="L64" s="22"/>
      <c r="M64" s="30"/>
      <c r="N64" s="34">
        <f>IF(AND($L64="✔",$A64&lt;&gt;"",COUNTIF(Installs!$B$5:$B$159,$A64)=0),1,0)</f>
        <v>0</v>
      </c>
      <c r="O64" s="34" t="str">
        <f>IF($N64=1,SUM($N$3:$N64),"")</f>
        <v/>
      </c>
    </row>
    <row r="65" spans="1:15" ht="15" customHeight="1" x14ac:dyDescent="0.25">
      <c r="A65" s="30"/>
      <c r="B65" s="22"/>
      <c r="C65" s="22"/>
      <c r="D65" s="31"/>
      <c r="E65" s="30"/>
      <c r="F65" s="32"/>
      <c r="G65" s="22"/>
      <c r="H65" s="22"/>
      <c r="I65" s="31"/>
      <c r="J65" s="33"/>
      <c r="K65" s="22"/>
      <c r="L65" s="22"/>
      <c r="M65" s="30"/>
      <c r="N65" s="34">
        <f>IF(AND($L65="✔",$A65&lt;&gt;"",COUNTIF(Installs!$B$5:$B$159,$A65)=0),1,0)</f>
        <v>0</v>
      </c>
      <c r="O65" s="34" t="str">
        <f>IF($N65=1,SUM($N$3:$N65),"")</f>
        <v/>
      </c>
    </row>
    <row r="66" spans="1:15" ht="15" customHeight="1" x14ac:dyDescent="0.25">
      <c r="A66" s="30"/>
      <c r="B66" s="22"/>
      <c r="C66" s="22"/>
      <c r="D66" s="31"/>
      <c r="E66" s="30"/>
      <c r="F66" s="32"/>
      <c r="G66" s="22"/>
      <c r="H66" s="22"/>
      <c r="I66" s="31"/>
      <c r="J66" s="33"/>
      <c r="K66" s="22"/>
      <c r="L66" s="22"/>
      <c r="M66" s="30"/>
      <c r="N66" s="34">
        <f>IF(AND($L66="✔",$A66&lt;&gt;"",COUNTIF(Installs!$B$5:$B$159,$A66)=0),1,0)</f>
        <v>0</v>
      </c>
      <c r="O66" s="34" t="str">
        <f>IF($N66=1,SUM($N$3:$N66),"")</f>
        <v/>
      </c>
    </row>
    <row r="67" spans="1:15" ht="15" customHeight="1" x14ac:dyDescent="0.25">
      <c r="A67" s="30"/>
      <c r="B67" s="22"/>
      <c r="C67" s="22"/>
      <c r="D67" s="31"/>
      <c r="E67" s="30"/>
      <c r="F67" s="32"/>
      <c r="G67" s="22"/>
      <c r="H67" s="22"/>
      <c r="I67" s="31"/>
      <c r="J67" s="33"/>
      <c r="K67" s="22"/>
      <c r="L67" s="22"/>
      <c r="M67" s="30"/>
      <c r="N67" s="34">
        <f>IF(AND($L67="✔",$A67&lt;&gt;"",COUNTIF(Installs!$B$5:$B$159,$A67)=0),1,0)</f>
        <v>0</v>
      </c>
      <c r="O67" s="34" t="str">
        <f>IF($N67=1,SUM($N$3:$N67),"")</f>
        <v/>
      </c>
    </row>
    <row r="68" spans="1:15" ht="15" customHeight="1" x14ac:dyDescent="0.25">
      <c r="A68" s="30"/>
      <c r="B68" s="22"/>
      <c r="C68" s="22"/>
      <c r="D68" s="31"/>
      <c r="E68" s="30"/>
      <c r="F68" s="32"/>
      <c r="G68" s="22"/>
      <c r="H68" s="22"/>
      <c r="I68" s="31"/>
      <c r="J68" s="33"/>
      <c r="K68" s="22"/>
      <c r="L68" s="22"/>
      <c r="M68" s="30"/>
      <c r="N68" s="34">
        <f>IF(AND($L68="✔",$A68&lt;&gt;"",COUNTIF(Installs!$B$5:$B$159,$A68)=0),1,0)</f>
        <v>0</v>
      </c>
      <c r="O68" s="34" t="str">
        <f>IF($N68=1,SUM($N$3:$N68),"")</f>
        <v/>
      </c>
    </row>
    <row r="69" spans="1:15" ht="15" customHeight="1" x14ac:dyDescent="0.25">
      <c r="A69" s="30"/>
      <c r="B69" s="22"/>
      <c r="C69" s="22"/>
      <c r="D69" s="31"/>
      <c r="E69" s="30"/>
      <c r="F69" s="32"/>
      <c r="G69" s="22"/>
      <c r="H69" s="22"/>
      <c r="I69" s="31"/>
      <c r="J69" s="33"/>
      <c r="K69" s="22"/>
      <c r="L69" s="22"/>
      <c r="M69" s="30"/>
      <c r="N69" s="34">
        <f>IF(AND($L69="✔",$A69&lt;&gt;"",COUNTIF(Installs!$B$5:$B$159,$A69)=0),1,0)</f>
        <v>0</v>
      </c>
      <c r="O69" s="34" t="str">
        <f>IF($N69=1,SUM($N$3:$N69),"")</f>
        <v/>
      </c>
    </row>
    <row r="70" spans="1:15" ht="15" customHeight="1" x14ac:dyDescent="0.25">
      <c r="A70" s="30"/>
      <c r="B70" s="22"/>
      <c r="C70" s="22"/>
      <c r="D70" s="31"/>
      <c r="E70" s="30"/>
      <c r="F70" s="32"/>
      <c r="G70" s="22"/>
      <c r="H70" s="22"/>
      <c r="I70" s="31"/>
      <c r="J70" s="33"/>
      <c r="K70" s="22"/>
      <c r="L70" s="22"/>
      <c r="M70" s="30"/>
      <c r="N70" s="34">
        <f>IF(AND($L70="✔",$A70&lt;&gt;"",COUNTIF(Installs!$B$5:$B$159,$A70)=0),1,0)</f>
        <v>0</v>
      </c>
      <c r="O70" s="34" t="str">
        <f>IF($N70=1,SUM($N$3:$N70),"")</f>
        <v/>
      </c>
    </row>
    <row r="71" spans="1:15" ht="15" customHeight="1" x14ac:dyDescent="0.25">
      <c r="A71" s="30"/>
      <c r="B71" s="22"/>
      <c r="C71" s="22"/>
      <c r="D71" s="31"/>
      <c r="E71" s="30"/>
      <c r="F71" s="32"/>
      <c r="G71" s="22"/>
      <c r="H71" s="22"/>
      <c r="I71" s="31"/>
      <c r="J71" s="33"/>
      <c r="K71" s="22"/>
      <c r="L71" s="22"/>
      <c r="M71" s="30"/>
      <c r="N71" s="34">
        <f>IF(AND($L71="✔",$A71&lt;&gt;"",COUNTIF(Installs!$B$5:$B$159,$A71)=0),1,0)</f>
        <v>0</v>
      </c>
      <c r="O71" s="34" t="str">
        <f>IF($N71=1,SUM($N$3:$N71),"")</f>
        <v/>
      </c>
    </row>
    <row r="72" spans="1:15" ht="15" customHeight="1" x14ac:dyDescent="0.25">
      <c r="A72" s="30"/>
      <c r="B72" s="22"/>
      <c r="C72" s="22"/>
      <c r="D72" s="31"/>
      <c r="E72" s="30"/>
      <c r="F72" s="32"/>
      <c r="G72" s="22"/>
      <c r="H72" s="22"/>
      <c r="I72" s="31"/>
      <c r="J72" s="33"/>
      <c r="K72" s="22"/>
      <c r="L72" s="22"/>
      <c r="M72" s="30"/>
      <c r="N72" s="34">
        <f>IF(AND($L72="✔",$A72&lt;&gt;"",COUNTIF(Installs!$B$5:$B$159,$A72)=0),1,0)</f>
        <v>0</v>
      </c>
      <c r="O72" s="34" t="str">
        <f>IF($N72=1,SUM($N$3:$N72),"")</f>
        <v/>
      </c>
    </row>
    <row r="73" spans="1:15" ht="15" customHeight="1" x14ac:dyDescent="0.25">
      <c r="A73" s="30"/>
      <c r="B73" s="22"/>
      <c r="C73" s="22"/>
      <c r="D73" s="31"/>
      <c r="E73" s="30"/>
      <c r="F73" s="32"/>
      <c r="G73" s="22"/>
      <c r="H73" s="22"/>
      <c r="I73" s="31"/>
      <c r="J73" s="33"/>
      <c r="K73" s="22"/>
      <c r="L73" s="22"/>
      <c r="M73" s="30"/>
      <c r="N73" s="34">
        <f>IF(AND($L73="✔",$A73&lt;&gt;"",COUNTIF(Installs!$B$5:$B$159,$A73)=0),1,0)</f>
        <v>0</v>
      </c>
      <c r="O73" s="34" t="str">
        <f>IF($N73=1,SUM($N$3:$N73),"")</f>
        <v/>
      </c>
    </row>
    <row r="74" spans="1:15" ht="15" customHeight="1" x14ac:dyDescent="0.25">
      <c r="A74" s="30"/>
      <c r="B74" s="22"/>
      <c r="C74" s="22"/>
      <c r="D74" s="31"/>
      <c r="E74" s="30"/>
      <c r="F74" s="32"/>
      <c r="G74" s="22"/>
      <c r="H74" s="22"/>
      <c r="I74" s="31"/>
      <c r="J74" s="33"/>
      <c r="K74" s="22"/>
      <c r="L74" s="22"/>
      <c r="M74" s="30"/>
      <c r="N74" s="34">
        <f>IF(AND($L74="✔",$A74&lt;&gt;"",COUNTIF(Installs!$B$5:$B$159,$A74)=0),1,0)</f>
        <v>0</v>
      </c>
      <c r="O74" s="34" t="str">
        <f>IF($N74=1,SUM($N$3:$N74),"")</f>
        <v/>
      </c>
    </row>
    <row r="75" spans="1:15" ht="15" customHeight="1" x14ac:dyDescent="0.25">
      <c r="A75" s="30"/>
      <c r="B75" s="22"/>
      <c r="C75" s="22"/>
      <c r="D75" s="31"/>
      <c r="E75" s="30"/>
      <c r="F75" s="32"/>
      <c r="G75" s="22"/>
      <c r="H75" s="22"/>
      <c r="I75" s="31"/>
      <c r="J75" s="33"/>
      <c r="K75" s="22"/>
      <c r="L75" s="22"/>
      <c r="M75" s="30"/>
      <c r="N75" s="34">
        <f>IF(AND($L75="✔",$A75&lt;&gt;"",COUNTIF(Installs!$B$5:$B$159,$A75)=0),1,0)</f>
        <v>0</v>
      </c>
      <c r="O75" s="34" t="str">
        <f>IF($N75=1,SUM($N$3:$N75),"")</f>
        <v/>
      </c>
    </row>
    <row r="76" spans="1:15" ht="15" customHeight="1" x14ac:dyDescent="0.25">
      <c r="A76" s="30"/>
      <c r="B76" s="22"/>
      <c r="C76" s="22"/>
      <c r="D76" s="31"/>
      <c r="E76" s="30"/>
      <c r="F76" s="32"/>
      <c r="G76" s="22"/>
      <c r="H76" s="22"/>
      <c r="I76" s="31"/>
      <c r="J76" s="33"/>
      <c r="K76" s="22"/>
      <c r="L76" s="22"/>
      <c r="M76" s="30"/>
      <c r="N76" s="34">
        <f>IF(AND($L76="✔",$A76&lt;&gt;"",COUNTIF(Installs!$B$5:$B$159,$A76)=0),1,0)</f>
        <v>0</v>
      </c>
      <c r="O76" s="34" t="str">
        <f>IF($N76=1,SUM($N$3:$N76),"")</f>
        <v/>
      </c>
    </row>
    <row r="77" spans="1:15" ht="15" customHeight="1" x14ac:dyDescent="0.25">
      <c r="A77" s="30"/>
      <c r="B77" s="22"/>
      <c r="C77" s="22"/>
      <c r="D77" s="31"/>
      <c r="E77" s="30"/>
      <c r="F77" s="32"/>
      <c r="G77" s="22"/>
      <c r="H77" s="22"/>
      <c r="I77" s="31"/>
      <c r="J77" s="33"/>
      <c r="K77" s="22"/>
      <c r="L77" s="22"/>
      <c r="M77" s="30"/>
      <c r="N77" s="34">
        <f>IF(AND($L77="✔",$A77&lt;&gt;"",COUNTIF(Installs!$B$5:$B$159,$A77)=0),1,0)</f>
        <v>0</v>
      </c>
      <c r="O77" s="34" t="str">
        <f>IF($N77=1,SUM($N$3:$N77),"")</f>
        <v/>
      </c>
    </row>
    <row r="78" spans="1:15" ht="15" customHeight="1" x14ac:dyDescent="0.25">
      <c r="A78" s="30"/>
      <c r="B78" s="22"/>
      <c r="C78" s="22"/>
      <c r="D78" s="31"/>
      <c r="E78" s="30"/>
      <c r="F78" s="32"/>
      <c r="G78" s="22"/>
      <c r="H78" s="22"/>
      <c r="I78" s="31"/>
      <c r="J78" s="33"/>
      <c r="K78" s="22"/>
      <c r="L78" s="22"/>
      <c r="M78" s="30"/>
      <c r="N78" s="34">
        <f>IF(AND($L78="✔",$A78&lt;&gt;"",COUNTIF(Installs!$B$5:$B$159,$A78)=0),1,0)</f>
        <v>0</v>
      </c>
      <c r="O78" s="34" t="str">
        <f>IF($N78=1,SUM($N$3:$N78),"")</f>
        <v/>
      </c>
    </row>
    <row r="79" spans="1:15" ht="15" customHeight="1" x14ac:dyDescent="0.25">
      <c r="A79" s="30"/>
      <c r="B79" s="22"/>
      <c r="C79" s="22"/>
      <c r="D79" s="31"/>
      <c r="E79" s="30"/>
      <c r="F79" s="32"/>
      <c r="G79" s="22"/>
      <c r="H79" s="22"/>
      <c r="I79" s="31"/>
      <c r="J79" s="33"/>
      <c r="K79" s="22"/>
      <c r="L79" s="22"/>
      <c r="M79" s="30"/>
      <c r="N79" s="34">
        <f>IF(AND($L79="✔",$A79&lt;&gt;"",COUNTIF(Installs!$B$5:$B$159,$A79)=0),1,0)</f>
        <v>0</v>
      </c>
      <c r="O79" s="34" t="str">
        <f>IF($N79=1,SUM($N$3:$N79),"")</f>
        <v/>
      </c>
    </row>
    <row r="80" spans="1:15" ht="15" customHeight="1" x14ac:dyDescent="0.25">
      <c r="A80" s="30"/>
      <c r="B80" s="22"/>
      <c r="C80" s="22"/>
      <c r="D80" s="31"/>
      <c r="E80" s="30"/>
      <c r="F80" s="32"/>
      <c r="G80" s="22"/>
      <c r="H80" s="22"/>
      <c r="I80" s="31"/>
      <c r="J80" s="33"/>
      <c r="K80" s="22"/>
      <c r="L80" s="22"/>
      <c r="M80" s="30"/>
      <c r="N80" s="34">
        <f>IF(AND($L80="✔",$A80&lt;&gt;"",COUNTIF(Installs!$B$5:$B$159,$A80)=0),1,0)</f>
        <v>0</v>
      </c>
      <c r="O80" s="34" t="str">
        <f>IF($N80=1,SUM($N$3:$N80),"")</f>
        <v/>
      </c>
    </row>
    <row r="81" spans="1:15" ht="15" customHeight="1" x14ac:dyDescent="0.25">
      <c r="A81" s="30"/>
      <c r="B81" s="22"/>
      <c r="C81" s="22"/>
      <c r="D81" s="31"/>
      <c r="E81" s="30"/>
      <c r="F81" s="32"/>
      <c r="G81" s="22"/>
      <c r="H81" s="22"/>
      <c r="I81" s="31"/>
      <c r="J81" s="33"/>
      <c r="K81" s="22"/>
      <c r="L81" s="22"/>
      <c r="M81" s="30"/>
      <c r="N81" s="34">
        <f>IF(AND($L81="✔",$A81&lt;&gt;"",COUNTIF(Installs!$B$5:$B$159,$A81)=0),1,0)</f>
        <v>0</v>
      </c>
      <c r="O81" s="34" t="str">
        <f>IF($N81=1,SUM($N$3:$N81),"")</f>
        <v/>
      </c>
    </row>
    <row r="82" spans="1:15" ht="15" customHeight="1" x14ac:dyDescent="0.25">
      <c r="A82" s="30"/>
      <c r="B82" s="22"/>
      <c r="C82" s="22"/>
      <c r="D82" s="31"/>
      <c r="E82" s="30"/>
      <c r="F82" s="32"/>
      <c r="G82" s="22"/>
      <c r="H82" s="22"/>
      <c r="I82" s="31"/>
      <c r="J82" s="33"/>
      <c r="K82" s="22"/>
      <c r="L82" s="22"/>
      <c r="M82" s="30"/>
      <c r="N82" s="34">
        <f>IF(AND($L82="✔",$A82&lt;&gt;"",COUNTIF(Installs!$B$5:$B$159,$A82)=0),1,0)</f>
        <v>0</v>
      </c>
      <c r="O82" s="34" t="str">
        <f>IF($N82=1,SUM($N$3:$N82),"")</f>
        <v/>
      </c>
    </row>
    <row r="83" spans="1:15" ht="15" customHeight="1" x14ac:dyDescent="0.25">
      <c r="A83" s="30"/>
      <c r="B83" s="22"/>
      <c r="C83" s="22"/>
      <c r="D83" s="31"/>
      <c r="E83" s="30"/>
      <c r="F83" s="32"/>
      <c r="G83" s="22"/>
      <c r="H83" s="22"/>
      <c r="I83" s="31"/>
      <c r="J83" s="33"/>
      <c r="K83" s="22"/>
      <c r="L83" s="22"/>
      <c r="M83" s="30"/>
      <c r="N83" s="34">
        <f>IF(AND($L83="✔",$A83&lt;&gt;"",COUNTIF(Installs!$B$5:$B$159,$A83)=0),1,0)</f>
        <v>0</v>
      </c>
      <c r="O83" s="34" t="str">
        <f>IF($N83=1,SUM($N$3:$N83),"")</f>
        <v/>
      </c>
    </row>
    <row r="84" spans="1:15" ht="15" customHeight="1" x14ac:dyDescent="0.25">
      <c r="A84" s="30"/>
      <c r="B84" s="22"/>
      <c r="C84" s="22"/>
      <c r="D84" s="31"/>
      <c r="E84" s="30"/>
      <c r="F84" s="32"/>
      <c r="G84" s="22"/>
      <c r="H84" s="22"/>
      <c r="I84" s="31"/>
      <c r="J84" s="33"/>
      <c r="K84" s="22"/>
      <c r="L84" s="22"/>
      <c r="M84" s="30"/>
      <c r="N84" s="34">
        <f>IF(AND($L84="✔",$A84&lt;&gt;"",COUNTIF(Installs!$B$5:$B$159,$A84)=0),1,0)</f>
        <v>0</v>
      </c>
      <c r="O84" s="34" t="str">
        <f>IF($N84=1,SUM($N$3:$N84),"")</f>
        <v/>
      </c>
    </row>
    <row r="85" spans="1:15" ht="15" customHeight="1" x14ac:dyDescent="0.25">
      <c r="A85" s="30"/>
      <c r="B85" s="22"/>
      <c r="C85" s="22"/>
      <c r="D85" s="31"/>
      <c r="E85" s="30"/>
      <c r="F85" s="32"/>
      <c r="G85" s="22"/>
      <c r="H85" s="22"/>
      <c r="I85" s="31"/>
      <c r="J85" s="33"/>
      <c r="K85" s="22"/>
      <c r="L85" s="22"/>
      <c r="M85" s="30"/>
      <c r="N85" s="34">
        <f>IF(AND($L85="✔",$A85&lt;&gt;"",COUNTIF(Installs!$B$5:$B$159,$A85)=0),1,0)</f>
        <v>0</v>
      </c>
      <c r="O85" s="34" t="str">
        <f>IF($N85=1,SUM($N$3:$N85),"")</f>
        <v/>
      </c>
    </row>
    <row r="86" spans="1:15" ht="15" customHeight="1" x14ac:dyDescent="0.25">
      <c r="A86" s="30"/>
      <c r="B86" s="22"/>
      <c r="C86" s="22"/>
      <c r="D86" s="31"/>
      <c r="E86" s="30"/>
      <c r="F86" s="32"/>
      <c r="G86" s="22"/>
      <c r="H86" s="22"/>
      <c r="I86" s="31"/>
      <c r="J86" s="33"/>
      <c r="K86" s="22"/>
      <c r="L86" s="22"/>
      <c r="M86" s="30"/>
      <c r="N86" s="34">
        <f>IF(AND($L86="✔",$A86&lt;&gt;"",COUNTIF(Installs!$B$5:$B$159,$A86)=0),1,0)</f>
        <v>0</v>
      </c>
      <c r="O86" s="34" t="str">
        <f>IF($N86=1,SUM($N$3:$N86),"")</f>
        <v/>
      </c>
    </row>
    <row r="87" spans="1:15" ht="15" customHeight="1" x14ac:dyDescent="0.25">
      <c r="A87" s="30"/>
      <c r="B87" s="22"/>
      <c r="C87" s="22"/>
      <c r="D87" s="31"/>
      <c r="E87" s="30"/>
      <c r="F87" s="32"/>
      <c r="G87" s="22"/>
      <c r="H87" s="22"/>
      <c r="I87" s="31"/>
      <c r="J87" s="33"/>
      <c r="K87" s="22"/>
      <c r="L87" s="22"/>
      <c r="M87" s="30"/>
      <c r="N87" s="34">
        <f>IF(AND($L87="✔",$A87&lt;&gt;"",COUNTIF(Installs!$B$5:$B$159,$A87)=0),1,0)</f>
        <v>0</v>
      </c>
      <c r="O87" s="34" t="str">
        <f>IF($N87=1,SUM($N$3:$N87),"")</f>
        <v/>
      </c>
    </row>
    <row r="88" spans="1:15" ht="15" customHeight="1" x14ac:dyDescent="0.25">
      <c r="A88" s="30"/>
      <c r="B88" s="22"/>
      <c r="C88" s="22"/>
      <c r="D88" s="31"/>
      <c r="E88" s="30"/>
      <c r="F88" s="32"/>
      <c r="G88" s="22"/>
      <c r="H88" s="22"/>
      <c r="I88" s="31"/>
      <c r="J88" s="33"/>
      <c r="K88" s="22"/>
      <c r="L88" s="22"/>
      <c r="M88" s="30"/>
      <c r="N88" s="34">
        <f>IF(AND($L88="✔",$A88&lt;&gt;"",COUNTIF(Installs!$B$5:$B$159,$A88)=0),1,0)</f>
        <v>0</v>
      </c>
      <c r="O88" s="34" t="str">
        <f>IF($N88=1,SUM($N$3:$N88),"")</f>
        <v/>
      </c>
    </row>
    <row r="89" spans="1:15" ht="15" customHeight="1" x14ac:dyDescent="0.25">
      <c r="A89" s="30"/>
      <c r="B89" s="22"/>
      <c r="C89" s="22"/>
      <c r="D89" s="31"/>
      <c r="E89" s="30"/>
      <c r="F89" s="32"/>
      <c r="G89" s="22"/>
      <c r="H89" s="22"/>
      <c r="I89" s="31"/>
      <c r="J89" s="33"/>
      <c r="K89" s="22"/>
      <c r="L89" s="22"/>
      <c r="M89" s="30"/>
      <c r="N89" s="34">
        <f>IF(AND($L89="✔",$A89&lt;&gt;"",COUNTIF(Installs!$B$5:$B$159,$A89)=0),1,0)</f>
        <v>0</v>
      </c>
      <c r="O89" s="34" t="str">
        <f>IF($N89=1,SUM($N$3:$N89),"")</f>
        <v/>
      </c>
    </row>
    <row r="90" spans="1:15" ht="15" customHeight="1" x14ac:dyDescent="0.25">
      <c r="A90" s="30"/>
      <c r="B90" s="22"/>
      <c r="C90" s="22"/>
      <c r="D90" s="31"/>
      <c r="E90" s="30"/>
      <c r="F90" s="32"/>
      <c r="G90" s="22"/>
      <c r="H90" s="22"/>
      <c r="I90" s="31"/>
      <c r="J90" s="33"/>
      <c r="K90" s="22"/>
      <c r="L90" s="22"/>
      <c r="M90" s="30"/>
      <c r="N90" s="34">
        <f>IF(AND($L90="✔",$A90&lt;&gt;"",COUNTIF(Installs!$B$5:$B$159,$A90)=0),1,0)</f>
        <v>0</v>
      </c>
      <c r="O90" s="34" t="str">
        <f>IF($N90=1,SUM($N$3:$N90),"")</f>
        <v/>
      </c>
    </row>
    <row r="91" spans="1:15" ht="15" customHeight="1" x14ac:dyDescent="0.25">
      <c r="A91" s="30"/>
      <c r="B91" s="22"/>
      <c r="C91" s="22"/>
      <c r="D91" s="31"/>
      <c r="E91" s="30"/>
      <c r="F91" s="32"/>
      <c r="G91" s="22"/>
      <c r="H91" s="22"/>
      <c r="I91" s="31"/>
      <c r="J91" s="33"/>
      <c r="K91" s="22"/>
      <c r="L91" s="22"/>
      <c r="M91" s="30"/>
      <c r="N91" s="34">
        <f>IF(AND($L91="✔",$A91&lt;&gt;"",COUNTIF(Installs!$B$5:$B$159,$A91)=0),1,0)</f>
        <v>0</v>
      </c>
      <c r="O91" s="34" t="str">
        <f>IF($N91=1,SUM($N$3:$N91),"")</f>
        <v/>
      </c>
    </row>
    <row r="92" spans="1:15" ht="15" customHeight="1" x14ac:dyDescent="0.25">
      <c r="A92" s="30"/>
      <c r="B92" s="22"/>
      <c r="C92" s="22"/>
      <c r="D92" s="31"/>
      <c r="E92" s="30"/>
      <c r="F92" s="32"/>
      <c r="G92" s="22"/>
      <c r="H92" s="22"/>
      <c r="I92" s="31"/>
      <c r="J92" s="33"/>
      <c r="K92" s="22"/>
      <c r="L92" s="22"/>
      <c r="M92" s="30"/>
      <c r="N92" s="34">
        <f>IF(AND($L92="✔",$A92&lt;&gt;"",COUNTIF(Installs!$B$5:$B$159,$A92)=0),1,0)</f>
        <v>0</v>
      </c>
      <c r="O92" s="34" t="str">
        <f>IF($N92=1,SUM($N$3:$N92),"")</f>
        <v/>
      </c>
    </row>
    <row r="93" spans="1:15" ht="15" customHeight="1" x14ac:dyDescent="0.25">
      <c r="A93" s="30"/>
      <c r="B93" s="22"/>
      <c r="C93" s="22"/>
      <c r="D93" s="31"/>
      <c r="E93" s="30"/>
      <c r="F93" s="32"/>
      <c r="G93" s="22"/>
      <c r="H93" s="22"/>
      <c r="I93" s="31"/>
      <c r="J93" s="33"/>
      <c r="K93" s="22"/>
      <c r="L93" s="22"/>
      <c r="M93" s="30"/>
      <c r="N93" s="34">
        <f>IF(AND($L93="✔",$A93&lt;&gt;"",COUNTIF(Installs!$B$5:$B$159,$A93)=0),1,0)</f>
        <v>0</v>
      </c>
      <c r="O93" s="34" t="str">
        <f>IF($N93=1,SUM($N$3:$N93),"")</f>
        <v/>
      </c>
    </row>
    <row r="94" spans="1:15" ht="15" customHeight="1" x14ac:dyDescent="0.25">
      <c r="A94" s="30"/>
      <c r="B94" s="22"/>
      <c r="C94" s="22"/>
      <c r="D94" s="31"/>
      <c r="E94" s="30"/>
      <c r="F94" s="32"/>
      <c r="G94" s="22"/>
      <c r="H94" s="22"/>
      <c r="I94" s="31"/>
      <c r="J94" s="33"/>
      <c r="K94" s="22"/>
      <c r="L94" s="22"/>
      <c r="M94" s="30"/>
      <c r="N94" s="34">
        <f>IF(AND($L94="✔",$A94&lt;&gt;"",COUNTIF(Installs!$B$5:$B$159,$A94)=0),1,0)</f>
        <v>0</v>
      </c>
      <c r="O94" s="34" t="str">
        <f>IF($N94=1,SUM($N$3:$N94),"")</f>
        <v/>
      </c>
    </row>
    <row r="95" spans="1:15" ht="15" customHeight="1" x14ac:dyDescent="0.25">
      <c r="A95" s="30"/>
      <c r="B95" s="22"/>
      <c r="C95" s="22"/>
      <c r="D95" s="31"/>
      <c r="E95" s="30"/>
      <c r="F95" s="32"/>
      <c r="G95" s="22"/>
      <c r="H95" s="22"/>
      <c r="I95" s="31"/>
      <c r="J95" s="33"/>
      <c r="K95" s="22"/>
      <c r="L95" s="22"/>
      <c r="M95" s="30"/>
      <c r="N95" s="34">
        <f>IF(AND($L95="✔",$A95&lt;&gt;"",COUNTIF(Installs!$B$5:$B$159,$A95)=0),1,0)</f>
        <v>0</v>
      </c>
      <c r="O95" s="34" t="str">
        <f>IF($N95=1,SUM($N$3:$N95),"")</f>
        <v/>
      </c>
    </row>
    <row r="96" spans="1:15" ht="15" customHeight="1" x14ac:dyDescent="0.25">
      <c r="A96" s="30"/>
      <c r="B96" s="22"/>
      <c r="C96" s="22"/>
      <c r="D96" s="31"/>
      <c r="E96" s="30"/>
      <c r="F96" s="32"/>
      <c r="G96" s="22"/>
      <c r="H96" s="22"/>
      <c r="I96" s="31"/>
      <c r="J96" s="33"/>
      <c r="K96" s="22"/>
      <c r="L96" s="22"/>
      <c r="M96" s="30"/>
      <c r="N96" s="34">
        <f>IF(AND($L96="✔",$A96&lt;&gt;"",COUNTIF(Installs!$B$5:$B$159,$A96)=0),1,0)</f>
        <v>0</v>
      </c>
      <c r="O96" s="34" t="str">
        <f>IF($N96=1,SUM($N$3:$N96),"")</f>
        <v/>
      </c>
    </row>
    <row r="97" spans="1:15" ht="15" customHeight="1" x14ac:dyDescent="0.25">
      <c r="A97" s="30"/>
      <c r="B97" s="22"/>
      <c r="C97" s="22"/>
      <c r="D97" s="31"/>
      <c r="E97" s="30"/>
      <c r="F97" s="32"/>
      <c r="G97" s="22"/>
      <c r="H97" s="22"/>
      <c r="I97" s="31"/>
      <c r="J97" s="33"/>
      <c r="K97" s="22"/>
      <c r="L97" s="22"/>
      <c r="M97" s="30"/>
      <c r="N97" s="34">
        <f>IF(AND($L97="✔",$A97&lt;&gt;"",COUNTIF(Installs!$B$5:$B$159,$A97)=0),1,0)</f>
        <v>0</v>
      </c>
      <c r="O97" s="34" t="str">
        <f>IF($N97=1,SUM($N$3:$N97),"")</f>
        <v/>
      </c>
    </row>
    <row r="98" spans="1:15" ht="15" customHeight="1" x14ac:dyDescent="0.25">
      <c r="A98" s="30"/>
      <c r="B98" s="22"/>
      <c r="C98" s="22"/>
      <c r="D98" s="31"/>
      <c r="E98" s="30"/>
      <c r="F98" s="32"/>
      <c r="G98" s="22"/>
      <c r="H98" s="22"/>
      <c r="I98" s="31"/>
      <c r="J98" s="33"/>
      <c r="K98" s="22"/>
      <c r="L98" s="22"/>
      <c r="M98" s="30"/>
      <c r="N98" s="34">
        <f>IF(AND($L98="✔",$A98&lt;&gt;"",COUNTIF(Installs!$B$5:$B$159,$A98)=0),1,0)</f>
        <v>0</v>
      </c>
      <c r="O98" s="34" t="str">
        <f>IF($N98=1,SUM($N$3:$N98),"")</f>
        <v/>
      </c>
    </row>
    <row r="99" spans="1:15" ht="15" customHeight="1" x14ac:dyDescent="0.25">
      <c r="A99" s="30"/>
      <c r="B99" s="22"/>
      <c r="C99" s="22"/>
      <c r="D99" s="31"/>
      <c r="E99" s="30"/>
      <c r="F99" s="32"/>
      <c r="G99" s="22"/>
      <c r="H99" s="22"/>
      <c r="I99" s="31"/>
      <c r="J99" s="33"/>
      <c r="K99" s="22"/>
      <c r="L99" s="22"/>
      <c r="M99" s="30"/>
      <c r="N99" s="34">
        <f>IF(AND($L99="✔",$A99&lt;&gt;"",COUNTIF(Installs!$B$5:$B$159,$A99)=0),1,0)</f>
        <v>0</v>
      </c>
      <c r="O99" s="34" t="str">
        <f>IF($N99=1,SUM($N$3:$N99),"")</f>
        <v/>
      </c>
    </row>
    <row r="100" spans="1:15" ht="15" customHeight="1" x14ac:dyDescent="0.25">
      <c r="A100" s="30"/>
      <c r="B100" s="22"/>
      <c r="C100" s="22"/>
      <c r="D100" s="31"/>
      <c r="E100" s="30"/>
      <c r="F100" s="32"/>
      <c r="G100" s="22"/>
      <c r="H100" s="22"/>
      <c r="I100" s="31"/>
      <c r="J100" s="33"/>
      <c r="K100" s="22"/>
      <c r="L100" s="22"/>
      <c r="M100" s="30"/>
      <c r="N100" s="34">
        <f>IF(AND($L100="✔",$A100&lt;&gt;"",COUNTIF(Installs!$B$5:$B$159,$A100)=0),1,0)</f>
        <v>0</v>
      </c>
      <c r="O100" s="34" t="str">
        <f>IF($N100=1,SUM($N$3:$N100),"")</f>
        <v/>
      </c>
    </row>
    <row r="101" spans="1:15" ht="15" customHeight="1" x14ac:dyDescent="0.25">
      <c r="A101" s="30"/>
      <c r="B101" s="22"/>
      <c r="C101" s="22"/>
      <c r="D101" s="31"/>
      <c r="E101" s="30"/>
      <c r="F101" s="32"/>
      <c r="G101" s="22"/>
      <c r="H101" s="22"/>
      <c r="I101" s="31"/>
      <c r="J101" s="33"/>
      <c r="K101" s="22"/>
      <c r="L101" s="22"/>
      <c r="M101" s="30"/>
      <c r="N101" s="34">
        <f>IF(AND($L101="✔",$A101&lt;&gt;"",COUNTIF(Installs!$B$5:$B$159,$A101)=0),1,0)</f>
        <v>0</v>
      </c>
      <c r="O101" s="34" t="str">
        <f>IF($N101=1,SUM($N$3:$N101),"")</f>
        <v/>
      </c>
    </row>
    <row r="102" spans="1:15" ht="15" customHeight="1" x14ac:dyDescent="0.25">
      <c r="A102" s="30"/>
      <c r="B102" s="22"/>
      <c r="C102" s="22"/>
      <c r="D102" s="31"/>
      <c r="E102" s="30"/>
      <c r="F102" s="32"/>
      <c r="G102" s="22"/>
      <c r="H102" s="22"/>
      <c r="I102" s="31"/>
      <c r="J102" s="33"/>
      <c r="K102" s="22"/>
      <c r="L102" s="22"/>
      <c r="M102" s="30"/>
      <c r="N102" s="34">
        <f>IF(AND($L102="✔",$A102&lt;&gt;"",COUNTIF(Installs!$B$5:$B$159,$A102)=0),1,0)</f>
        <v>0</v>
      </c>
      <c r="O102" s="34" t="str">
        <f>IF($N102=1,SUM($N$3:$N102),"")</f>
        <v/>
      </c>
    </row>
    <row r="103" spans="1:15" ht="15" customHeight="1" x14ac:dyDescent="0.25">
      <c r="A103" s="30"/>
      <c r="B103" s="22"/>
      <c r="C103" s="22"/>
      <c r="D103" s="31"/>
      <c r="E103" s="30"/>
      <c r="F103" s="32"/>
      <c r="G103" s="22"/>
      <c r="H103" s="22"/>
      <c r="I103" s="31"/>
      <c r="J103" s="33"/>
      <c r="K103" s="22"/>
      <c r="L103" s="22"/>
      <c r="M103" s="30"/>
      <c r="N103" s="34">
        <f>IF(AND($L103="✔",$A103&lt;&gt;"",COUNTIF(Installs!$B$5:$B$159,$A103)=0),1,0)</f>
        <v>0</v>
      </c>
      <c r="O103" s="34" t="str">
        <f>IF($N103=1,SUM($N$3:$N103),"")</f>
        <v/>
      </c>
    </row>
    <row r="104" spans="1:15" ht="15" customHeight="1" x14ac:dyDescent="0.25">
      <c r="A104" s="30"/>
      <c r="B104" s="22"/>
      <c r="C104" s="22"/>
      <c r="D104" s="31"/>
      <c r="E104" s="30"/>
      <c r="F104" s="32"/>
      <c r="G104" s="22"/>
      <c r="H104" s="22"/>
      <c r="I104" s="31"/>
      <c r="J104" s="33"/>
      <c r="K104" s="22"/>
      <c r="L104" s="22"/>
      <c r="M104" s="30"/>
      <c r="N104" s="34">
        <f>IF(AND($L104="✔",$A104&lt;&gt;"",COUNTIF(Installs!$B$5:$B$159,$A104)=0),1,0)</f>
        <v>0</v>
      </c>
      <c r="O104" s="34" t="str">
        <f>IF($N104=1,SUM($N$3:$N104),"")</f>
        <v/>
      </c>
    </row>
    <row r="105" spans="1:15" ht="15" customHeight="1" x14ac:dyDescent="0.25">
      <c r="A105" s="30"/>
      <c r="B105" s="22"/>
      <c r="C105" s="22"/>
      <c r="D105" s="31"/>
      <c r="E105" s="30"/>
      <c r="F105" s="32"/>
      <c r="G105" s="22"/>
      <c r="H105" s="22"/>
      <c r="I105" s="31"/>
      <c r="J105" s="33"/>
      <c r="K105" s="22"/>
      <c r="L105" s="22"/>
      <c r="M105" s="30"/>
      <c r="N105" s="34">
        <f>IF(AND($L105="✔",$A105&lt;&gt;"",COUNTIF(Installs!$B$5:$B$159,$A105)=0),1,0)</f>
        <v>0</v>
      </c>
      <c r="O105" s="34" t="str">
        <f>IF($N105=1,SUM($N$3:$N105),"")</f>
        <v/>
      </c>
    </row>
    <row r="106" spans="1:15" ht="15" customHeight="1" x14ac:dyDescent="0.25">
      <c r="A106" s="30"/>
      <c r="B106" s="22"/>
      <c r="C106" s="22"/>
      <c r="D106" s="31"/>
      <c r="E106" s="30"/>
      <c r="F106" s="32"/>
      <c r="G106" s="22"/>
      <c r="H106" s="22"/>
      <c r="I106" s="31"/>
      <c r="J106" s="33"/>
      <c r="K106" s="22"/>
      <c r="L106" s="22"/>
      <c r="M106" s="30"/>
      <c r="N106" s="34">
        <f>IF(AND($L106="✔",$A106&lt;&gt;"",COUNTIF(Installs!$B$5:$B$159,$A106)=0),1,0)</f>
        <v>0</v>
      </c>
      <c r="O106" s="34" t="str">
        <f>IF($N106=1,SUM($N$3:$N106),"")</f>
        <v/>
      </c>
    </row>
    <row r="107" spans="1:15" ht="15" customHeight="1" x14ac:dyDescent="0.25">
      <c r="A107" s="30"/>
      <c r="B107" s="22"/>
      <c r="C107" s="22"/>
      <c r="D107" s="31"/>
      <c r="E107" s="30"/>
      <c r="F107" s="32"/>
      <c r="G107" s="22"/>
      <c r="H107" s="22"/>
      <c r="I107" s="31"/>
      <c r="J107" s="33"/>
      <c r="K107" s="22"/>
      <c r="L107" s="22"/>
      <c r="M107" s="30"/>
      <c r="N107" s="34">
        <f>IF(AND($L107="✔",$A107&lt;&gt;"",COUNTIF(Installs!$B$5:$B$159,$A107)=0),1,0)</f>
        <v>0</v>
      </c>
      <c r="O107" s="34" t="str">
        <f>IF($N107=1,SUM($N$3:$N107),"")</f>
        <v/>
      </c>
    </row>
    <row r="108" spans="1:15" ht="15" customHeight="1" x14ac:dyDescent="0.25">
      <c r="A108" s="30"/>
      <c r="B108" s="22"/>
      <c r="C108" s="22"/>
      <c r="D108" s="31"/>
      <c r="E108" s="30"/>
      <c r="F108" s="32"/>
      <c r="G108" s="22"/>
      <c r="H108" s="22"/>
      <c r="I108" s="31"/>
      <c r="J108" s="33"/>
      <c r="K108" s="22"/>
      <c r="L108" s="22"/>
      <c r="M108" s="30"/>
      <c r="N108" s="34">
        <f>IF(AND($L108="✔",$A108&lt;&gt;"",COUNTIF(Installs!$B$5:$B$159,$A108)=0),1,0)</f>
        <v>0</v>
      </c>
      <c r="O108" s="34" t="str">
        <f>IF($N108=1,SUM($N$3:$N108),"")</f>
        <v/>
      </c>
    </row>
    <row r="109" spans="1:15" ht="15" customHeight="1" x14ac:dyDescent="0.25">
      <c r="A109" s="30"/>
      <c r="B109" s="22"/>
      <c r="C109" s="22"/>
      <c r="D109" s="31"/>
      <c r="E109" s="30"/>
      <c r="F109" s="32"/>
      <c r="G109" s="22"/>
      <c r="H109" s="22"/>
      <c r="I109" s="31"/>
      <c r="J109" s="33"/>
      <c r="K109" s="22"/>
      <c r="L109" s="22"/>
      <c r="M109" s="30"/>
      <c r="N109" s="34">
        <f>IF(AND($L109="✔",$A109&lt;&gt;"",COUNTIF(Installs!$B$5:$B$159,$A109)=0),1,0)</f>
        <v>0</v>
      </c>
      <c r="O109" s="34" t="str">
        <f>IF($N109=1,SUM($N$3:$N109),"")</f>
        <v/>
      </c>
    </row>
    <row r="110" spans="1:15" ht="15" customHeight="1" x14ac:dyDescent="0.25">
      <c r="A110" s="30"/>
      <c r="B110" s="22"/>
      <c r="C110" s="22"/>
      <c r="D110" s="31"/>
      <c r="E110" s="30"/>
      <c r="F110" s="32"/>
      <c r="G110" s="22"/>
      <c r="H110" s="22"/>
      <c r="I110" s="31"/>
      <c r="J110" s="33"/>
      <c r="K110" s="22"/>
      <c r="L110" s="22"/>
      <c r="M110" s="30"/>
      <c r="N110" s="34">
        <f>IF(AND($L110="✔",$A110&lt;&gt;"",COUNTIF(Installs!$B$5:$B$159,$A110)=0),1,0)</f>
        <v>0</v>
      </c>
      <c r="O110" s="34" t="str">
        <f>IF($N110=1,SUM($N$3:$N110),"")</f>
        <v/>
      </c>
    </row>
    <row r="111" spans="1:15" ht="15" customHeight="1" x14ac:dyDescent="0.25">
      <c r="A111" s="30"/>
      <c r="B111" s="22"/>
      <c r="C111" s="22"/>
      <c r="D111" s="31"/>
      <c r="E111" s="30"/>
      <c r="F111" s="32"/>
      <c r="G111" s="22"/>
      <c r="H111" s="22"/>
      <c r="I111" s="31"/>
      <c r="J111" s="33"/>
      <c r="K111" s="22"/>
      <c r="L111" s="22"/>
      <c r="M111" s="30"/>
      <c r="N111" s="34">
        <f>IF(AND($L111="✔",$A111&lt;&gt;"",COUNTIF(Installs!$B$5:$B$159,$A111)=0),1,0)</f>
        <v>0</v>
      </c>
      <c r="O111" s="34" t="str">
        <f>IF($N111=1,SUM($N$3:$N111),"")</f>
        <v/>
      </c>
    </row>
    <row r="112" spans="1:15" ht="15" customHeight="1" x14ac:dyDescent="0.25">
      <c r="A112" s="30"/>
      <c r="B112" s="22"/>
      <c r="C112" s="22"/>
      <c r="D112" s="31"/>
      <c r="E112" s="30"/>
      <c r="F112" s="32"/>
      <c r="G112" s="22"/>
      <c r="H112" s="22"/>
      <c r="I112" s="31"/>
      <c r="J112" s="33"/>
      <c r="K112" s="22"/>
      <c r="L112" s="22"/>
      <c r="M112" s="30"/>
      <c r="N112" s="34">
        <f>IF(AND($L112="✔",$A112&lt;&gt;"",COUNTIF(Installs!$B$5:$B$159,$A112)=0),1,0)</f>
        <v>0</v>
      </c>
      <c r="O112" s="34" t="str">
        <f>IF($N112=1,SUM($N$3:$N112),"")</f>
        <v/>
      </c>
    </row>
    <row r="113" spans="1:15" ht="15" customHeight="1" x14ac:dyDescent="0.25">
      <c r="A113" s="30"/>
      <c r="B113" s="22"/>
      <c r="C113" s="22"/>
      <c r="D113" s="31"/>
      <c r="E113" s="30"/>
      <c r="F113" s="32"/>
      <c r="G113" s="22"/>
      <c r="H113" s="22"/>
      <c r="I113" s="31"/>
      <c r="J113" s="33"/>
      <c r="K113" s="22"/>
      <c r="L113" s="22"/>
      <c r="M113" s="30"/>
      <c r="N113" s="34">
        <f>IF(AND($L113="✔",$A113&lt;&gt;"",COUNTIF(Installs!$B$5:$B$159,$A113)=0),1,0)</f>
        <v>0</v>
      </c>
      <c r="O113" s="34" t="str">
        <f>IF($N113=1,SUM($N$3:$N113),"")</f>
        <v/>
      </c>
    </row>
    <row r="114" spans="1:15" ht="15" customHeight="1" x14ac:dyDescent="0.25">
      <c r="A114" s="30"/>
      <c r="B114" s="22"/>
      <c r="C114" s="22"/>
      <c r="D114" s="31"/>
      <c r="E114" s="30"/>
      <c r="F114" s="32"/>
      <c r="G114" s="22"/>
      <c r="H114" s="22"/>
      <c r="I114" s="31"/>
      <c r="J114" s="33"/>
      <c r="K114" s="22"/>
      <c r="L114" s="22"/>
      <c r="M114" s="30"/>
      <c r="N114" s="34">
        <f>IF(AND($L114="✔",$A114&lt;&gt;"",COUNTIF(Installs!$B$5:$B$159,$A114)=0),1,0)</f>
        <v>0</v>
      </c>
      <c r="O114" s="34" t="str">
        <f>IF($N114=1,SUM($N$3:$N114),"")</f>
        <v/>
      </c>
    </row>
    <row r="115" spans="1:15" ht="15" customHeight="1" x14ac:dyDescent="0.25">
      <c r="A115" s="30"/>
      <c r="B115" s="22"/>
      <c r="C115" s="22"/>
      <c r="D115" s="31"/>
      <c r="E115" s="30"/>
      <c r="F115" s="32"/>
      <c r="G115" s="22"/>
      <c r="H115" s="22"/>
      <c r="I115" s="31"/>
      <c r="J115" s="33"/>
      <c r="K115" s="22"/>
      <c r="L115" s="22"/>
      <c r="M115" s="30"/>
      <c r="N115" s="34">
        <f>IF(AND($L115="✔",$A115&lt;&gt;"",COUNTIF(Installs!$B$5:$B$159,$A115)=0),1,0)</f>
        <v>0</v>
      </c>
      <c r="O115" s="34" t="str">
        <f>IF($N115=1,SUM($N$3:$N115),"")</f>
        <v/>
      </c>
    </row>
    <row r="116" spans="1:15" ht="15" customHeight="1" x14ac:dyDescent="0.25">
      <c r="A116" s="30"/>
      <c r="B116" s="22"/>
      <c r="C116" s="22"/>
      <c r="D116" s="31"/>
      <c r="E116" s="30"/>
      <c r="F116" s="32"/>
      <c r="G116" s="22"/>
      <c r="H116" s="22"/>
      <c r="I116" s="31"/>
      <c r="J116" s="33"/>
      <c r="K116" s="22"/>
      <c r="L116" s="22"/>
      <c r="M116" s="30"/>
      <c r="N116" s="34">
        <f>IF(AND($L116="✔",$A116&lt;&gt;"",COUNTIF(Installs!$B$5:$B$159,$A116)=0),1,0)</f>
        <v>0</v>
      </c>
      <c r="O116" s="34" t="str">
        <f>IF($N116=1,SUM($N$3:$N116),"")</f>
        <v/>
      </c>
    </row>
    <row r="117" spans="1:15" ht="15" customHeight="1" x14ac:dyDescent="0.25">
      <c r="A117" s="30"/>
      <c r="B117" s="22"/>
      <c r="C117" s="22"/>
      <c r="D117" s="31"/>
      <c r="E117" s="30"/>
      <c r="F117" s="32"/>
      <c r="G117" s="22"/>
      <c r="H117" s="22"/>
      <c r="I117" s="31"/>
      <c r="J117" s="33"/>
      <c r="K117" s="22"/>
      <c r="L117" s="22"/>
      <c r="M117" s="30"/>
      <c r="N117" s="34">
        <f>IF(AND($L117="✔",$A117&lt;&gt;"",COUNTIF(Installs!$B$5:$B$159,$A117)=0),1,0)</f>
        <v>0</v>
      </c>
      <c r="O117" s="34" t="str">
        <f>IF($N117=1,SUM($N$3:$N117),"")</f>
        <v/>
      </c>
    </row>
    <row r="118" spans="1:15" ht="15" customHeight="1" x14ac:dyDescent="0.25">
      <c r="A118" s="30"/>
      <c r="B118" s="22"/>
      <c r="C118" s="22"/>
      <c r="D118" s="31"/>
      <c r="E118" s="30"/>
      <c r="F118" s="32"/>
      <c r="G118" s="22"/>
      <c r="H118" s="22"/>
      <c r="I118" s="31"/>
      <c r="J118" s="33"/>
      <c r="K118" s="22"/>
      <c r="L118" s="22"/>
      <c r="M118" s="30"/>
      <c r="N118" s="34">
        <f>IF(AND($L118="✔",$A118&lt;&gt;"",COUNTIF(Installs!$B$5:$B$159,$A118)=0),1,0)</f>
        <v>0</v>
      </c>
      <c r="O118" s="34" t="str">
        <f>IF($N118=1,SUM($N$3:$N118),"")</f>
        <v/>
      </c>
    </row>
    <row r="119" spans="1:15" ht="15" customHeight="1" x14ac:dyDescent="0.25">
      <c r="A119" s="30"/>
      <c r="B119" s="22"/>
      <c r="C119" s="22"/>
      <c r="D119" s="31"/>
      <c r="E119" s="30"/>
      <c r="F119" s="32"/>
      <c r="G119" s="22"/>
      <c r="H119" s="22"/>
      <c r="I119" s="31"/>
      <c r="J119" s="33"/>
      <c r="K119" s="22"/>
      <c r="L119" s="22"/>
      <c r="M119" s="30"/>
      <c r="N119" s="34">
        <f>IF(AND($L119="✔",$A119&lt;&gt;"",COUNTIF(Installs!$B$5:$B$159,$A119)=0),1,0)</f>
        <v>0</v>
      </c>
      <c r="O119" s="34" t="str">
        <f>IF($N119=1,SUM($N$3:$N119),"")</f>
        <v/>
      </c>
    </row>
    <row r="120" spans="1:15" ht="15" customHeight="1" x14ac:dyDescent="0.25">
      <c r="A120" s="30"/>
      <c r="B120" s="22"/>
      <c r="C120" s="22"/>
      <c r="D120" s="31"/>
      <c r="E120" s="30"/>
      <c r="F120" s="32"/>
      <c r="G120" s="22"/>
      <c r="H120" s="22"/>
      <c r="I120" s="31"/>
      <c r="J120" s="33"/>
      <c r="K120" s="22"/>
      <c r="L120" s="22"/>
      <c r="M120" s="30"/>
      <c r="N120" s="34">
        <f>IF(AND($L120="✔",$A120&lt;&gt;"",COUNTIF(Installs!$B$5:$B$159,$A120)=0),1,0)</f>
        <v>0</v>
      </c>
      <c r="O120" s="34" t="str">
        <f>IF($N120=1,SUM($N$3:$N120),"")</f>
        <v/>
      </c>
    </row>
    <row r="121" spans="1:15" ht="15" customHeight="1" x14ac:dyDescent="0.25">
      <c r="A121" s="30"/>
      <c r="B121" s="22"/>
      <c r="C121" s="22"/>
      <c r="D121" s="31"/>
      <c r="E121" s="30"/>
      <c r="F121" s="32"/>
      <c r="G121" s="22"/>
      <c r="H121" s="22"/>
      <c r="I121" s="31"/>
      <c r="J121" s="33"/>
      <c r="K121" s="22"/>
      <c r="L121" s="22"/>
      <c r="M121" s="30"/>
      <c r="N121" s="34">
        <f>IF(AND($L121="✔",$A121&lt;&gt;"",COUNTIF(Installs!$B$5:$B$159,$A121)=0),1,0)</f>
        <v>0</v>
      </c>
      <c r="O121" s="34" t="str">
        <f>IF($N121=1,SUM($N$3:$N121),"")</f>
        <v/>
      </c>
    </row>
    <row r="122" spans="1:15" ht="15" customHeight="1" x14ac:dyDescent="0.25">
      <c r="A122" s="30"/>
      <c r="B122" s="22"/>
      <c r="C122" s="22"/>
      <c r="D122" s="31"/>
      <c r="E122" s="30"/>
      <c r="F122" s="32"/>
      <c r="G122" s="22"/>
      <c r="H122" s="22"/>
      <c r="I122" s="31"/>
      <c r="J122" s="33"/>
      <c r="K122" s="22"/>
      <c r="L122" s="22"/>
      <c r="M122" s="30"/>
      <c r="N122" s="34">
        <f>IF(AND($L122="✔",$A122&lt;&gt;"",COUNTIF(Installs!$B$5:$B$159,$A122)=0),1,0)</f>
        <v>0</v>
      </c>
      <c r="O122" s="34" t="str">
        <f>IF($N122=1,SUM($N$3:$N122),"")</f>
        <v/>
      </c>
    </row>
    <row r="123" spans="1:15" ht="15" customHeight="1" x14ac:dyDescent="0.25">
      <c r="A123" s="30"/>
      <c r="B123" s="22"/>
      <c r="C123" s="22"/>
      <c r="D123" s="31"/>
      <c r="E123" s="30"/>
      <c r="F123" s="32"/>
      <c r="G123" s="22"/>
      <c r="H123" s="22"/>
      <c r="I123" s="31"/>
      <c r="J123" s="33"/>
      <c r="K123" s="22"/>
      <c r="L123" s="22"/>
      <c r="M123" s="30"/>
      <c r="N123" s="34">
        <f>IF(AND($L123="✔",$A123&lt;&gt;"",COUNTIF(Installs!$B$5:$B$159,$A123)=0),1,0)</f>
        <v>0</v>
      </c>
      <c r="O123" s="34" t="str">
        <f>IF($N123=1,SUM($N$3:$N123),"")</f>
        <v/>
      </c>
    </row>
    <row r="124" spans="1:15" ht="15" customHeight="1" x14ac:dyDescent="0.25">
      <c r="A124" s="30"/>
      <c r="B124" s="22"/>
      <c r="C124" s="22"/>
      <c r="D124" s="31"/>
      <c r="E124" s="30"/>
      <c r="F124" s="32"/>
      <c r="G124" s="22"/>
      <c r="H124" s="22"/>
      <c r="I124" s="31"/>
      <c r="J124" s="33"/>
      <c r="K124" s="22"/>
      <c r="L124" s="22"/>
      <c r="M124" s="30"/>
      <c r="N124" s="34">
        <f>IF(AND($L124="✔",$A124&lt;&gt;"",COUNTIF(Installs!$B$5:$B$159,$A124)=0),1,0)</f>
        <v>0</v>
      </c>
      <c r="O124" s="34" t="str">
        <f>IF($N124=1,SUM($N$3:$N124),"")</f>
        <v/>
      </c>
    </row>
    <row r="125" spans="1:15" ht="15" customHeight="1" x14ac:dyDescent="0.25">
      <c r="A125" s="30"/>
      <c r="B125" s="22"/>
      <c r="C125" s="22"/>
      <c r="D125" s="31"/>
      <c r="E125" s="30"/>
      <c r="F125" s="32"/>
      <c r="G125" s="22"/>
      <c r="H125" s="22"/>
      <c r="I125" s="31"/>
      <c r="J125" s="33"/>
      <c r="K125" s="22"/>
      <c r="L125" s="22"/>
      <c r="M125" s="30"/>
      <c r="N125" s="34">
        <f>IF(AND($L125="✔",$A125&lt;&gt;"",COUNTIF(Installs!$B$5:$B$159,$A125)=0),1,0)</f>
        <v>0</v>
      </c>
      <c r="O125" s="34" t="str">
        <f>IF($N125=1,SUM($N$3:$N125),"")</f>
        <v/>
      </c>
    </row>
    <row r="126" spans="1:15" ht="15" customHeight="1" x14ac:dyDescent="0.25">
      <c r="A126" s="30"/>
      <c r="B126" s="22"/>
      <c r="C126" s="22"/>
      <c r="D126" s="31"/>
      <c r="E126" s="30"/>
      <c r="F126" s="32"/>
      <c r="G126" s="22"/>
      <c r="H126" s="22"/>
      <c r="I126" s="31"/>
      <c r="J126" s="33"/>
      <c r="K126" s="22"/>
      <c r="L126" s="22"/>
      <c r="M126" s="30"/>
      <c r="N126" s="34">
        <f>IF(AND($L126="✔",$A126&lt;&gt;"",COUNTIF(Installs!$B$5:$B$159,$A126)=0),1,0)</f>
        <v>0</v>
      </c>
      <c r="O126" s="34" t="str">
        <f>IF($N126=1,SUM($N$3:$N126),"")</f>
        <v/>
      </c>
    </row>
    <row r="127" spans="1:15" ht="15" customHeight="1" x14ac:dyDescent="0.25">
      <c r="A127" s="30"/>
      <c r="B127" s="22"/>
      <c r="C127" s="22"/>
      <c r="D127" s="31"/>
      <c r="E127" s="30"/>
      <c r="F127" s="32"/>
      <c r="G127" s="22"/>
      <c r="H127" s="22"/>
      <c r="I127" s="31"/>
      <c r="J127" s="33"/>
      <c r="K127" s="22"/>
      <c r="L127" s="22"/>
      <c r="M127" s="30"/>
      <c r="N127" s="34">
        <f>IF(AND($L127="✔",$A127&lt;&gt;"",COUNTIF(Installs!$B$5:$B$159,$A127)=0),1,0)</f>
        <v>0</v>
      </c>
      <c r="O127" s="34" t="str">
        <f>IF($N127=1,SUM($N$3:$N127),"")</f>
        <v/>
      </c>
    </row>
    <row r="128" spans="1:15" ht="15" customHeight="1" x14ac:dyDescent="0.25">
      <c r="A128" s="30"/>
      <c r="B128" s="22"/>
      <c r="C128" s="22"/>
      <c r="D128" s="31"/>
      <c r="E128" s="30"/>
      <c r="F128" s="32"/>
      <c r="G128" s="22"/>
      <c r="H128" s="22"/>
      <c r="I128" s="31"/>
      <c r="J128" s="33"/>
      <c r="K128" s="22"/>
      <c r="L128" s="22"/>
      <c r="M128" s="30"/>
      <c r="N128" s="34">
        <f>IF(AND($L128="✔",$A128&lt;&gt;"",COUNTIF(Installs!$B$5:$B$159,$A128)=0),1,0)</f>
        <v>0</v>
      </c>
      <c r="O128" s="34" t="str">
        <f>IF($N128=1,SUM($N$3:$N128),"")</f>
        <v/>
      </c>
    </row>
    <row r="129" spans="1:15" ht="15" customHeight="1" x14ac:dyDescent="0.25">
      <c r="A129" s="30"/>
      <c r="B129" s="22"/>
      <c r="C129" s="22"/>
      <c r="D129" s="31"/>
      <c r="E129" s="30"/>
      <c r="F129" s="32"/>
      <c r="G129" s="22"/>
      <c r="H129" s="22"/>
      <c r="I129" s="31"/>
      <c r="J129" s="33"/>
      <c r="K129" s="22"/>
      <c r="L129" s="22"/>
      <c r="M129" s="30"/>
      <c r="N129" s="34">
        <f>IF(AND($L129="✔",$A129&lt;&gt;"",COUNTIF(Installs!$B$5:$B$159,$A129)=0),1,0)</f>
        <v>0</v>
      </c>
      <c r="O129" s="34" t="str">
        <f>IF($N129=1,SUM($N$3:$N129),"")</f>
        <v/>
      </c>
    </row>
    <row r="130" spans="1:15" ht="15" customHeight="1" x14ac:dyDescent="0.25">
      <c r="A130" s="30"/>
      <c r="B130" s="22"/>
      <c r="C130" s="22"/>
      <c r="D130" s="31"/>
      <c r="E130" s="30"/>
      <c r="F130" s="32"/>
      <c r="G130" s="22"/>
      <c r="H130" s="22"/>
      <c r="I130" s="31"/>
      <c r="J130" s="33"/>
      <c r="K130" s="22"/>
      <c r="L130" s="22"/>
      <c r="M130" s="30"/>
      <c r="N130" s="34">
        <f>IF(AND($L130="✔",$A130&lt;&gt;"",COUNTIF(Installs!$B$5:$B$159,$A130)=0),1,0)</f>
        <v>0</v>
      </c>
      <c r="O130" s="34" t="str">
        <f>IF($N130=1,SUM($N$3:$N130),"")</f>
        <v/>
      </c>
    </row>
    <row r="131" spans="1:15" ht="15" customHeight="1" x14ac:dyDescent="0.25">
      <c r="A131" s="30"/>
      <c r="B131" s="22"/>
      <c r="C131" s="22"/>
      <c r="D131" s="31"/>
      <c r="E131" s="30"/>
      <c r="F131" s="32"/>
      <c r="G131" s="22"/>
      <c r="H131" s="22"/>
      <c r="I131" s="31"/>
      <c r="J131" s="33"/>
      <c r="K131" s="22"/>
      <c r="L131" s="22"/>
      <c r="M131" s="30"/>
      <c r="N131" s="34">
        <f>IF(AND($L131="✔",$A131&lt;&gt;"",COUNTIF(Installs!$B$5:$B$159,$A131)=0),1,0)</f>
        <v>0</v>
      </c>
      <c r="O131" s="34" t="str">
        <f>IF($N131=1,SUM($N$3:$N131),"")</f>
        <v/>
      </c>
    </row>
    <row r="132" spans="1:15" ht="15" customHeight="1" x14ac:dyDescent="0.25">
      <c r="A132" s="30"/>
      <c r="B132" s="22"/>
      <c r="C132" s="22"/>
      <c r="D132" s="31"/>
      <c r="E132" s="30"/>
      <c r="F132" s="32"/>
      <c r="G132" s="22"/>
      <c r="H132" s="22"/>
      <c r="I132" s="31"/>
      <c r="J132" s="33"/>
      <c r="K132" s="22"/>
      <c r="L132" s="22"/>
      <c r="M132" s="30"/>
      <c r="N132" s="34">
        <f>IF(AND($L132="✔",$A132&lt;&gt;"",COUNTIF(Installs!$B$5:$B$159,$A132)=0),1,0)</f>
        <v>0</v>
      </c>
      <c r="O132" s="34" t="str">
        <f>IF($N132=1,SUM($N$3:$N132),"")</f>
        <v/>
      </c>
    </row>
    <row r="133" spans="1:15" ht="15" customHeight="1" x14ac:dyDescent="0.25">
      <c r="A133" s="30"/>
      <c r="B133" s="22"/>
      <c r="C133" s="22"/>
      <c r="D133" s="31"/>
      <c r="E133" s="30"/>
      <c r="F133" s="32"/>
      <c r="G133" s="22"/>
      <c r="H133" s="22"/>
      <c r="I133" s="31"/>
      <c r="J133" s="33"/>
      <c r="K133" s="22"/>
      <c r="L133" s="22"/>
      <c r="M133" s="30"/>
      <c r="N133" s="34">
        <f>IF(AND($L133="✔",$A133&lt;&gt;"",COUNTIF(Installs!$B$5:$B$159,$A133)=0),1,0)</f>
        <v>0</v>
      </c>
      <c r="O133" s="34" t="str">
        <f>IF($N133=1,SUM($N$3:$N133),"")</f>
        <v/>
      </c>
    </row>
    <row r="134" spans="1:15" ht="15" customHeight="1" x14ac:dyDescent="0.25">
      <c r="A134" s="30"/>
      <c r="B134" s="22"/>
      <c r="C134" s="22"/>
      <c r="D134" s="31"/>
      <c r="E134" s="30"/>
      <c r="F134" s="32"/>
      <c r="G134" s="22"/>
      <c r="H134" s="22"/>
      <c r="I134" s="31"/>
      <c r="J134" s="33"/>
      <c r="K134" s="22"/>
      <c r="L134" s="22"/>
      <c r="M134" s="30"/>
      <c r="N134" s="34">
        <f>IF(AND($L134="✔",$A134&lt;&gt;"",COUNTIF(Installs!$B$5:$B$159,$A134)=0),1,0)</f>
        <v>0</v>
      </c>
      <c r="O134" s="34" t="str">
        <f>IF($N134=1,SUM($N$3:$N134),"")</f>
        <v/>
      </c>
    </row>
    <row r="135" spans="1:15" ht="15" customHeight="1" x14ac:dyDescent="0.25">
      <c r="A135" s="30"/>
      <c r="B135" s="22"/>
      <c r="C135" s="22"/>
      <c r="D135" s="31"/>
      <c r="E135" s="30"/>
      <c r="F135" s="32"/>
      <c r="G135" s="22"/>
      <c r="H135" s="22"/>
      <c r="I135" s="31"/>
      <c r="J135" s="33"/>
      <c r="K135" s="22"/>
      <c r="L135" s="22"/>
      <c r="M135" s="30"/>
      <c r="N135" s="34">
        <f>IF(AND($L135="✔",$A135&lt;&gt;"",COUNTIF(Installs!$B$5:$B$159,$A135)=0),1,0)</f>
        <v>0</v>
      </c>
      <c r="O135" s="34" t="str">
        <f>IF($N135=1,SUM($N$3:$N135),"")</f>
        <v/>
      </c>
    </row>
    <row r="136" spans="1:15" ht="15" customHeight="1" x14ac:dyDescent="0.25">
      <c r="A136" s="30"/>
      <c r="B136" s="22"/>
      <c r="C136" s="22"/>
      <c r="D136" s="31"/>
      <c r="E136" s="30"/>
      <c r="F136" s="32"/>
      <c r="G136" s="22"/>
      <c r="H136" s="22"/>
      <c r="I136" s="31"/>
      <c r="J136" s="33"/>
      <c r="K136" s="22"/>
      <c r="L136" s="22"/>
      <c r="M136" s="30"/>
      <c r="N136" s="34">
        <f>IF(AND($L136="✔",$A136&lt;&gt;"",COUNTIF(Installs!$B$5:$B$159,$A136)=0),1,0)</f>
        <v>0</v>
      </c>
      <c r="O136" s="34" t="str">
        <f>IF($N136=1,SUM($N$3:$N136),"")</f>
        <v/>
      </c>
    </row>
    <row r="137" spans="1:15" ht="15" customHeight="1" x14ac:dyDescent="0.25">
      <c r="A137" s="30"/>
      <c r="B137" s="22"/>
      <c r="C137" s="22"/>
      <c r="D137" s="31"/>
      <c r="E137" s="30"/>
      <c r="F137" s="32"/>
      <c r="G137" s="22"/>
      <c r="H137" s="22"/>
      <c r="I137" s="31"/>
      <c r="J137" s="33"/>
      <c r="K137" s="22"/>
      <c r="L137" s="22"/>
      <c r="M137" s="30"/>
      <c r="N137" s="34">
        <f>IF(AND($L137="✔",$A137&lt;&gt;"",COUNTIF(Installs!$B$5:$B$159,$A137)=0),1,0)</f>
        <v>0</v>
      </c>
      <c r="O137" s="34" t="str">
        <f>IF($N137=1,SUM($N$3:$N137),"")</f>
        <v/>
      </c>
    </row>
    <row r="138" spans="1:15" ht="15" customHeight="1" x14ac:dyDescent="0.25">
      <c r="A138" s="30"/>
      <c r="B138" s="22"/>
      <c r="C138" s="22"/>
      <c r="D138" s="31"/>
      <c r="E138" s="30"/>
      <c r="F138" s="32"/>
      <c r="G138" s="22"/>
      <c r="H138" s="22"/>
      <c r="I138" s="31"/>
      <c r="J138" s="33"/>
      <c r="K138" s="22"/>
      <c r="L138" s="22"/>
      <c r="M138" s="30"/>
      <c r="N138" s="34">
        <f>IF(AND($L138="✔",$A138&lt;&gt;"",COUNTIF(Installs!$B$5:$B$159,$A138)=0),1,0)</f>
        <v>0</v>
      </c>
      <c r="O138" s="34" t="str">
        <f>IF($N138=1,SUM($N$3:$N138),"")</f>
        <v/>
      </c>
    </row>
    <row r="139" spans="1:15" ht="15" customHeight="1" x14ac:dyDescent="0.25">
      <c r="A139" s="30"/>
      <c r="B139" s="22"/>
      <c r="C139" s="22"/>
      <c r="D139" s="31"/>
      <c r="E139" s="30"/>
      <c r="F139" s="32"/>
      <c r="G139" s="22"/>
      <c r="H139" s="22"/>
      <c r="I139" s="31"/>
      <c r="J139" s="33"/>
      <c r="K139" s="22"/>
      <c r="L139" s="22"/>
      <c r="M139" s="30"/>
      <c r="N139" s="34">
        <f>IF(AND($L139="✔",$A139&lt;&gt;"",COUNTIF(Installs!$B$5:$B$159,$A139)=0),1,0)</f>
        <v>0</v>
      </c>
      <c r="O139" s="34" t="str">
        <f>IF($N139=1,SUM($N$3:$N139),"")</f>
        <v/>
      </c>
    </row>
    <row r="140" spans="1:15" ht="15" customHeight="1" x14ac:dyDescent="0.25">
      <c r="A140" s="30"/>
      <c r="B140" s="22"/>
      <c r="C140" s="22"/>
      <c r="D140" s="31"/>
      <c r="E140" s="30"/>
      <c r="F140" s="32"/>
      <c r="G140" s="22"/>
      <c r="H140" s="22"/>
      <c r="I140" s="31"/>
      <c r="J140" s="33"/>
      <c r="K140" s="22"/>
      <c r="L140" s="22"/>
      <c r="M140" s="30"/>
      <c r="N140" s="34">
        <f>IF(AND($L140="✔",$A140&lt;&gt;"",COUNTIF(Installs!$B$5:$B$159,$A140)=0),1,0)</f>
        <v>0</v>
      </c>
      <c r="O140" s="34" t="str">
        <f>IF($N140=1,SUM($N$3:$N140),"")</f>
        <v/>
      </c>
    </row>
    <row r="141" spans="1:15" ht="15" customHeight="1" x14ac:dyDescent="0.25">
      <c r="A141" s="30"/>
      <c r="B141" s="22"/>
      <c r="C141" s="22"/>
      <c r="D141" s="31"/>
      <c r="E141" s="30"/>
      <c r="F141" s="32"/>
      <c r="G141" s="22"/>
      <c r="H141" s="22"/>
      <c r="I141" s="31"/>
      <c r="J141" s="33"/>
      <c r="K141" s="22"/>
      <c r="L141" s="22"/>
      <c r="M141" s="30"/>
      <c r="N141" s="34">
        <f>IF(AND($L141="✔",$A141&lt;&gt;"",COUNTIF(Installs!$B$5:$B$159,$A141)=0),1,0)</f>
        <v>0</v>
      </c>
      <c r="O141" s="34" t="str">
        <f>IF($N141=1,SUM($N$3:$N141),"")</f>
        <v/>
      </c>
    </row>
    <row r="142" spans="1:15" ht="15" customHeight="1" x14ac:dyDescent="0.25">
      <c r="A142" s="30"/>
      <c r="B142" s="22"/>
      <c r="C142" s="22"/>
      <c r="D142" s="31"/>
      <c r="E142" s="30"/>
      <c r="F142" s="32"/>
      <c r="G142" s="22"/>
      <c r="H142" s="22"/>
      <c r="I142" s="31"/>
      <c r="J142" s="33"/>
      <c r="K142" s="22"/>
      <c r="L142" s="22"/>
      <c r="M142" s="30"/>
      <c r="N142" s="34">
        <f>IF(AND($L142="✔",$A142&lt;&gt;"",COUNTIF(Installs!$B$5:$B$159,$A142)=0),1,0)</f>
        <v>0</v>
      </c>
      <c r="O142" s="34" t="str">
        <f>IF($N142=1,SUM($N$3:$N142),"")</f>
        <v/>
      </c>
    </row>
    <row r="143" spans="1:15" ht="15" customHeight="1" x14ac:dyDescent="0.25">
      <c r="A143" s="30"/>
      <c r="B143" s="22"/>
      <c r="C143" s="22"/>
      <c r="D143" s="31"/>
      <c r="E143" s="30"/>
      <c r="F143" s="32"/>
      <c r="G143" s="22"/>
      <c r="H143" s="22"/>
      <c r="I143" s="31"/>
      <c r="J143" s="33"/>
      <c r="K143" s="22"/>
      <c r="L143" s="22"/>
      <c r="M143" s="30"/>
      <c r="N143" s="34">
        <f>IF(AND($L143="✔",$A143&lt;&gt;"",COUNTIF(Installs!$B$5:$B$159,$A143)=0),1,0)</f>
        <v>0</v>
      </c>
      <c r="O143" s="34" t="str">
        <f>IF($N143=1,SUM($N$3:$N143),"")</f>
        <v/>
      </c>
    </row>
    <row r="144" spans="1:15" ht="15" customHeight="1" x14ac:dyDescent="0.25">
      <c r="A144" s="30"/>
      <c r="B144" s="22"/>
      <c r="C144" s="22"/>
      <c r="D144" s="31"/>
      <c r="E144" s="30"/>
      <c r="F144" s="32"/>
      <c r="G144" s="22"/>
      <c r="H144" s="22"/>
      <c r="I144" s="31"/>
      <c r="J144" s="33"/>
      <c r="K144" s="22"/>
      <c r="L144" s="22"/>
      <c r="M144" s="30"/>
      <c r="N144" s="34">
        <f>IF(AND($L144="✔",$A144&lt;&gt;"",COUNTIF(Installs!$B$5:$B$159,$A144)=0),1,0)</f>
        <v>0</v>
      </c>
      <c r="O144" s="34" t="str">
        <f>IF($N144=1,SUM($N$3:$N144),"")</f>
        <v/>
      </c>
    </row>
    <row r="145" spans="1:15" ht="15" customHeight="1" x14ac:dyDescent="0.25">
      <c r="A145" s="30"/>
      <c r="B145" s="22"/>
      <c r="C145" s="22"/>
      <c r="D145" s="31"/>
      <c r="E145" s="30"/>
      <c r="F145" s="32"/>
      <c r="G145" s="22"/>
      <c r="H145" s="22"/>
      <c r="I145" s="31"/>
      <c r="J145" s="33"/>
      <c r="K145" s="22"/>
      <c r="L145" s="22"/>
      <c r="M145" s="30"/>
      <c r="N145" s="34">
        <f>IF(AND($L145="✔",$A145&lt;&gt;"",COUNTIF(Installs!$B$5:$B$159,$A145)=0),1,0)</f>
        <v>0</v>
      </c>
      <c r="O145" s="34" t="str">
        <f>IF($N145=1,SUM($N$3:$N145),"")</f>
        <v/>
      </c>
    </row>
    <row r="146" spans="1:15" ht="15" customHeight="1" x14ac:dyDescent="0.25">
      <c r="A146" s="30"/>
      <c r="B146" s="22"/>
      <c r="C146" s="22"/>
      <c r="D146" s="31"/>
      <c r="E146" s="30"/>
      <c r="F146" s="32"/>
      <c r="G146" s="22"/>
      <c r="H146" s="22"/>
      <c r="I146" s="31"/>
      <c r="J146" s="33"/>
      <c r="K146" s="22"/>
      <c r="L146" s="22"/>
      <c r="M146" s="30"/>
      <c r="N146" s="34">
        <f>IF(AND($L146="✔",$A146&lt;&gt;"",COUNTIF(Installs!$B$5:$B$159,$A146)=0),1,0)</f>
        <v>0</v>
      </c>
      <c r="O146" s="34" t="str">
        <f>IF($N146=1,SUM($N$3:$N146),"")</f>
        <v/>
      </c>
    </row>
    <row r="147" spans="1:15" ht="15" customHeight="1" x14ac:dyDescent="0.25">
      <c r="A147" s="30"/>
      <c r="B147" s="22"/>
      <c r="C147" s="22"/>
      <c r="D147" s="31"/>
      <c r="E147" s="30"/>
      <c r="F147" s="32"/>
      <c r="G147" s="22"/>
      <c r="H147" s="22"/>
      <c r="I147" s="31"/>
      <c r="J147" s="33"/>
      <c r="K147" s="22"/>
      <c r="L147" s="22"/>
      <c r="M147" s="30"/>
      <c r="N147" s="34">
        <f>IF(AND($L147="✔",$A147&lt;&gt;"",COUNTIF(Installs!$B$5:$B$159,$A147)=0),1,0)</f>
        <v>0</v>
      </c>
      <c r="O147" s="34" t="str">
        <f>IF($N147=1,SUM($N$3:$N147),"")</f>
        <v/>
      </c>
    </row>
    <row r="148" spans="1:15" ht="15" customHeight="1" x14ac:dyDescent="0.25">
      <c r="A148" s="30"/>
      <c r="B148" s="22"/>
      <c r="C148" s="22"/>
      <c r="D148" s="31"/>
      <c r="E148" s="30"/>
      <c r="F148" s="32"/>
      <c r="G148" s="22"/>
      <c r="H148" s="22"/>
      <c r="I148" s="31"/>
      <c r="J148" s="33"/>
      <c r="K148" s="22"/>
      <c r="L148" s="22"/>
      <c r="M148" s="30"/>
      <c r="N148" s="34">
        <f>IF(AND($L148="✔",$A148&lt;&gt;"",COUNTIF(Installs!$B$5:$B$159,$A148)=0),1,0)</f>
        <v>0</v>
      </c>
      <c r="O148" s="34" t="str">
        <f>IF($N148=1,SUM($N$3:$N148),"")</f>
        <v/>
      </c>
    </row>
    <row r="149" spans="1:15" ht="15" customHeight="1" x14ac:dyDescent="0.25">
      <c r="A149" s="30"/>
      <c r="B149" s="22"/>
      <c r="C149" s="22"/>
      <c r="D149" s="31"/>
      <c r="E149" s="30"/>
      <c r="F149" s="32"/>
      <c r="G149" s="22"/>
      <c r="H149" s="22"/>
      <c r="I149" s="31"/>
      <c r="J149" s="33"/>
      <c r="K149" s="22"/>
      <c r="L149" s="22"/>
      <c r="M149" s="30"/>
      <c r="N149" s="34">
        <f>IF(AND($L149="✔",$A149&lt;&gt;"",COUNTIF(Installs!$B$5:$B$159,$A149)=0),1,0)</f>
        <v>0</v>
      </c>
      <c r="O149" s="34" t="str">
        <f>IF($N149=1,SUM($N$3:$N149),"")</f>
        <v/>
      </c>
    </row>
    <row r="150" spans="1:15" ht="15" customHeight="1" x14ac:dyDescent="0.25">
      <c r="A150" s="30"/>
      <c r="B150" s="22"/>
      <c r="C150" s="22"/>
      <c r="D150" s="31"/>
      <c r="E150" s="30"/>
      <c r="F150" s="32"/>
      <c r="G150" s="22"/>
      <c r="H150" s="22"/>
      <c r="I150" s="31"/>
      <c r="J150" s="33"/>
      <c r="K150" s="22"/>
      <c r="L150" s="22"/>
      <c r="M150" s="30"/>
      <c r="N150" s="34">
        <f>IF(AND($L150="✔",$A150&lt;&gt;"",COUNTIF(Installs!$B$5:$B$159,$A150)=0),1,0)</f>
        <v>0</v>
      </c>
      <c r="O150" s="34" t="str">
        <f>IF($N150=1,SUM($N$3:$N150),"")</f>
        <v/>
      </c>
    </row>
    <row r="151" spans="1:15" ht="15" customHeight="1" x14ac:dyDescent="0.25">
      <c r="A151" s="30"/>
      <c r="B151" s="22"/>
      <c r="C151" s="22"/>
      <c r="D151" s="31"/>
      <c r="E151" s="30"/>
      <c r="F151" s="32"/>
      <c r="G151" s="22"/>
      <c r="H151" s="22"/>
      <c r="I151" s="31"/>
      <c r="J151" s="33"/>
      <c r="K151" s="22"/>
      <c r="L151" s="22"/>
      <c r="M151" s="30"/>
      <c r="N151" s="34">
        <f>IF(AND($L151="✔",$A151&lt;&gt;"",COUNTIF(Installs!$B$5:$B$159,$A151)=0),1,0)</f>
        <v>0</v>
      </c>
      <c r="O151" s="34" t="str">
        <f>IF($N151=1,SUM($N$3:$N151),"")</f>
        <v/>
      </c>
    </row>
    <row r="152" spans="1:15" ht="15" customHeight="1" x14ac:dyDescent="0.25">
      <c r="A152" s="30"/>
      <c r="B152" s="22"/>
      <c r="C152" s="22"/>
      <c r="D152" s="31"/>
      <c r="E152" s="30"/>
      <c r="F152" s="32"/>
      <c r="G152" s="22"/>
      <c r="H152" s="22"/>
      <c r="I152" s="31"/>
      <c r="J152" s="33"/>
      <c r="K152" s="22"/>
      <c r="L152" s="22"/>
      <c r="M152" s="30"/>
      <c r="N152" s="34">
        <f>IF(AND($L152="✔",$A152&lt;&gt;"",COUNTIF(Installs!$B$5:$B$159,$A152)=0),1,0)</f>
        <v>0</v>
      </c>
      <c r="O152" s="34" t="str">
        <f>IF($N152=1,SUM($N$3:$N152),"")</f>
        <v/>
      </c>
    </row>
    <row r="153" spans="1:15" ht="15" customHeight="1" x14ac:dyDescent="0.25">
      <c r="A153" s="30"/>
      <c r="B153" s="22"/>
      <c r="C153" s="22"/>
      <c r="D153" s="31"/>
      <c r="E153" s="30"/>
      <c r="F153" s="32"/>
      <c r="G153" s="22"/>
      <c r="H153" s="22"/>
      <c r="I153" s="31"/>
      <c r="J153" s="33"/>
      <c r="K153" s="22"/>
      <c r="L153" s="22"/>
      <c r="M153" s="30"/>
      <c r="N153" s="34">
        <f>IF(AND($L153="✔",$A153&lt;&gt;"",COUNTIF(Installs!$B$5:$B$159,$A153)=0),1,0)</f>
        <v>0</v>
      </c>
      <c r="O153" s="34" t="str">
        <f>IF($N153=1,SUM($N$3:$N153),"")</f>
        <v/>
      </c>
    </row>
    <row r="154" spans="1:15" ht="15" customHeight="1" x14ac:dyDescent="0.25">
      <c r="A154" s="30"/>
      <c r="B154" s="22"/>
      <c r="C154" s="22"/>
      <c r="D154" s="31"/>
      <c r="E154" s="30"/>
      <c r="F154" s="32"/>
      <c r="G154" s="22"/>
      <c r="H154" s="22"/>
      <c r="I154" s="31"/>
      <c r="J154" s="33"/>
      <c r="K154" s="22"/>
      <c r="L154" s="22"/>
      <c r="M154" s="30"/>
      <c r="N154" s="34">
        <f>IF(AND($L154="✔",$A154&lt;&gt;"",COUNTIF(Installs!$B$5:$B$159,$A154)=0),1,0)</f>
        <v>0</v>
      </c>
      <c r="O154" s="34" t="str">
        <f>IF($N154=1,SUM($N$3:$N154),"")</f>
        <v/>
      </c>
    </row>
    <row r="155" spans="1:15" ht="15" customHeight="1" x14ac:dyDescent="0.25">
      <c r="A155" s="30"/>
      <c r="B155" s="22"/>
      <c r="C155" s="22"/>
      <c r="D155" s="31"/>
      <c r="E155" s="30"/>
      <c r="F155" s="32"/>
      <c r="G155" s="22"/>
      <c r="H155" s="22"/>
      <c r="I155" s="31"/>
      <c r="J155" s="33"/>
      <c r="K155" s="22"/>
      <c r="L155" s="22"/>
      <c r="M155" s="30"/>
      <c r="N155" s="34">
        <f>IF(AND($L155="✔",$A155&lt;&gt;"",COUNTIF(Installs!$B$5:$B$159,$A155)=0),1,0)</f>
        <v>0</v>
      </c>
      <c r="O155" s="34" t="str">
        <f>IF($N155=1,SUM($N$3:$N155),"")</f>
        <v/>
      </c>
    </row>
    <row r="156" spans="1:15" ht="15" customHeight="1" x14ac:dyDescent="0.25">
      <c r="A156" s="30"/>
      <c r="B156" s="22"/>
      <c r="C156" s="22"/>
      <c r="D156" s="31"/>
      <c r="E156" s="30"/>
      <c r="F156" s="32"/>
      <c r="G156" s="22"/>
      <c r="H156" s="22"/>
      <c r="I156" s="31"/>
      <c r="J156" s="33"/>
      <c r="K156" s="22"/>
      <c r="L156" s="22"/>
      <c r="M156" s="30"/>
      <c r="N156" s="34">
        <f>IF(AND($L156="✔",$A156&lt;&gt;"",COUNTIF(Installs!$B$5:$B$159,$A156)=0),1,0)</f>
        <v>0</v>
      </c>
      <c r="O156" s="34" t="str">
        <f>IF($N156=1,SUM($N$3:$N156),"")</f>
        <v/>
      </c>
    </row>
    <row r="157" spans="1:15" ht="15" customHeight="1" x14ac:dyDescent="0.25">
      <c r="A157" s="30"/>
      <c r="B157" s="22"/>
      <c r="C157" s="22"/>
      <c r="D157" s="31"/>
      <c r="E157" s="30"/>
      <c r="F157" s="32"/>
      <c r="G157" s="22"/>
      <c r="H157" s="22"/>
      <c r="I157" s="31"/>
      <c r="J157" s="33"/>
      <c r="K157" s="22"/>
      <c r="L157" s="22"/>
      <c r="M157" s="30"/>
      <c r="N157" s="34">
        <f>IF(AND($L157="✔",$A157&lt;&gt;"",COUNTIF(Installs!$B$5:$B$159,$A157)=0),1,0)</f>
        <v>0</v>
      </c>
      <c r="O157" s="34" t="str">
        <f>IF($N157=1,SUM($N$3:$N157),"")</f>
        <v/>
      </c>
    </row>
    <row r="158" spans="1:15" ht="15" customHeight="1" x14ac:dyDescent="0.25">
      <c r="A158" s="30"/>
      <c r="B158" s="22"/>
      <c r="C158" s="22"/>
      <c r="D158" s="31"/>
      <c r="E158" s="30"/>
      <c r="F158" s="32"/>
      <c r="G158" s="22"/>
      <c r="H158" s="22"/>
      <c r="I158" s="31"/>
      <c r="J158" s="33"/>
      <c r="K158" s="22"/>
      <c r="L158" s="22"/>
      <c r="M158" s="30"/>
      <c r="N158" s="34">
        <f>IF(AND($L158="✔",$A158&lt;&gt;"",COUNTIF(Installs!$B$5:$B$159,$A158)=0),1,0)</f>
        <v>0</v>
      </c>
      <c r="O158" s="34" t="str">
        <f>IF($N158=1,SUM($N$3:$N158),"")</f>
        <v/>
      </c>
    </row>
    <row r="159" spans="1:15" ht="15" customHeight="1" x14ac:dyDescent="0.25">
      <c r="A159" s="30"/>
      <c r="B159" s="22"/>
      <c r="C159" s="22"/>
      <c r="D159" s="31"/>
      <c r="E159" s="30"/>
      <c r="F159" s="32"/>
      <c r="G159" s="22"/>
      <c r="H159" s="22"/>
      <c r="I159" s="31"/>
      <c r="J159" s="33"/>
      <c r="K159" s="22"/>
      <c r="L159" s="22"/>
      <c r="M159" s="30"/>
      <c r="N159" s="34">
        <f>IF(AND($L159="✔",$A159&lt;&gt;"",COUNTIF(Installs!$B$5:$B$159,$A159)=0),1,0)</f>
        <v>0</v>
      </c>
      <c r="O159" s="34" t="str">
        <f>IF($N159=1,SUM($N$3:$N159),"")</f>
        <v/>
      </c>
    </row>
    <row r="160" spans="1:15" ht="15" customHeight="1" x14ac:dyDescent="0.25">
      <c r="A160" s="30"/>
      <c r="B160" s="22"/>
      <c r="C160" s="22"/>
      <c r="D160" s="31"/>
      <c r="E160" s="30"/>
      <c r="F160" s="32"/>
      <c r="G160" s="22"/>
      <c r="H160" s="22"/>
      <c r="I160" s="31"/>
      <c r="J160" s="33"/>
      <c r="K160" s="22"/>
      <c r="L160" s="22"/>
      <c r="M160" s="30"/>
      <c r="N160" s="34">
        <f>IF(AND($L160="✔",$A160&lt;&gt;"",COUNTIF(Installs!$B$5:$B$159,$A160)=0),1,0)</f>
        <v>0</v>
      </c>
      <c r="O160" s="34" t="str">
        <f>IF($N160=1,SUM($N$3:$N160),"")</f>
        <v/>
      </c>
    </row>
    <row r="161" spans="1:15" ht="15" customHeight="1" x14ac:dyDescent="0.25">
      <c r="A161" s="30"/>
      <c r="B161" s="22"/>
      <c r="C161" s="22"/>
      <c r="D161" s="31"/>
      <c r="E161" s="30"/>
      <c r="F161" s="32"/>
      <c r="G161" s="22"/>
      <c r="H161" s="22"/>
      <c r="I161" s="31"/>
      <c r="J161" s="33"/>
      <c r="K161" s="22"/>
      <c r="L161" s="22"/>
      <c r="M161" s="30"/>
      <c r="N161" s="34">
        <f>IF(AND($L161="✔",$A161&lt;&gt;"",COUNTIF(Installs!$B$5:$B$159,$A161)=0),1,0)</f>
        <v>0</v>
      </c>
      <c r="O161" s="34" t="str">
        <f>IF($N161=1,SUM($N$3:$N161),"")</f>
        <v/>
      </c>
    </row>
    <row r="162" spans="1:15" ht="15" customHeight="1" x14ac:dyDescent="0.25">
      <c r="A162" s="30"/>
      <c r="B162" s="22"/>
      <c r="C162" s="22"/>
      <c r="D162" s="31"/>
      <c r="E162" s="30"/>
      <c r="F162" s="32"/>
      <c r="G162" s="22"/>
      <c r="H162" s="22"/>
      <c r="I162" s="31"/>
      <c r="J162" s="33"/>
      <c r="K162" s="22"/>
      <c r="L162" s="22"/>
      <c r="M162" s="30"/>
      <c r="N162" s="34">
        <f>IF(AND($L162="✔",$A162&lt;&gt;"",COUNTIF(Installs!$B$5:$B$159,$A162)=0),1,0)</f>
        <v>0</v>
      </c>
      <c r="O162" s="34" t="str">
        <f>IF($N162=1,SUM($N$3:$N162),"")</f>
        <v/>
      </c>
    </row>
    <row r="163" spans="1:15" ht="15" customHeight="1" x14ac:dyDescent="0.25">
      <c r="A163" s="30"/>
      <c r="B163" s="22"/>
      <c r="C163" s="22"/>
      <c r="D163" s="31"/>
      <c r="E163" s="30"/>
      <c r="F163" s="32"/>
      <c r="G163" s="22"/>
      <c r="H163" s="22"/>
      <c r="I163" s="31"/>
      <c r="J163" s="33"/>
      <c r="K163" s="22"/>
      <c r="L163" s="22"/>
      <c r="M163" s="30"/>
      <c r="N163" s="34">
        <f>IF(AND($L163="✔",$A163&lt;&gt;"",COUNTIF(Installs!$B$5:$B$159,$A163)=0),1,0)</f>
        <v>0</v>
      </c>
      <c r="O163" s="34" t="str">
        <f>IF($N163=1,SUM($N$3:$N163),"")</f>
        <v/>
      </c>
    </row>
    <row r="164" spans="1:15" ht="15" customHeight="1" x14ac:dyDescent="0.25">
      <c r="A164" s="30"/>
      <c r="B164" s="22"/>
      <c r="C164" s="22"/>
      <c r="D164" s="31"/>
      <c r="E164" s="30"/>
      <c r="F164" s="32"/>
      <c r="G164" s="22"/>
      <c r="H164" s="22"/>
      <c r="I164" s="31"/>
      <c r="J164" s="33"/>
      <c r="K164" s="22"/>
      <c r="L164" s="22"/>
      <c r="M164" s="30"/>
      <c r="N164" s="34">
        <f>IF(AND($L164="✔",$A164&lt;&gt;"",COUNTIF(Installs!$B$5:$B$159,$A164)=0),1,0)</f>
        <v>0</v>
      </c>
      <c r="O164" s="34" t="str">
        <f>IF($N164=1,SUM($N$3:$N164),"")</f>
        <v/>
      </c>
    </row>
    <row r="165" spans="1:15" ht="15" customHeight="1" x14ac:dyDescent="0.25">
      <c r="A165" s="30"/>
      <c r="B165" s="22"/>
      <c r="C165" s="22"/>
      <c r="D165" s="31"/>
      <c r="E165" s="30"/>
      <c r="F165" s="32"/>
      <c r="G165" s="22"/>
      <c r="H165" s="22"/>
      <c r="I165" s="31"/>
      <c r="J165" s="33"/>
      <c r="K165" s="22"/>
      <c r="L165" s="22"/>
      <c r="M165" s="30"/>
      <c r="N165" s="34">
        <f>IF(AND($L165="✔",$A165&lt;&gt;"",COUNTIF(Installs!$B$5:$B$159,$A165)=0),1,0)</f>
        <v>0</v>
      </c>
      <c r="O165" s="34" t="str">
        <f>IF($N165=1,SUM($N$3:$N165),"")</f>
        <v/>
      </c>
    </row>
    <row r="166" spans="1:15" ht="15" customHeight="1" x14ac:dyDescent="0.25">
      <c r="A166" s="30"/>
      <c r="B166" s="22"/>
      <c r="C166" s="22"/>
      <c r="D166" s="31"/>
      <c r="E166" s="30"/>
      <c r="F166" s="32"/>
      <c r="G166" s="22"/>
      <c r="H166" s="22"/>
      <c r="I166" s="31"/>
      <c r="J166" s="33"/>
      <c r="K166" s="22"/>
      <c r="L166" s="22"/>
      <c r="M166" s="30"/>
      <c r="N166" s="34">
        <f>IF(AND($L166="✔",$A166&lt;&gt;"",COUNTIF(Installs!$B$5:$B$159,$A166)=0),1,0)</f>
        <v>0</v>
      </c>
      <c r="O166" s="34" t="str">
        <f>IF($N166=1,SUM($N$3:$N166),"")</f>
        <v/>
      </c>
    </row>
    <row r="167" spans="1:15" ht="15" customHeight="1" x14ac:dyDescent="0.25">
      <c r="A167" s="30"/>
      <c r="B167" s="22"/>
      <c r="C167" s="22"/>
      <c r="D167" s="31"/>
      <c r="E167" s="30"/>
      <c r="F167" s="32"/>
      <c r="G167" s="22"/>
      <c r="H167" s="22"/>
      <c r="I167" s="31"/>
      <c r="J167" s="33"/>
      <c r="K167" s="22"/>
      <c r="L167" s="22"/>
      <c r="M167" s="30"/>
      <c r="N167" s="34">
        <f>IF(AND($L167="✔",$A167&lt;&gt;"",COUNTIF(Installs!$B$5:$B$159,$A167)=0),1,0)</f>
        <v>0</v>
      </c>
      <c r="O167" s="34" t="str">
        <f>IF($N167=1,SUM($N$3:$N167),"")</f>
        <v/>
      </c>
    </row>
    <row r="168" spans="1:15" ht="15" customHeight="1" x14ac:dyDescent="0.25">
      <c r="A168" s="30"/>
      <c r="B168" s="22"/>
      <c r="C168" s="22"/>
      <c r="D168" s="31"/>
      <c r="E168" s="30"/>
      <c r="F168" s="32"/>
      <c r="G168" s="22"/>
      <c r="H168" s="22"/>
      <c r="I168" s="31"/>
      <c r="J168" s="33"/>
      <c r="K168" s="22"/>
      <c r="L168" s="22"/>
      <c r="M168" s="30"/>
      <c r="N168" s="34">
        <f>IF(AND($L168="✔",$A168&lt;&gt;"",COUNTIF(Installs!$B$5:$B$159,$A168)=0),1,0)</f>
        <v>0</v>
      </c>
      <c r="O168" s="34" t="str">
        <f>IF($N168=1,SUM($N$3:$N168),"")</f>
        <v/>
      </c>
    </row>
    <row r="169" spans="1:15" ht="15" customHeight="1" x14ac:dyDescent="0.25">
      <c r="A169" s="30"/>
      <c r="B169" s="22"/>
      <c r="C169" s="22"/>
      <c r="D169" s="31"/>
      <c r="E169" s="30"/>
      <c r="F169" s="32"/>
      <c r="G169" s="22"/>
      <c r="H169" s="22"/>
      <c r="I169" s="31"/>
      <c r="J169" s="33"/>
      <c r="K169" s="22"/>
      <c r="L169" s="22"/>
      <c r="M169" s="30"/>
      <c r="N169" s="34">
        <f>IF(AND($L169="✔",$A169&lt;&gt;"",COUNTIF(Installs!$B$5:$B$159,$A169)=0),1,0)</f>
        <v>0</v>
      </c>
      <c r="O169" s="34" t="str">
        <f>IF($N169=1,SUM($N$3:$N169),"")</f>
        <v/>
      </c>
    </row>
    <row r="170" spans="1:15" ht="15" customHeight="1" x14ac:dyDescent="0.25">
      <c r="A170" s="30"/>
      <c r="B170" s="22"/>
      <c r="C170" s="22"/>
      <c r="D170" s="31"/>
      <c r="E170" s="30"/>
      <c r="F170" s="32"/>
      <c r="G170" s="22"/>
      <c r="H170" s="22"/>
      <c r="I170" s="31"/>
      <c r="J170" s="33"/>
      <c r="K170" s="22"/>
      <c r="L170" s="22"/>
      <c r="M170" s="30"/>
      <c r="N170" s="34">
        <f>IF(AND($L170="✔",$A170&lt;&gt;"",COUNTIF(Installs!$B$5:$B$159,$A170)=0),1,0)</f>
        <v>0</v>
      </c>
      <c r="O170" s="34" t="str">
        <f>IF($N170=1,SUM($N$3:$N170),"")</f>
        <v/>
      </c>
    </row>
    <row r="171" spans="1:15" ht="15" customHeight="1" x14ac:dyDescent="0.25">
      <c r="A171" s="30"/>
      <c r="B171" s="22"/>
      <c r="C171" s="22"/>
      <c r="D171" s="31"/>
      <c r="E171" s="30"/>
      <c r="F171" s="32"/>
      <c r="G171" s="22"/>
      <c r="H171" s="22"/>
      <c r="I171" s="31"/>
      <c r="J171" s="33"/>
      <c r="K171" s="22"/>
      <c r="L171" s="22"/>
      <c r="M171" s="30"/>
      <c r="N171" s="34">
        <f>IF(AND($L171="✔",$A171&lt;&gt;"",COUNTIF(Installs!$B$5:$B$159,$A171)=0),1,0)</f>
        <v>0</v>
      </c>
      <c r="O171" s="34" t="str">
        <f>IF($N171=1,SUM($N$3:$N171),"")</f>
        <v/>
      </c>
    </row>
    <row r="172" spans="1:15" ht="15" customHeight="1" x14ac:dyDescent="0.25">
      <c r="A172" s="30"/>
      <c r="B172" s="22"/>
      <c r="C172" s="22"/>
      <c r="D172" s="31"/>
      <c r="E172" s="30"/>
      <c r="F172" s="32"/>
      <c r="G172" s="22"/>
      <c r="H172" s="22"/>
      <c r="I172" s="31"/>
      <c r="J172" s="33"/>
      <c r="K172" s="22"/>
      <c r="L172" s="22"/>
      <c r="M172" s="30"/>
      <c r="N172" s="34">
        <f>IF(AND($L172="✔",$A172&lt;&gt;"",COUNTIF(Installs!$B$5:$B$159,$A172)=0),1,0)</f>
        <v>0</v>
      </c>
      <c r="O172" s="34" t="str">
        <f>IF($N172=1,SUM($N$3:$N172),"")</f>
        <v/>
      </c>
    </row>
    <row r="173" spans="1:15" ht="15" customHeight="1" x14ac:dyDescent="0.25">
      <c r="A173" s="30"/>
      <c r="B173" s="22"/>
      <c r="C173" s="22"/>
      <c r="D173" s="31"/>
      <c r="E173" s="30"/>
      <c r="F173" s="32"/>
      <c r="G173" s="22"/>
      <c r="H173" s="22"/>
      <c r="I173" s="31"/>
      <c r="J173" s="33"/>
      <c r="K173" s="22"/>
      <c r="L173" s="22"/>
      <c r="M173" s="30"/>
      <c r="N173" s="34">
        <f>IF(AND($L173="✔",$A173&lt;&gt;"",COUNTIF(Installs!$B$5:$B$159,$A173)=0),1,0)</f>
        <v>0</v>
      </c>
      <c r="O173" s="34" t="str">
        <f>IF($N173=1,SUM($N$3:$N173),"")</f>
        <v/>
      </c>
    </row>
    <row r="174" spans="1:15" ht="15" customHeight="1" x14ac:dyDescent="0.25">
      <c r="A174" s="30"/>
      <c r="B174" s="22"/>
      <c r="C174" s="22"/>
      <c r="D174" s="31"/>
      <c r="E174" s="30"/>
      <c r="F174" s="32"/>
      <c r="G174" s="22"/>
      <c r="H174" s="22"/>
      <c r="I174" s="31"/>
      <c r="J174" s="33"/>
      <c r="K174" s="22"/>
      <c r="L174" s="22"/>
      <c r="M174" s="30"/>
      <c r="N174" s="34">
        <f>IF(AND($L174="✔",$A174&lt;&gt;"",COUNTIF(Installs!$B$5:$B$159,$A174)=0),1,0)</f>
        <v>0</v>
      </c>
      <c r="O174" s="34" t="str">
        <f>IF($N174=1,SUM($N$3:$N174),"")</f>
        <v/>
      </c>
    </row>
    <row r="175" spans="1:15" ht="15" customHeight="1" x14ac:dyDescent="0.25">
      <c r="A175" s="30"/>
      <c r="B175" s="22"/>
      <c r="C175" s="22"/>
      <c r="D175" s="31"/>
      <c r="E175" s="30"/>
      <c r="F175" s="32"/>
      <c r="G175" s="22"/>
      <c r="H175" s="22"/>
      <c r="I175" s="31"/>
      <c r="J175" s="33"/>
      <c r="K175" s="22"/>
      <c r="L175" s="22"/>
      <c r="M175" s="30"/>
      <c r="N175" s="34">
        <f>IF(AND($L175="✔",$A175&lt;&gt;"",COUNTIF(Installs!$B$5:$B$159,$A175)=0),1,0)</f>
        <v>0</v>
      </c>
      <c r="O175" s="34" t="str">
        <f>IF($N175=1,SUM($N$3:$N175),"")</f>
        <v/>
      </c>
    </row>
    <row r="176" spans="1:15" ht="15" customHeight="1" x14ac:dyDescent="0.25">
      <c r="A176" s="30"/>
      <c r="B176" s="22"/>
      <c r="C176" s="22"/>
      <c r="D176" s="31"/>
      <c r="E176" s="30"/>
      <c r="F176" s="32"/>
      <c r="G176" s="22"/>
      <c r="H176" s="22"/>
      <c r="I176" s="31"/>
      <c r="J176" s="33"/>
      <c r="K176" s="22"/>
      <c r="L176" s="22"/>
      <c r="M176" s="30"/>
      <c r="N176" s="34">
        <f>IF(AND($L176="✔",$A176&lt;&gt;"",COUNTIF(Installs!$B$5:$B$159,$A176)=0),1,0)</f>
        <v>0</v>
      </c>
      <c r="O176" s="34" t="str">
        <f>IF($N176=1,SUM($N$3:$N176),"")</f>
        <v/>
      </c>
    </row>
    <row r="177" spans="1:15" ht="15" customHeight="1" x14ac:dyDescent="0.25">
      <c r="A177" s="30"/>
      <c r="B177" s="22"/>
      <c r="C177" s="22"/>
      <c r="D177" s="31"/>
      <c r="E177" s="30"/>
      <c r="F177" s="32"/>
      <c r="G177" s="22"/>
      <c r="H177" s="22"/>
      <c r="I177" s="31"/>
      <c r="J177" s="33"/>
      <c r="K177" s="22"/>
      <c r="L177" s="22"/>
      <c r="M177" s="30"/>
      <c r="N177" s="34">
        <f>IF(AND($L177="✔",$A177&lt;&gt;"",COUNTIF(Installs!$B$5:$B$159,$A177)=0),1,0)</f>
        <v>0</v>
      </c>
      <c r="O177" s="34" t="str">
        <f>IF($N177=1,SUM($N$3:$N177),"")</f>
        <v/>
      </c>
    </row>
    <row r="178" spans="1:15" ht="15" customHeight="1" x14ac:dyDescent="0.25">
      <c r="A178" s="30"/>
      <c r="B178" s="22"/>
      <c r="C178" s="22"/>
      <c r="D178" s="31"/>
      <c r="E178" s="30"/>
      <c r="F178" s="32"/>
      <c r="G178" s="22"/>
      <c r="H178" s="22"/>
      <c r="I178" s="31"/>
      <c r="J178" s="33"/>
      <c r="K178" s="22"/>
      <c r="L178" s="22"/>
      <c r="M178" s="30"/>
      <c r="N178" s="34">
        <f>IF(AND($L178="✔",$A178&lt;&gt;"",COUNTIF(Installs!$B$5:$B$159,$A178)=0),1,0)</f>
        <v>0</v>
      </c>
      <c r="O178" s="34" t="str">
        <f>IF($N178=1,SUM($N$3:$N178),"")</f>
        <v/>
      </c>
    </row>
    <row r="179" spans="1:15" ht="15" customHeight="1" x14ac:dyDescent="0.25">
      <c r="A179" s="30"/>
      <c r="B179" s="22"/>
      <c r="C179" s="22"/>
      <c r="D179" s="31"/>
      <c r="E179" s="30"/>
      <c r="F179" s="32"/>
      <c r="G179" s="22"/>
      <c r="H179" s="22"/>
      <c r="I179" s="31"/>
      <c r="J179" s="33"/>
      <c r="K179" s="22"/>
      <c r="L179" s="22"/>
      <c r="M179" s="30"/>
      <c r="N179" s="34">
        <f>IF(AND($L179="✔",$A179&lt;&gt;"",COUNTIF(Installs!$B$5:$B$159,$A179)=0),1,0)</f>
        <v>0</v>
      </c>
      <c r="O179" s="34" t="str">
        <f>IF($N179=1,SUM($N$3:$N179),"")</f>
        <v/>
      </c>
    </row>
    <row r="180" spans="1:15" ht="15" customHeight="1" x14ac:dyDescent="0.25">
      <c r="A180" s="30"/>
      <c r="B180" s="22"/>
      <c r="C180" s="22"/>
      <c r="D180" s="31"/>
      <c r="E180" s="30"/>
      <c r="F180" s="32"/>
      <c r="G180" s="22"/>
      <c r="H180" s="22"/>
      <c r="I180" s="31"/>
      <c r="J180" s="33"/>
      <c r="K180" s="22"/>
      <c r="L180" s="22"/>
      <c r="M180" s="30"/>
      <c r="N180" s="34">
        <f>IF(AND($L180="✔",$A180&lt;&gt;"",COUNTIF(Installs!$B$5:$B$159,$A180)=0),1,0)</f>
        <v>0</v>
      </c>
      <c r="O180" s="34" t="str">
        <f>IF($N180=1,SUM($N$3:$N180),"")</f>
        <v/>
      </c>
    </row>
    <row r="181" spans="1:15" ht="15" customHeight="1" x14ac:dyDescent="0.25">
      <c r="A181" s="30"/>
      <c r="B181" s="22"/>
      <c r="C181" s="22"/>
      <c r="D181" s="31"/>
      <c r="E181" s="30"/>
      <c r="F181" s="32"/>
      <c r="G181" s="22"/>
      <c r="H181" s="22"/>
      <c r="I181" s="31"/>
      <c r="J181" s="33"/>
      <c r="K181" s="22"/>
      <c r="L181" s="22"/>
      <c r="M181" s="30"/>
      <c r="N181" s="34">
        <f>IF(AND($L181="✔",$A181&lt;&gt;"",COUNTIF(Installs!$B$5:$B$159,$A181)=0),1,0)</f>
        <v>0</v>
      </c>
      <c r="O181" s="34" t="str">
        <f>IF($N181=1,SUM($N$3:$N181),"")</f>
        <v/>
      </c>
    </row>
    <row r="182" spans="1:15" ht="15" customHeight="1" x14ac:dyDescent="0.25">
      <c r="A182" s="30"/>
      <c r="B182" s="22"/>
      <c r="C182" s="22"/>
      <c r="D182" s="31"/>
      <c r="E182" s="30"/>
      <c r="F182" s="32"/>
      <c r="G182" s="22"/>
      <c r="H182" s="22"/>
      <c r="I182" s="31"/>
      <c r="J182" s="33"/>
      <c r="K182" s="22"/>
      <c r="L182" s="22"/>
      <c r="M182" s="30"/>
      <c r="N182" s="34">
        <f>IF(AND($L182="✔",$A182&lt;&gt;"",COUNTIF(Installs!$B$5:$B$159,$A182)=0),1,0)</f>
        <v>0</v>
      </c>
      <c r="O182" s="34" t="str">
        <f>IF($N182=1,SUM($N$3:$N182),"")</f>
        <v/>
      </c>
    </row>
    <row r="183" spans="1:15" ht="15" customHeight="1" x14ac:dyDescent="0.25">
      <c r="A183" s="30"/>
      <c r="B183" s="22"/>
      <c r="C183" s="22"/>
      <c r="D183" s="31"/>
      <c r="E183" s="30"/>
      <c r="F183" s="32"/>
      <c r="G183" s="22"/>
      <c r="H183" s="22"/>
      <c r="I183" s="31"/>
      <c r="J183" s="33"/>
      <c r="K183" s="22"/>
      <c r="L183" s="22"/>
      <c r="M183" s="30"/>
      <c r="N183" s="34">
        <f>IF(AND($L183="✔",$A183&lt;&gt;"",COUNTIF(Installs!$B$5:$B$159,$A183)=0),1,0)</f>
        <v>0</v>
      </c>
      <c r="O183" s="34" t="str">
        <f>IF($N183=1,SUM($N$3:$N183),"")</f>
        <v/>
      </c>
    </row>
    <row r="184" spans="1:15" ht="15" customHeight="1" x14ac:dyDescent="0.25">
      <c r="A184" s="30"/>
      <c r="B184" s="22"/>
      <c r="C184" s="22"/>
      <c r="D184" s="31"/>
      <c r="E184" s="30"/>
      <c r="F184" s="32"/>
      <c r="G184" s="22"/>
      <c r="H184" s="22"/>
      <c r="I184" s="31"/>
      <c r="J184" s="33"/>
      <c r="K184" s="22"/>
      <c r="L184" s="22"/>
      <c r="M184" s="30"/>
      <c r="N184" s="34">
        <f>IF(AND($L184="✔",$A184&lt;&gt;"",COUNTIF(Installs!$B$5:$B$159,$A184)=0),1,0)</f>
        <v>0</v>
      </c>
      <c r="O184" s="34" t="str">
        <f>IF($N184=1,SUM($N$3:$N184),"")</f>
        <v/>
      </c>
    </row>
    <row r="185" spans="1:15" ht="15" customHeight="1" x14ac:dyDescent="0.25">
      <c r="A185" s="30"/>
      <c r="B185" s="22"/>
      <c r="C185" s="22"/>
      <c r="D185" s="31"/>
      <c r="E185" s="30"/>
      <c r="F185" s="32"/>
      <c r="G185" s="22"/>
      <c r="H185" s="22"/>
      <c r="I185" s="31"/>
      <c r="J185" s="33"/>
      <c r="K185" s="22"/>
      <c r="L185" s="22"/>
      <c r="M185" s="30"/>
      <c r="N185" s="34">
        <f>IF(AND($L185="✔",$A185&lt;&gt;"",COUNTIF(Installs!$B$5:$B$159,$A185)=0),1,0)</f>
        <v>0</v>
      </c>
      <c r="O185" s="34" t="str">
        <f>IF($N185=1,SUM($N$3:$N185),"")</f>
        <v/>
      </c>
    </row>
    <row r="186" spans="1:15" ht="15" customHeight="1" x14ac:dyDescent="0.25">
      <c r="A186" s="30"/>
      <c r="B186" s="22"/>
      <c r="C186" s="22"/>
      <c r="D186" s="31"/>
      <c r="E186" s="30"/>
      <c r="F186" s="32"/>
      <c r="G186" s="22"/>
      <c r="H186" s="22"/>
      <c r="I186" s="31"/>
      <c r="J186" s="33"/>
      <c r="K186" s="22"/>
      <c r="L186" s="22"/>
      <c r="M186" s="30"/>
      <c r="N186" s="34">
        <f>IF(AND($L186="✔",$A186&lt;&gt;"",COUNTIF(Installs!$B$5:$B$159,$A186)=0),1,0)</f>
        <v>0</v>
      </c>
      <c r="O186" s="34" t="str">
        <f>IF($N186=1,SUM($N$3:$N186),"")</f>
        <v/>
      </c>
    </row>
    <row r="187" spans="1:15" ht="15" customHeight="1" x14ac:dyDescent="0.25">
      <c r="A187" s="30"/>
      <c r="B187" s="22"/>
      <c r="C187" s="22"/>
      <c r="D187" s="31"/>
      <c r="E187" s="30"/>
      <c r="F187" s="32"/>
      <c r="G187" s="22"/>
      <c r="H187" s="22"/>
      <c r="I187" s="31"/>
      <c r="J187" s="33"/>
      <c r="K187" s="22"/>
      <c r="L187" s="22"/>
      <c r="M187" s="30"/>
      <c r="N187" s="34">
        <f>IF(AND($L187="✔",$A187&lt;&gt;"",COUNTIF(Installs!$B$5:$B$159,$A187)=0),1,0)</f>
        <v>0</v>
      </c>
      <c r="O187" s="34" t="str">
        <f>IF($N187=1,SUM($N$3:$N187),"")</f>
        <v/>
      </c>
    </row>
    <row r="188" spans="1:15" ht="15" customHeight="1" x14ac:dyDescent="0.25">
      <c r="A188" s="30"/>
      <c r="B188" s="22"/>
      <c r="C188" s="22"/>
      <c r="D188" s="31"/>
      <c r="E188" s="30"/>
      <c r="F188" s="32"/>
      <c r="G188" s="22"/>
      <c r="H188" s="22"/>
      <c r="I188" s="31"/>
      <c r="J188" s="33"/>
      <c r="K188" s="22"/>
      <c r="L188" s="22"/>
      <c r="M188" s="30"/>
      <c r="N188" s="34">
        <f>IF(AND($L188="✔",$A188&lt;&gt;"",COUNTIF(Installs!$B$5:$B$159,$A188)=0),1,0)</f>
        <v>0</v>
      </c>
      <c r="O188" s="34" t="str">
        <f>IF($N188=1,SUM($N$3:$N188),"")</f>
        <v/>
      </c>
    </row>
    <row r="189" spans="1:15" ht="15" customHeight="1" x14ac:dyDescent="0.25">
      <c r="A189" s="30"/>
      <c r="B189" s="22"/>
      <c r="C189" s="22"/>
      <c r="D189" s="31"/>
      <c r="E189" s="30"/>
      <c r="F189" s="32"/>
      <c r="G189" s="22"/>
      <c r="H189" s="22"/>
      <c r="I189" s="31"/>
      <c r="J189" s="33"/>
      <c r="K189" s="22"/>
      <c r="L189" s="22"/>
      <c r="M189" s="30"/>
      <c r="N189" s="34">
        <f>IF(AND($L189="✔",$A189&lt;&gt;"",COUNTIF(Installs!$B$5:$B$159,$A189)=0),1,0)</f>
        <v>0</v>
      </c>
      <c r="O189" s="34" t="str">
        <f>IF($N189=1,SUM($N$3:$N189),"")</f>
        <v/>
      </c>
    </row>
    <row r="190" spans="1:15" ht="15" customHeight="1" x14ac:dyDescent="0.25">
      <c r="A190" s="30"/>
      <c r="B190" s="22"/>
      <c r="C190" s="22"/>
      <c r="D190" s="31"/>
      <c r="E190" s="30"/>
      <c r="F190" s="32"/>
      <c r="G190" s="22"/>
      <c r="H190" s="22"/>
      <c r="I190" s="31"/>
      <c r="J190" s="33"/>
      <c r="K190" s="22"/>
      <c r="L190" s="22"/>
      <c r="M190" s="30"/>
      <c r="N190" s="34">
        <f>IF(AND($L190="✔",$A190&lt;&gt;"",COUNTIF(Installs!$B$5:$B$159,$A190)=0),1,0)</f>
        <v>0</v>
      </c>
      <c r="O190" s="34" t="str">
        <f>IF($N190=1,SUM($N$3:$N190),"")</f>
        <v/>
      </c>
    </row>
    <row r="191" spans="1:15" ht="15" customHeight="1" x14ac:dyDescent="0.25">
      <c r="A191" s="30"/>
      <c r="B191" s="22"/>
      <c r="C191" s="22"/>
      <c r="D191" s="31"/>
      <c r="E191" s="30"/>
      <c r="F191" s="32"/>
      <c r="G191" s="22"/>
      <c r="H191" s="22"/>
      <c r="I191" s="31"/>
      <c r="J191" s="33"/>
      <c r="K191" s="22"/>
      <c r="L191" s="22"/>
      <c r="M191" s="30"/>
      <c r="N191" s="34">
        <f>IF(AND($L191="✔",$A191&lt;&gt;"",COUNTIF(Installs!$B$5:$B$159,$A191)=0),1,0)</f>
        <v>0</v>
      </c>
      <c r="O191" s="34" t="str">
        <f>IF($N191=1,SUM($N$3:$N191),"")</f>
        <v/>
      </c>
    </row>
    <row r="192" spans="1:15" ht="15" customHeight="1" x14ac:dyDescent="0.25">
      <c r="A192" s="30"/>
      <c r="B192" s="22"/>
      <c r="C192" s="22"/>
      <c r="D192" s="31"/>
      <c r="E192" s="30"/>
      <c r="F192" s="32"/>
      <c r="G192" s="22"/>
      <c r="H192" s="22"/>
      <c r="I192" s="31"/>
      <c r="J192" s="33"/>
      <c r="K192" s="22"/>
      <c r="L192" s="22"/>
      <c r="M192" s="30"/>
      <c r="N192" s="34">
        <f>IF(AND($L192="✔",$A192&lt;&gt;"",COUNTIF(Installs!$B$5:$B$159,$A192)=0),1,0)</f>
        <v>0</v>
      </c>
      <c r="O192" s="34" t="str">
        <f>IF($N192=1,SUM($N$3:$N192),"")</f>
        <v/>
      </c>
    </row>
    <row r="193" spans="1:15" ht="15" customHeight="1" x14ac:dyDescent="0.25">
      <c r="A193" s="30"/>
      <c r="B193" s="22"/>
      <c r="C193" s="22"/>
      <c r="D193" s="31"/>
      <c r="E193" s="30"/>
      <c r="F193" s="32"/>
      <c r="G193" s="22"/>
      <c r="H193" s="22"/>
      <c r="I193" s="31"/>
      <c r="J193" s="33"/>
      <c r="K193" s="22"/>
      <c r="L193" s="22"/>
      <c r="M193" s="30"/>
      <c r="N193" s="34">
        <f>IF(AND($L193="✔",$A193&lt;&gt;"",COUNTIF(Installs!$B$5:$B$159,$A193)=0),1,0)</f>
        <v>0</v>
      </c>
      <c r="O193" s="34" t="str">
        <f>IF($N193=1,SUM($N$3:$N193),"")</f>
        <v/>
      </c>
    </row>
    <row r="194" spans="1:15" ht="15" customHeight="1" x14ac:dyDescent="0.25">
      <c r="A194" s="30"/>
      <c r="B194" s="22"/>
      <c r="C194" s="22"/>
      <c r="D194" s="31"/>
      <c r="E194" s="30"/>
      <c r="F194" s="32"/>
      <c r="G194" s="22"/>
      <c r="H194" s="22"/>
      <c r="I194" s="31"/>
      <c r="J194" s="33"/>
      <c r="K194" s="22"/>
      <c r="L194" s="22"/>
      <c r="M194" s="30"/>
      <c r="N194" s="34">
        <f>IF(AND($L194="✔",$A194&lt;&gt;"",COUNTIF(Installs!$B$5:$B$159,$A194)=0),1,0)</f>
        <v>0</v>
      </c>
      <c r="O194" s="34" t="str">
        <f>IF($N194=1,SUM($N$3:$N194),"")</f>
        <v/>
      </c>
    </row>
    <row r="195" spans="1:15" ht="15" customHeight="1" x14ac:dyDescent="0.25">
      <c r="A195" s="30"/>
      <c r="B195" s="22"/>
      <c r="C195" s="22"/>
      <c r="D195" s="31"/>
      <c r="E195" s="30"/>
      <c r="F195" s="32"/>
      <c r="G195" s="22"/>
      <c r="H195" s="22"/>
      <c r="I195" s="31"/>
      <c r="J195" s="33"/>
      <c r="K195" s="22"/>
      <c r="L195" s="22"/>
      <c r="M195" s="30"/>
      <c r="N195" s="34">
        <f>IF(AND($L195="✔",$A195&lt;&gt;"",COUNTIF(Installs!$B$5:$B$159,$A195)=0),1,0)</f>
        <v>0</v>
      </c>
      <c r="O195" s="34" t="str">
        <f>IF($N195=1,SUM($N$3:$N195),"")</f>
        <v/>
      </c>
    </row>
    <row r="196" spans="1:15" ht="15" customHeight="1" x14ac:dyDescent="0.25">
      <c r="A196" s="30"/>
      <c r="B196" s="22"/>
      <c r="C196" s="22"/>
      <c r="D196" s="31"/>
      <c r="E196" s="30"/>
      <c r="F196" s="32"/>
      <c r="G196" s="22"/>
      <c r="H196" s="22"/>
      <c r="I196" s="31"/>
      <c r="J196" s="33"/>
      <c r="K196" s="22"/>
      <c r="L196" s="22"/>
      <c r="M196" s="30"/>
      <c r="N196" s="34">
        <f>IF(AND($L196="✔",$A196&lt;&gt;"",COUNTIF(Installs!$B$5:$B$159,$A196)=0),1,0)</f>
        <v>0</v>
      </c>
      <c r="O196" s="34" t="str">
        <f>IF($N196=1,SUM($N$3:$N196),"")</f>
        <v/>
      </c>
    </row>
    <row r="197" spans="1:15" ht="15" customHeight="1" x14ac:dyDescent="0.25">
      <c r="A197" s="30"/>
      <c r="B197" s="22"/>
      <c r="C197" s="22"/>
      <c r="D197" s="31"/>
      <c r="E197" s="30"/>
      <c r="F197" s="32"/>
      <c r="G197" s="22"/>
      <c r="H197" s="22"/>
      <c r="I197" s="31"/>
      <c r="J197" s="33"/>
      <c r="K197" s="22"/>
      <c r="L197" s="22"/>
      <c r="M197" s="30"/>
      <c r="N197" s="34">
        <f>IF(AND($L197="✔",$A197&lt;&gt;"",COUNTIF(Installs!$B$5:$B$159,$A197)=0),1,0)</f>
        <v>0</v>
      </c>
      <c r="O197" s="34" t="str">
        <f>IF($N197=1,SUM($N$3:$N197),"")</f>
        <v/>
      </c>
    </row>
    <row r="198" spans="1:15" ht="15" customHeight="1" x14ac:dyDescent="0.25">
      <c r="A198" s="30"/>
      <c r="B198" s="22"/>
      <c r="C198" s="22"/>
      <c r="D198" s="31"/>
      <c r="E198" s="30"/>
      <c r="F198" s="32"/>
      <c r="G198" s="22"/>
      <c r="H198" s="22"/>
      <c r="I198" s="31"/>
      <c r="J198" s="33"/>
      <c r="K198" s="22"/>
      <c r="L198" s="22"/>
      <c r="M198" s="30"/>
      <c r="N198" s="34">
        <f>IF(AND($L198="✔",$A198&lt;&gt;"",COUNTIF(Installs!$B$5:$B$159,$A198)=0),1,0)</f>
        <v>0</v>
      </c>
      <c r="O198" s="34" t="str">
        <f>IF($N198=1,SUM($N$3:$N198),"")</f>
        <v/>
      </c>
    </row>
    <row r="199" spans="1:15" ht="15" customHeight="1" x14ac:dyDescent="0.25">
      <c r="A199" s="30"/>
      <c r="B199" s="22"/>
      <c r="C199" s="22"/>
      <c r="D199" s="31"/>
      <c r="E199" s="30"/>
      <c r="F199" s="32"/>
      <c r="G199" s="22"/>
      <c r="H199" s="22"/>
      <c r="I199" s="31"/>
      <c r="J199" s="33"/>
      <c r="K199" s="22"/>
      <c r="L199" s="22"/>
      <c r="M199" s="30"/>
      <c r="N199" s="34">
        <f>IF(AND($L199="✔",$A199&lt;&gt;"",COUNTIF(Installs!$B$5:$B$159,$A199)=0),1,0)</f>
        <v>0</v>
      </c>
      <c r="O199" s="34" t="str">
        <f>IF($N199=1,SUM($N$3:$N199),"")</f>
        <v/>
      </c>
    </row>
    <row r="200" spans="1:15" ht="15" customHeight="1" x14ac:dyDescent="0.25">
      <c r="A200" s="30"/>
      <c r="B200" s="22"/>
      <c r="C200" s="22"/>
      <c r="D200" s="31"/>
      <c r="E200" s="30"/>
      <c r="F200" s="32"/>
      <c r="G200" s="22"/>
      <c r="H200" s="22"/>
      <c r="I200" s="31"/>
      <c r="J200" s="33"/>
      <c r="K200" s="22"/>
      <c r="L200" s="22"/>
      <c r="M200" s="30"/>
      <c r="N200" s="34">
        <f>IF(AND($L200="✔",$A200&lt;&gt;"",COUNTIF(Installs!$B$5:$B$159,$A200)=0),1,0)</f>
        <v>0</v>
      </c>
      <c r="O200" s="34" t="str">
        <f>IF($N200=1,SUM($N$3:$N200),"")</f>
        <v/>
      </c>
    </row>
  </sheetData>
  <mergeCells count="1">
    <mergeCell ref="E1:L1"/>
  </mergeCells>
  <conditionalFormatting sqref="A3:M200">
    <cfRule type="expression" dxfId="17" priority="2">
      <formula>$L3="✔"</formula>
    </cfRule>
    <cfRule type="expression" dxfId="16" priority="3">
      <formula>$L3="X"</formula>
    </cfRule>
    <cfRule type="expression" dxfId="15" priority="4">
      <formula>MOD(ROW(),2)=0</formula>
    </cfRule>
  </conditionalFormatting>
  <conditionalFormatting sqref="F3:F200">
    <cfRule type="expression" dxfId="14" priority="5">
      <formula>AND($A3&lt;&gt;"",$F3="")</formula>
    </cfRule>
  </conditionalFormatting>
  <dataValidations count="5">
    <dataValidation type="list" allowBlank="1" showErrorMessage="1" error="Please pick from the dropdown list." sqref="B3:B200" xr:uid="{00000000-0002-0000-0200-000000000000}">
      <formula1>ProducerList</formula1>
      <formula2>0</formula2>
    </dataValidation>
    <dataValidation type="list" allowBlank="1" showErrorMessage="1" error="Please pick from the dropdown list." sqref="C3:C200" xr:uid="{00000000-0002-0000-0200-000001000000}">
      <formula1>AccountTypeList</formula1>
      <formula2>0</formula2>
    </dataValidation>
    <dataValidation type="list" allowBlank="1" showErrorMessage="1" error="Please pick from the dropdown list." sqref="G3:H200" xr:uid="{00000000-0002-0000-0200-000002000000}">
      <formula1>"✔"</formula1>
      <formula2>0</formula2>
    </dataValidation>
    <dataValidation type="list" allowBlank="1" showErrorMessage="1" error="Please pick from the dropdown list." sqref="J3:J200" xr:uid="{00000000-0002-0000-0200-000003000000}">
      <formula1>PaymentTermsList</formula1>
      <formula2>0</formula2>
    </dataValidation>
    <dataValidation type="list" allowBlank="1" showErrorMessage="1" error="Please pick from the dropdown list." sqref="L3:L200" xr:uid="{00000000-0002-0000-0200-000004000000}">
      <formula1>CompletionList</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P45"/>
  <sheetViews>
    <sheetView showGridLines="0" topLeftCell="A3" zoomScaleNormal="100" workbookViewId="0">
      <selection activeCell="E26" sqref="E26"/>
    </sheetView>
  </sheetViews>
  <sheetFormatPr defaultColWidth="8.5703125" defaultRowHeight="15" x14ac:dyDescent="0.25"/>
  <cols>
    <col min="1" max="1" width="25.5703125" customWidth="1"/>
    <col min="2" max="2" width="27.42578125" customWidth="1"/>
    <col min="3" max="3" width="44" customWidth="1"/>
    <col min="4" max="4" width="14" customWidth="1"/>
    <col min="5" max="5" width="17.140625" customWidth="1"/>
    <col min="6" max="6" width="14" customWidth="1"/>
    <col min="7" max="7" width="12" customWidth="1"/>
    <col min="8" max="8" width="17" customWidth="1"/>
    <col min="9" max="9" width="44" customWidth="1"/>
    <col min="10" max="10" width="12" customWidth="1"/>
    <col min="11" max="11" width="23.28515625" customWidth="1"/>
    <col min="12" max="12" width="13" customWidth="1"/>
    <col min="13" max="13" width="26" customWidth="1"/>
    <col min="16" max="16" width="8" hidden="1" customWidth="1"/>
  </cols>
  <sheetData>
    <row r="1" spans="1:16" ht="21.75" customHeight="1" x14ac:dyDescent="0.25">
      <c r="A1" s="65" t="s">
        <v>206</v>
      </c>
      <c r="B1" s="65"/>
      <c r="C1" s="65"/>
      <c r="D1" s="65"/>
      <c r="E1" s="65"/>
      <c r="F1" s="65"/>
      <c r="G1" s="65"/>
      <c r="H1" s="65"/>
      <c r="I1" s="65"/>
      <c r="J1" s="65"/>
      <c r="K1" s="65"/>
      <c r="L1" s="65"/>
      <c r="M1" s="65"/>
    </row>
    <row r="2" spans="1:16" ht="15" customHeight="1" x14ac:dyDescent="0.25">
      <c r="A2" s="36" t="s">
        <v>207</v>
      </c>
      <c r="C2" s="1" t="s">
        <v>208</v>
      </c>
    </row>
    <row r="4" spans="1:16" ht="25.5" customHeight="1" x14ac:dyDescent="0.25">
      <c r="A4" s="37" t="s">
        <v>209</v>
      </c>
      <c r="B4" s="37" t="s">
        <v>210</v>
      </c>
      <c r="C4" s="37" t="s">
        <v>211</v>
      </c>
      <c r="D4" s="38" t="s">
        <v>212</v>
      </c>
      <c r="E4" s="38" t="s">
        <v>213</v>
      </c>
      <c r="F4" s="39" t="s">
        <v>214</v>
      </c>
      <c r="G4" s="40" t="s">
        <v>215</v>
      </c>
      <c r="H4" s="40" t="s">
        <v>216</v>
      </c>
    </row>
    <row r="5" spans="1:16" ht="24" customHeight="1" x14ac:dyDescent="0.25">
      <c r="A5" s="41">
        <f ca="1">TODAY()</f>
        <v>46254</v>
      </c>
      <c r="B5" s="42" t="str">
        <f ca="1">TEXT(Installs!$P$3,"m/d")&amp;" – "&amp;TEXT(Installs!$P$4,"m/d")</f>
        <v>8/17 – 8/23</v>
      </c>
      <c r="C5" s="42" t="str">
        <f ca="1">TEXT(Installs!$P$3+7,"m/d")&amp;" – "&amp;TEXT(Installs!$P$5,"m/d")</f>
        <v>8/24 – 8/30</v>
      </c>
      <c r="D5" s="18">
        <f ca="1">COUNTIF(Installs!$M$5:$M$200,"⚠ EQUIP NOT READY")</f>
        <v>0</v>
      </c>
      <c r="E5" s="18">
        <f ca="1">COUNTIF(Installs!$M$5:$M$200,"⚠ PAST DUE - NOT READY")</f>
        <v>0</v>
      </c>
      <c r="F5" s="43">
        <f ca="1">COUNTIF(Installs!$M$5:$M$200,"⚠ CUSTOMER NOT READY")</f>
        <v>0</v>
      </c>
      <c r="G5" s="15">
        <f>COUNTIF(Installs!$D$5:$D$200,"Installed")</f>
        <v>41</v>
      </c>
      <c r="H5" s="15">
        <f>COUNTIF(Installs!$O$5:$O$200,"&lt;999999999")</f>
        <v>13</v>
      </c>
    </row>
    <row r="7" spans="1:16" ht="19.5" customHeight="1" x14ac:dyDescent="0.25">
      <c r="A7" s="66" t="s">
        <v>217</v>
      </c>
      <c r="B7" s="66"/>
      <c r="C7" s="66"/>
      <c r="D7" s="66"/>
      <c r="E7" s="66"/>
      <c r="F7" s="66"/>
      <c r="G7" s="66"/>
      <c r="H7" s="66"/>
      <c r="I7" s="66"/>
      <c r="J7" s="66"/>
      <c r="K7" s="66"/>
      <c r="L7" s="66"/>
      <c r="M7" s="66"/>
    </row>
    <row r="8" spans="1:16" ht="15" customHeight="1" x14ac:dyDescent="0.25">
      <c r="A8" s="44" t="s">
        <v>218</v>
      </c>
      <c r="B8" s="44" t="s">
        <v>219</v>
      </c>
      <c r="C8" s="44" t="s">
        <v>220</v>
      </c>
      <c r="D8" s="44" t="s">
        <v>221</v>
      </c>
      <c r="E8" s="44" t="s">
        <v>222</v>
      </c>
      <c r="F8" s="44" t="s">
        <v>223</v>
      </c>
      <c r="G8" s="44" t="s">
        <v>224</v>
      </c>
      <c r="H8" s="44" t="s">
        <v>225</v>
      </c>
    </row>
    <row r="9" spans="1:16" x14ac:dyDescent="0.25">
      <c r="A9" s="22" t="str">
        <f ca="1">IF($P9="","",1)</f>
        <v/>
      </c>
      <c r="B9" s="45" t="str">
        <f ca="1">IF($P9="","",IFERROR(IF(INDEX(Installs!$B$1:$B$200,$P9)="","",INDEX(Installs!$B$1:$B$200,$P9)),""))</f>
        <v/>
      </c>
      <c r="C9" s="45" t="str">
        <f ca="1">IF($P9="","",IFERROR(IF(INDEX(Installs!$M$1:$M$200,$P9)="","",INDEX(Installs!$M$1:$M$200,$P9)),""))</f>
        <v/>
      </c>
      <c r="D9" s="22" t="str">
        <f ca="1">IF($P9="","",IFERROR(IF(INDEX(Installs!$D$1:$D$200,$P9)="","",INDEX(Installs!$D$1:$D$200,$P9)),""))</f>
        <v/>
      </c>
      <c r="E9" s="31" t="str">
        <f ca="1">IF($P9="","",IFERROR(IF(INDEX(Installs!$E$1:$E$200,$P9)="","",INDEX(Installs!$E$1:$E$200,$P9)),""))</f>
        <v/>
      </c>
      <c r="F9" s="22" t="str">
        <f ca="1">IF($P9="","",IFERROR(IF(INDEX(Installs!$F$1:$F$200,$P9)="","",INDEX(Installs!$F$1:$F$200,$P9)),""))</f>
        <v/>
      </c>
      <c r="G9" s="22" t="str">
        <f ca="1">IF($P9="","",IFERROR(IF(INDEX(Installs!$G$1:$G$200,$P9)="","",INDEX(Installs!$G$1:$G$200,$P9)),""))</f>
        <v/>
      </c>
      <c r="H9" s="22" t="str">
        <f ca="1">IF($P9="","",IFERROR(IF(INDEX(Installs!$H$1:$H$200,$P9)="","",INDEX(Installs!$H$1:$H$200,$P9)),""))</f>
        <v/>
      </c>
      <c r="P9" s="34" t="str">
        <f ca="1">IFERROR(MATCH(1,Installs!$R$5:$R$200,0)+4,"")</f>
        <v/>
      </c>
    </row>
    <row r="10" spans="1:16" x14ac:dyDescent="0.25">
      <c r="A10" s="22" t="str">
        <f ca="1">IF($P10="","",2)</f>
        <v/>
      </c>
      <c r="B10" s="45" t="str">
        <f ca="1">IF($P10="","",IFERROR(IF(INDEX(Installs!$B$1:$B$200,$P10)="","",INDEX(Installs!$B$1:$B$200,$P10)),""))</f>
        <v/>
      </c>
      <c r="C10" s="45" t="str">
        <f ca="1">IF($P10="","",IFERROR(IF(INDEX(Installs!$M$1:$M$200,$P10)="","",INDEX(Installs!$M$1:$M$200,$P10)),""))</f>
        <v/>
      </c>
      <c r="D10" s="22" t="str">
        <f ca="1">IF($P10="","",IFERROR(IF(INDEX(Installs!$D$1:$D$200,$P10)="","",INDEX(Installs!$D$1:$D$200,$P10)),""))</f>
        <v/>
      </c>
      <c r="E10" s="31" t="str">
        <f ca="1">IF($P10="","",IFERROR(IF(INDEX(Installs!$E$1:$E$200,$P10)="","",INDEX(Installs!$E$1:$E$200,$P10)),""))</f>
        <v/>
      </c>
      <c r="F10" s="22" t="str">
        <f ca="1">IF($P10="","",IFERROR(IF(INDEX(Installs!$F$1:$F$200,$P10)="","",INDEX(Installs!$F$1:$F$200,$P10)),""))</f>
        <v/>
      </c>
      <c r="G10" s="22" t="str">
        <f ca="1">IF($P10="","",IFERROR(IF(INDEX(Installs!$G$1:$G$200,$P10)="","",INDEX(Installs!$G$1:$G$200,$P10)),""))</f>
        <v/>
      </c>
      <c r="H10" s="22" t="str">
        <f ca="1">IF($P10="","",IFERROR(IF(INDEX(Installs!$H$1:$H$200,$P10)="","",INDEX(Installs!$H$1:$H$200,$P10)),""))</f>
        <v/>
      </c>
      <c r="P10" s="34" t="str">
        <f ca="1">IFERROR(MATCH(2,Installs!$R$5:$R$200,0)+4,"")</f>
        <v/>
      </c>
    </row>
    <row r="11" spans="1:16" ht="15" customHeight="1" x14ac:dyDescent="0.25">
      <c r="A11" s="22" t="str">
        <f ca="1">IF($P11="","",3)</f>
        <v/>
      </c>
      <c r="B11" s="45" t="str">
        <f ca="1">IF($P11="","",IFERROR(IF(INDEX(Installs!$B$1:$B$200,$P11)="","",INDEX(Installs!$B$1:$B$200,$P11)),""))</f>
        <v/>
      </c>
      <c r="C11" s="45" t="str">
        <f ca="1">IF($P11="","",IFERROR(IF(INDEX(Installs!$M$1:$M$200,$P11)="","",INDEX(Installs!$M$1:$M$200,$P11)),""))</f>
        <v/>
      </c>
      <c r="D11" s="22" t="str">
        <f ca="1">IF($P11="","",IFERROR(IF(INDEX(Installs!$D$1:$D$200,$P11)="","",INDEX(Installs!$D$1:$D$200,$P11)),""))</f>
        <v/>
      </c>
      <c r="E11" s="31" t="str">
        <f ca="1">IF($P11="","",IFERROR(IF(INDEX(Installs!$E$1:$E$200,$P11)="","",INDEX(Installs!$E$1:$E$200,$P11)),""))</f>
        <v/>
      </c>
      <c r="F11" s="22" t="str">
        <f ca="1">IF($P11="","",IFERROR(IF(INDEX(Installs!$F$1:$F$200,$P11)="","",INDEX(Installs!$F$1:$F$200,$P11)),""))</f>
        <v/>
      </c>
      <c r="G11" s="22" t="str">
        <f ca="1">IF($P11="","",IFERROR(IF(INDEX(Installs!$G$1:$G$200,$P11)="","",INDEX(Installs!$G$1:$G$200,$P11)),""))</f>
        <v/>
      </c>
      <c r="H11" s="22" t="str">
        <f ca="1">IF($P11="","",IFERROR(IF(INDEX(Installs!$H$1:$H$200,$P11)="","",INDEX(Installs!$H$1:$H$200,$P11)),""))</f>
        <v/>
      </c>
      <c r="P11" s="34" t="str">
        <f ca="1">IFERROR(MATCH(3,Installs!$R$5:$R$200,0)+4,"")</f>
        <v/>
      </c>
    </row>
    <row r="12" spans="1:16" ht="15" customHeight="1" x14ac:dyDescent="0.25">
      <c r="A12" s="22" t="str">
        <f ca="1">IF($P12="","",4)</f>
        <v/>
      </c>
      <c r="B12" s="45" t="str">
        <f ca="1">IF($P12="","",IFERROR(IF(INDEX(Installs!$B$1:$B$200,$P12)="","",INDEX(Installs!$B$1:$B$200,$P12)),""))</f>
        <v/>
      </c>
      <c r="C12" s="45" t="str">
        <f ca="1">IF($P12="","",IFERROR(IF(INDEX(Installs!$M$1:$M$200,$P12)="","",INDEX(Installs!$M$1:$M$200,$P12)),""))</f>
        <v/>
      </c>
      <c r="D12" s="22" t="str">
        <f ca="1">IF($P12="","",IFERROR(IF(INDEX(Installs!$D$1:$D$200,$P12)="","",INDEX(Installs!$D$1:$D$200,$P12)),""))</f>
        <v/>
      </c>
      <c r="E12" s="31" t="str">
        <f ca="1">IF($P12="","",IFERROR(IF(INDEX(Installs!$E$1:$E$200,$P12)="","",INDEX(Installs!$E$1:$E$200,$P12)),""))</f>
        <v/>
      </c>
      <c r="F12" s="22" t="str">
        <f ca="1">IF($P12="","",IFERROR(IF(INDEX(Installs!$F$1:$F$200,$P12)="","",INDEX(Installs!$F$1:$F$200,$P12)),""))</f>
        <v/>
      </c>
      <c r="G12" s="22" t="str">
        <f ca="1">IF($P12="","",IFERROR(IF(INDEX(Installs!$G$1:$G$200,$P12)="","",INDEX(Installs!$G$1:$G$200,$P12)),""))</f>
        <v/>
      </c>
      <c r="H12" s="22" t="str">
        <f ca="1">IF($P12="","",IFERROR(IF(INDEX(Installs!$H$1:$H$200,$P12)="","",INDEX(Installs!$H$1:$H$200,$P12)),""))</f>
        <v/>
      </c>
      <c r="P12" s="34" t="str">
        <f ca="1">IFERROR(MATCH(4,Installs!$R$5:$R$200,0)+4,"")</f>
        <v/>
      </c>
    </row>
    <row r="13" spans="1:16" ht="15" customHeight="1" x14ac:dyDescent="0.25">
      <c r="A13" s="22" t="str">
        <f ca="1">IF($P13="","",5)</f>
        <v/>
      </c>
      <c r="B13" s="45" t="str">
        <f ca="1">IF($P13="","",IFERROR(IF(INDEX(Installs!$B$1:$B$200,$P13)="","",INDEX(Installs!$B$1:$B$200,$P13)),""))</f>
        <v/>
      </c>
      <c r="C13" s="45" t="str">
        <f ca="1">IF($P13="","",IFERROR(IF(INDEX(Installs!$M$1:$M$200,$P13)="","",INDEX(Installs!$M$1:$M$200,$P13)),""))</f>
        <v/>
      </c>
      <c r="D13" s="22" t="str">
        <f ca="1">IF($P13="","",IFERROR(IF(INDEX(Installs!$D$1:$D$200,$P13)="","",INDEX(Installs!$D$1:$D$200,$P13)),""))</f>
        <v/>
      </c>
      <c r="E13" s="31" t="str">
        <f ca="1">IF($P13="","",IFERROR(IF(INDEX(Installs!$E$1:$E$200,$P13)="","",INDEX(Installs!$E$1:$E$200,$P13)),""))</f>
        <v/>
      </c>
      <c r="F13" s="22" t="str">
        <f ca="1">IF($P13="","",IFERROR(IF(INDEX(Installs!$F$1:$F$200,$P13)="","",INDEX(Installs!$F$1:$F$200,$P13)),""))</f>
        <v/>
      </c>
      <c r="G13" s="22" t="str">
        <f ca="1">IF($P13="","",IFERROR(IF(INDEX(Installs!$G$1:$G$200,$P13)="","",INDEX(Installs!$G$1:$G$200,$P13)),""))</f>
        <v/>
      </c>
      <c r="H13" s="22" t="str">
        <f ca="1">IF($P13="","",IFERROR(IF(INDEX(Installs!$H$1:$H$200,$P13)="","",INDEX(Installs!$H$1:$H$200,$P13)),""))</f>
        <v/>
      </c>
      <c r="P13" s="34" t="str">
        <f ca="1">IFERROR(MATCH(5,Installs!$R$5:$R$200,0)+4,"")</f>
        <v/>
      </c>
    </row>
    <row r="14" spans="1:16" ht="15" customHeight="1" x14ac:dyDescent="0.25">
      <c r="A14" s="22" t="str">
        <f ca="1">IF($P14="","",6)</f>
        <v/>
      </c>
      <c r="B14" s="45" t="str">
        <f ca="1">IF($P14="","",IFERROR(IF(INDEX(Installs!$B$1:$B$200,$P14)="","",INDEX(Installs!$B$1:$B$200,$P14)),""))</f>
        <v/>
      </c>
      <c r="C14" s="45" t="str">
        <f ca="1">IF($P14="","",IFERROR(IF(INDEX(Installs!$M$1:$M$200,$P14)="","",INDEX(Installs!$M$1:$M$200,$P14)),""))</f>
        <v/>
      </c>
      <c r="D14" s="22" t="str">
        <f ca="1">IF($P14="","",IFERROR(IF(INDEX(Installs!$D$1:$D$200,$P14)="","",INDEX(Installs!$D$1:$D$200,$P14)),""))</f>
        <v/>
      </c>
      <c r="E14" s="31" t="str">
        <f ca="1">IF($P14="","",IFERROR(IF(INDEX(Installs!$E$1:$E$200,$P14)="","",INDEX(Installs!$E$1:$E$200,$P14)),""))</f>
        <v/>
      </c>
      <c r="F14" s="22" t="str">
        <f ca="1">IF($P14="","",IFERROR(IF(INDEX(Installs!$F$1:$F$200,$P14)="","",INDEX(Installs!$F$1:$F$200,$P14)),""))</f>
        <v/>
      </c>
      <c r="G14" s="22" t="str">
        <f ca="1">IF($P14="","",IFERROR(IF(INDEX(Installs!$G$1:$G$200,$P14)="","",INDEX(Installs!$G$1:$G$200,$P14)),""))</f>
        <v/>
      </c>
      <c r="H14" s="22" t="str">
        <f ca="1">IF($P14="","",IFERROR(IF(INDEX(Installs!$H$1:$H$200,$P14)="","",INDEX(Installs!$H$1:$H$200,$P14)),""))</f>
        <v/>
      </c>
      <c r="P14" s="34" t="str">
        <f ca="1">IFERROR(MATCH(6,Installs!$R$5:$R$200,0)+4,"")</f>
        <v/>
      </c>
    </row>
    <row r="15" spans="1:16" ht="15" customHeight="1" x14ac:dyDescent="0.25">
      <c r="A15" s="22" t="str">
        <f ca="1">IF($P15="","",7)</f>
        <v/>
      </c>
      <c r="B15" s="45" t="str">
        <f ca="1">IF($P15="","",IFERROR(IF(INDEX(Installs!$B$1:$B$200,$P15)="","",INDEX(Installs!$B$1:$B$200,$P15)),""))</f>
        <v/>
      </c>
      <c r="C15" s="45" t="str">
        <f ca="1">IF($P15="","",IFERROR(IF(INDEX(Installs!$M$1:$M$200,$P15)="","",INDEX(Installs!$M$1:$M$200,$P15)),""))</f>
        <v/>
      </c>
      <c r="D15" s="22" t="str">
        <f ca="1">IF($P15="","",IFERROR(IF(INDEX(Installs!$D$1:$D$200,$P15)="","",INDEX(Installs!$D$1:$D$200,$P15)),""))</f>
        <v/>
      </c>
      <c r="E15" s="31" t="str">
        <f ca="1">IF($P15="","",IFERROR(IF(INDEX(Installs!$E$1:$E$200,$P15)="","",INDEX(Installs!$E$1:$E$200,$P15)),""))</f>
        <v/>
      </c>
      <c r="F15" s="22" t="str">
        <f ca="1">IF($P15="","",IFERROR(IF(INDEX(Installs!$F$1:$F$200,$P15)="","",INDEX(Installs!$F$1:$F$200,$P15)),""))</f>
        <v/>
      </c>
      <c r="G15" s="22" t="str">
        <f ca="1">IF($P15="","",IFERROR(IF(INDEX(Installs!$G$1:$G$200,$P15)="","",INDEX(Installs!$G$1:$G$200,$P15)),""))</f>
        <v/>
      </c>
      <c r="H15" s="22" t="str">
        <f ca="1">IF($P15="","",IFERROR(IF(INDEX(Installs!$H$1:$H$200,$P15)="","",INDEX(Installs!$H$1:$H$200,$P15)),""))</f>
        <v/>
      </c>
      <c r="P15" s="34" t="str">
        <f ca="1">IFERROR(MATCH(7,Installs!$R$5:$R$200,0)+4,"")</f>
        <v/>
      </c>
    </row>
    <row r="16" spans="1:16" ht="15" customHeight="1" x14ac:dyDescent="0.25">
      <c r="A16" s="22" t="str">
        <f ca="1">IF($P16="","",8)</f>
        <v/>
      </c>
      <c r="B16" s="45" t="str">
        <f ca="1">IF($P16="","",IFERROR(IF(INDEX(Installs!$B$1:$B$200,$P16)="","",INDEX(Installs!$B$1:$B$200,$P16)),""))</f>
        <v/>
      </c>
      <c r="C16" s="45" t="str">
        <f ca="1">IF($P16="","",IFERROR(IF(INDEX(Installs!$M$1:$M$200,$P16)="","",INDEX(Installs!$M$1:$M$200,$P16)),""))</f>
        <v/>
      </c>
      <c r="D16" s="22" t="str">
        <f ca="1">IF($P16="","",IFERROR(IF(INDEX(Installs!$D$1:$D$200,$P16)="","",INDEX(Installs!$D$1:$D$200,$P16)),""))</f>
        <v/>
      </c>
      <c r="E16" s="31" t="str">
        <f ca="1">IF($P16="","",IFERROR(IF(INDEX(Installs!$E$1:$E$200,$P16)="","",INDEX(Installs!$E$1:$E$200,$P16)),""))</f>
        <v/>
      </c>
      <c r="F16" s="22" t="str">
        <f ca="1">IF($P16="","",IFERROR(IF(INDEX(Installs!$F$1:$F$200,$P16)="","",INDEX(Installs!$F$1:$F$200,$P16)),""))</f>
        <v/>
      </c>
      <c r="G16" s="22" t="str">
        <f ca="1">IF($P16="","",IFERROR(IF(INDEX(Installs!$G$1:$G$200,$P16)="","",INDEX(Installs!$G$1:$G$200,$P16)),""))</f>
        <v/>
      </c>
      <c r="H16" s="22" t="str">
        <f ca="1">IF($P16="","",IFERROR(IF(INDEX(Installs!$H$1:$H$200,$P16)="","",INDEX(Installs!$H$1:$H$200,$P16)),""))</f>
        <v/>
      </c>
      <c r="P16" s="34" t="str">
        <f ca="1">IFERROR(MATCH(8,Installs!$R$5:$R$200,0)+4,"")</f>
        <v/>
      </c>
    </row>
    <row r="17" spans="1:16" ht="15" customHeight="1" x14ac:dyDescent="0.25">
      <c r="A17" s="22" t="str">
        <f ca="1">IF($P17="","",9)</f>
        <v/>
      </c>
      <c r="B17" s="45" t="str">
        <f ca="1">IF($P17="","",IFERROR(IF(INDEX(Installs!$B$1:$B$200,$P17)="","",INDEX(Installs!$B$1:$B$200,$P17)),""))</f>
        <v/>
      </c>
      <c r="C17" s="45" t="str">
        <f ca="1">IF($P17="","",IFERROR(IF(INDEX(Installs!$M$1:$M$200,$P17)="","",INDEX(Installs!$M$1:$M$200,$P17)),""))</f>
        <v/>
      </c>
      <c r="D17" s="22" t="str">
        <f ca="1">IF($P17="","",IFERROR(IF(INDEX(Installs!$D$1:$D$200,$P17)="","",INDEX(Installs!$D$1:$D$200,$P17)),""))</f>
        <v/>
      </c>
      <c r="E17" s="31" t="str">
        <f ca="1">IF($P17="","",IFERROR(IF(INDEX(Installs!$E$1:$E$200,$P17)="","",INDEX(Installs!$E$1:$E$200,$P17)),""))</f>
        <v/>
      </c>
      <c r="F17" s="22" t="str">
        <f ca="1">IF($P17="","",IFERROR(IF(INDEX(Installs!$F$1:$F$200,$P17)="","",INDEX(Installs!$F$1:$F$200,$P17)),""))</f>
        <v/>
      </c>
      <c r="G17" s="22" t="str">
        <f ca="1">IF($P17="","",IFERROR(IF(INDEX(Installs!$G$1:$G$200,$P17)="","",INDEX(Installs!$G$1:$G$200,$P17)),""))</f>
        <v/>
      </c>
      <c r="H17" s="22" t="str">
        <f ca="1">IF($P17="","",IFERROR(IF(INDEX(Installs!$H$1:$H$200,$P17)="","",INDEX(Installs!$H$1:$H$200,$P17)),""))</f>
        <v/>
      </c>
      <c r="P17" s="34" t="str">
        <f ca="1">IFERROR(MATCH(9,Installs!$R$5:$R$200,0)+4,"")</f>
        <v/>
      </c>
    </row>
    <row r="18" spans="1:16" ht="15" customHeight="1" x14ac:dyDescent="0.25">
      <c r="A18" s="22" t="str">
        <f ca="1">IF($P18="","",10)</f>
        <v/>
      </c>
      <c r="B18" s="45" t="str">
        <f ca="1">IF($P18="","",IFERROR(IF(INDEX(Installs!$B$1:$B$200,$P18)="","",INDEX(Installs!$B$1:$B$200,$P18)),""))</f>
        <v/>
      </c>
      <c r="C18" s="45" t="str">
        <f ca="1">IF($P18="","",IFERROR(IF(INDEX(Installs!$M$1:$M$200,$P18)="","",INDEX(Installs!$M$1:$M$200,$P18)),""))</f>
        <v/>
      </c>
      <c r="D18" s="22" t="str">
        <f ca="1">IF($P18="","",IFERROR(IF(INDEX(Installs!$D$1:$D$200,$P18)="","",INDEX(Installs!$D$1:$D$200,$P18)),""))</f>
        <v/>
      </c>
      <c r="E18" s="31" t="str">
        <f ca="1">IF($P18="","",IFERROR(IF(INDEX(Installs!$E$1:$E$200,$P18)="","",INDEX(Installs!$E$1:$E$200,$P18)),""))</f>
        <v/>
      </c>
      <c r="F18" s="22" t="str">
        <f ca="1">IF($P18="","",IFERROR(IF(INDEX(Installs!$F$1:$F$200,$P18)="","",INDEX(Installs!$F$1:$F$200,$P18)),""))</f>
        <v/>
      </c>
      <c r="G18" s="22" t="str">
        <f ca="1">IF($P18="","",IFERROR(IF(INDEX(Installs!$G$1:$G$200,$P18)="","",INDEX(Installs!$G$1:$G$200,$P18)),""))</f>
        <v/>
      </c>
      <c r="H18" s="22" t="str">
        <f ca="1">IF($P18="","",IFERROR(IF(INDEX(Installs!$H$1:$H$200,$P18)="","",INDEX(Installs!$H$1:$H$200,$P18)),""))</f>
        <v/>
      </c>
      <c r="P18" s="34" t="str">
        <f ca="1">IFERROR(MATCH(10,Installs!$R$5:$R$200,0)+4,"")</f>
        <v/>
      </c>
    </row>
    <row r="19" spans="1:16" ht="15" customHeight="1" x14ac:dyDescent="0.25">
      <c r="A19" s="64" t="str">
        <f ca="1">IF(SUM(Installs!$Q$5:$Q$200)=0,"✓  Nothing flagged — no scheduled account is at risk right now.",IF(SUM(Installs!$Q$5:$Q$200)&gt;10,"Showing the first 10 of "&amp;SUM(Installs!$Q$5:$Q$200)&amp;" flagged accounts — the rest are the red rows on the Installs tab.","All "&amp;SUM(Installs!$Q$5:$Q$200)&amp;" flagged account(s) are listed above."))</f>
        <v>✓  Nothing flagged — no scheduled account is at risk right now.</v>
      </c>
      <c r="B19" s="64"/>
      <c r="C19" s="64"/>
      <c r="D19" s="64"/>
      <c r="E19" s="64"/>
      <c r="F19" s="64"/>
      <c r="G19" s="64"/>
      <c r="H19" s="64"/>
      <c r="I19" s="64"/>
      <c r="J19" s="64"/>
      <c r="K19" s="64"/>
      <c r="L19" s="64"/>
      <c r="M19" s="64"/>
    </row>
    <row r="21" spans="1:16" ht="19.5" customHeight="1" x14ac:dyDescent="0.25">
      <c r="A21" s="67" t="s">
        <v>226</v>
      </c>
      <c r="B21" s="67"/>
      <c r="C21" s="67"/>
      <c r="D21" s="67"/>
      <c r="E21" s="67"/>
      <c r="F21" s="67"/>
      <c r="G21" s="67"/>
      <c r="H21" s="67"/>
      <c r="I21" s="67"/>
      <c r="J21" s="67"/>
      <c r="K21" s="67"/>
      <c r="L21" s="67"/>
      <c r="M21" s="67"/>
    </row>
    <row r="22" spans="1:16" ht="15" customHeight="1" x14ac:dyDescent="0.25">
      <c r="A22" s="46" t="s">
        <v>227</v>
      </c>
      <c r="B22" s="46" t="s">
        <v>219</v>
      </c>
      <c r="C22" s="46" t="s">
        <v>228</v>
      </c>
      <c r="D22" s="46" t="s">
        <v>221</v>
      </c>
      <c r="E22" s="46" t="s">
        <v>222</v>
      </c>
      <c r="F22" s="46" t="s">
        <v>223</v>
      </c>
      <c r="G22" s="46" t="s">
        <v>224</v>
      </c>
      <c r="H22" s="46" t="s">
        <v>225</v>
      </c>
    </row>
    <row r="23" spans="1:16" x14ac:dyDescent="0.25">
      <c r="A23" s="47">
        <f ca="1">IF($P23="","",IFERROR(IF(ISNUMBER(INDEX(Installs!$E$1:$E$200,$P23)),INDEX(Installs!$E$1:$E$200,$P23)-TODAY(),"needs date"),""))</f>
        <v>-7</v>
      </c>
      <c r="B23" s="45" t="str">
        <f>IF($P23="","",IFERROR(IF(INDEX(Installs!$B$1:$B$200,$P23)="","",INDEX(Installs!$B$1:$B$200,$P23)),""))</f>
        <v>Ninfa's - Navigation</v>
      </c>
      <c r="C23" s="45" t="str">
        <f>IF($P23="","",IFERROR(IF(INDEX(Installs!$C$1:$C$200,$P23)="","",INDEX(Installs!$C$1:$C$200,$P23)),""))</f>
        <v>TB3</v>
      </c>
      <c r="D23" s="22" t="str">
        <f>IF($P23="","",IFERROR(IF(INDEX(Installs!$D$1:$D$200,$P23)="","",INDEX(Installs!$D$1:$D$200,$P23)),""))</f>
        <v>Ready</v>
      </c>
      <c r="E23" s="31">
        <f>IF($P23="","",IFERROR(IF(INDEX(Installs!$E$1:$E$200,$P23)="","",INDEX(Installs!$E$1:$E$200,$P23)),""))</f>
        <v>46247</v>
      </c>
      <c r="F23" s="22" t="str">
        <f>IF($P23="","",IFERROR(IF(INDEX(Installs!$F$1:$F$200,$P23)="","",INDEX(Installs!$F$1:$F$200,$P23)),""))</f>
        <v/>
      </c>
      <c r="G23" s="22" t="str">
        <f>IF($P23="","",IFERROR(IF(INDEX(Installs!$G$1:$G$200,$P23)="","",INDEX(Installs!$G$1:$G$200,$P23)),""))</f>
        <v/>
      </c>
      <c r="H23" s="22" t="str">
        <f>IF($P23="","",IFERROR(IF(INDEX(Installs!$H$1:$H$200,$P23)="","",INDEX(Installs!$H$1:$H$200,$P23)),""))</f>
        <v/>
      </c>
      <c r="P23" s="34">
        <f>IF(COUNTIF(Installs!$O$5:$O$200,"&lt;999999999")&lt;1,"",IFERROR(MOD(SMALL(Installs!$O$5:$O$200,1),10000)+4,""))</f>
        <v>33</v>
      </c>
    </row>
    <row r="24" spans="1:16" x14ac:dyDescent="0.25">
      <c r="A24" s="47">
        <f ca="1">IF($P24="","",IFERROR(IF(ISNUMBER(INDEX(Installs!$E$1:$E$200,$P24)),INDEX(Installs!$E$1:$E$200,$P24)-TODAY(),"needs date"),""))</f>
        <v>0</v>
      </c>
      <c r="B24" s="45" t="str">
        <f>IF($P24="","",IFERROR(IF(INDEX(Installs!$B$1:$B$200,$P24)="","",INDEX(Installs!$B$1:$B$200,$P24)),""))</f>
        <v>Southern Ice CO</v>
      </c>
      <c r="C24" s="45" t="str">
        <f>IF($P24="","",IFERROR(IF(INDEX(Installs!$C$1:$C$200,$P24)="","",INDEX(Installs!$C$1:$C$200,$P24)),""))</f>
        <v>bunn itcb</v>
      </c>
      <c r="D24" s="22" t="str">
        <f>IF($P24="","",IFERROR(IF(INDEX(Installs!$D$1:$D$200,$P24)="","",INDEX(Installs!$D$1:$D$200,$P24)),""))</f>
        <v>Ready</v>
      </c>
      <c r="E24" s="31">
        <f>IF($P24="","",IFERROR(IF(INDEX(Installs!$E$1:$E$200,$P24)="","",INDEX(Installs!$E$1:$E$200,$P24)),""))</f>
        <v>46254</v>
      </c>
      <c r="F24" s="22" t="str">
        <f>IF($P24="","",IFERROR(IF(INDEX(Installs!$F$1:$F$200,$P24)="","",INDEX(Installs!$F$1:$F$200,$P24)),""))</f>
        <v/>
      </c>
      <c r="G24" s="22" t="str">
        <f>IF($P24="","",IFERROR(IF(INDEX(Installs!$G$1:$G$200,$P24)="","",INDEX(Installs!$G$1:$G$200,$P24)),""))</f>
        <v>WO-0406</v>
      </c>
      <c r="H24" s="22" t="str">
        <f>IF($P24="","",IFERROR(IF(INDEX(Installs!$H$1:$H$200,$P24)="","",INDEX(Installs!$H$1:$H$200,$P24)),""))</f>
        <v>Ready</v>
      </c>
      <c r="P24" s="34">
        <f>IF(COUNTIF(Installs!$O$5:$O$200,"&lt;999999999")&lt;2,"",IFERROR(MOD(SMALL(Installs!$O$5:$O$200,2),10000)+4,""))</f>
        <v>52</v>
      </c>
    </row>
    <row r="25" spans="1:16" ht="15" customHeight="1" x14ac:dyDescent="0.25">
      <c r="A25" s="47" t="str">
        <f ca="1">IF($P25="","",IFERROR(IF(ISNUMBER(INDEX(Installs!$E$1:$E$200,$P25)),INDEX(Installs!$E$1:$E$200,$P25)-TODAY(),"needs date"),""))</f>
        <v>needs date</v>
      </c>
      <c r="B25" s="45" t="str">
        <f>IF($P25="","",IFERROR(IF(INDEX(Installs!$B$1:$B$200,$P25)="","",INDEX(Installs!$B$1:$B$200,$P25)),""))</f>
        <v>kol fac 118</v>
      </c>
      <c r="C25" s="45" t="str">
        <f>IF($P25="","",IFERROR(IF(INDEX(Installs!$C$1:$C$200,$P25)="","",INDEX(Installs!$C$1:$C$200,$P25)),""))</f>
        <v>cameo, itcb</v>
      </c>
      <c r="D25" s="22" t="str">
        <f>IF($P25="","",IFERROR(IF(INDEX(Installs!$D$1:$D$200,$P25)="","",INDEX(Installs!$D$1:$D$200,$P25)),""))</f>
        <v>Not Ready</v>
      </c>
      <c r="E25" s="31" t="str">
        <f>IF($P25="","",IFERROR(IF(INDEX(Installs!$E$1:$E$200,$P25)="","",INDEX(Installs!$E$1:$E$200,$P25)),""))</f>
        <v/>
      </c>
      <c r="F25" s="22" t="str">
        <f>IF($P25="","",IFERROR(IF(INDEX(Installs!$F$1:$F$200,$P25)="","",INDEX(Installs!$F$1:$F$200,$P25)),""))</f>
        <v/>
      </c>
      <c r="G25" s="22" t="str">
        <f>IF($P25="","",IFERROR(IF(INDEX(Installs!$G$1:$G$200,$P25)="","",INDEX(Installs!$G$1:$G$200,$P25)),""))</f>
        <v/>
      </c>
      <c r="H25" s="22" t="str">
        <f>IF($P25="","",IFERROR(IF(INDEX(Installs!$H$1:$H$200,$P25)="","",INDEX(Installs!$H$1:$H$200,$P25)),""))</f>
        <v/>
      </c>
      <c r="P25" s="34">
        <f>IF(COUNTIF(Installs!$O$5:$O$200,"&lt;999999999")&lt;3,"",IFERROR(MOD(SMALL(Installs!$O$5:$O$200,3),10000)+4,""))</f>
        <v>42</v>
      </c>
    </row>
    <row r="26" spans="1:16" ht="15" customHeight="1" x14ac:dyDescent="0.25">
      <c r="A26" s="47" t="str">
        <f ca="1">IF($P26="","",IFERROR(IF(ISNUMBER(INDEX(Installs!$E$1:$E$200,$P26)),INDEX(Installs!$E$1:$E$200,$P26)-TODAY(),"needs date"),""))</f>
        <v>needs date</v>
      </c>
      <c r="B26" s="45" t="str">
        <f>IF($P26="","",IFERROR(IF(INDEX(Installs!$B$1:$B$200,$P26)="","",INDEX(Installs!$B$1:$B$200,$P26)),""))</f>
        <v xml:space="preserve">Coco Crepes Bellaire </v>
      </c>
      <c r="C26" s="45" t="str">
        <f>IF($P26="","",IFERROR(IF(INDEX(Installs!$C$1:$C$200,$P26)="","",INDEX(Installs!$C$1:$C$200,$P26)),""))</f>
        <v>La Marzocco Linea Classic S 2 Group AV/ La Marzocco Swift Dual-Hopper Espresso Grinder/ Bunn Axiom-APS</v>
      </c>
      <c r="D26" s="22" t="str">
        <f>IF($P26="","",IFERROR(IF(INDEX(Installs!$D$1:$D$200,$P26)="","",INDEX(Installs!$D$1:$D$200,$P26)),""))</f>
        <v>Not Ready</v>
      </c>
      <c r="E26" s="31" t="str">
        <f>IF($P26="","",IFERROR(IF(INDEX(Installs!$E$1:$E$200,$P26)="","",INDEX(Installs!$E$1:$E$200,$P26)),""))</f>
        <v/>
      </c>
      <c r="F26" s="22" t="str">
        <f>IF($P26="","",IFERROR(IF(INDEX(Installs!$F$1:$F$200,$P26)="","",INDEX(Installs!$F$1:$F$200,$P26)),""))</f>
        <v/>
      </c>
      <c r="G26" s="22" t="str">
        <f>IF($P26="","",IFERROR(IF(INDEX(Installs!$G$1:$G$200,$P26)="","",INDEX(Installs!$G$1:$G$200,$P26)),""))</f>
        <v/>
      </c>
      <c r="H26" s="22" t="str">
        <f>IF($P26="","",IFERROR(IF(INDEX(Installs!$H$1:$H$200,$P26)="","",INDEX(Installs!$H$1:$H$200,$P26)),""))</f>
        <v/>
      </c>
      <c r="P26" s="34">
        <f>IF(COUNTIF(Installs!$O$5:$O$200,"&lt;999999999")&lt;4,"",IFERROR(MOD(SMALL(Installs!$O$5:$O$200,4),10000)+4,""))</f>
        <v>45</v>
      </c>
    </row>
    <row r="27" spans="1:16" ht="15" customHeight="1" x14ac:dyDescent="0.25">
      <c r="A27" s="47" t="str">
        <f ca="1">IF($P27="","",IFERROR(IF(ISNUMBER(INDEX(Installs!$E$1:$E$200,$P27)),INDEX(Installs!$E$1:$E$200,$P27)-TODAY(),"needs date"),""))</f>
        <v>needs date</v>
      </c>
      <c r="B27" s="45" t="str">
        <f>IF($P27="","",IFERROR(IF(INDEX(Installs!$B$1:$B$200,$P27)="","",INDEX(Installs!$B$1:$B$200,$P27)),""))</f>
        <v xml:space="preserve">waller county court house </v>
      </c>
      <c r="C27" s="45" t="str">
        <f>IF($P27="","",IFERROR(IF(INDEX(Installs!$C$1:$C$200,$P27)="","",INDEX(Installs!$C$1:$C$200,$P27)),""))</f>
        <v>axiom aps</v>
      </c>
      <c r="D27" s="22" t="str">
        <f>IF($P27="","",IFERROR(IF(INDEX(Installs!$D$1:$D$200,$P27)="","",INDEX(Installs!$D$1:$D$200,$P27)),""))</f>
        <v>Ready</v>
      </c>
      <c r="E27" s="31" t="str">
        <f>IF($P27="","",IFERROR(IF(INDEX(Installs!$E$1:$E$200,$P27)="","",INDEX(Installs!$E$1:$E$200,$P27)),""))</f>
        <v/>
      </c>
      <c r="F27" s="22" t="str">
        <f>IF($P27="","",IFERROR(IF(INDEX(Installs!$F$1:$F$200,$P27)="","",INDEX(Installs!$F$1:$F$200,$P27)),""))</f>
        <v/>
      </c>
      <c r="G27" s="22" t="str">
        <f>IF($P27="","",IFERROR(IF(INDEX(Installs!$G$1:$G$200,$P27)="","",INDEX(Installs!$G$1:$G$200,$P27)),""))</f>
        <v/>
      </c>
      <c r="H27" s="22" t="str">
        <f>IF($P27="","",IFERROR(IF(INDEX(Installs!$H$1:$H$200,$P27)="","",INDEX(Installs!$H$1:$H$200,$P27)),""))</f>
        <v>Not Ready</v>
      </c>
      <c r="P27" s="34">
        <f>IF(COUNTIF(Installs!$O$5:$O$200,"&lt;999999999")&lt;5,"",IFERROR(MOD(SMALL(Installs!$O$5:$O$200,5),10000)+4,""))</f>
        <v>48</v>
      </c>
    </row>
    <row r="28" spans="1:16" ht="15" customHeight="1" x14ac:dyDescent="0.25">
      <c r="A28" s="47" t="str">
        <f ca="1">IF($P28="","",IFERROR(IF(ISNUMBER(INDEX(Installs!$E$1:$E$200,$P28)),INDEX(Installs!$E$1:$E$200,$P28)-TODAY(),"needs date"),""))</f>
        <v>needs date</v>
      </c>
      <c r="B28" s="45" t="str">
        <f>IF($P28="","",IFERROR(IF(INDEX(Installs!$B$1:$B$200,$P28)="","",INDEX(Installs!$B$1:$B$200,$P28)),""))</f>
        <v>Doug's Diner</v>
      </c>
      <c r="C28" s="45" t="str">
        <f>IF($P28="","",IFERROR(IF(INDEX(Installs!$C$1:$C$200,$P28)="","",INDEX(Installs!$C$1:$C$200,$P28)),""))</f>
        <v>Fetco MBS x 2 / Powder Machine</v>
      </c>
      <c r="D28" s="22" t="str">
        <f>IF($P28="","",IFERROR(IF(INDEX(Installs!$D$1:$D$200,$P28)="","",INDEX(Installs!$D$1:$D$200,$P28)),""))</f>
        <v>Not Ready</v>
      </c>
      <c r="E28" s="31" t="str">
        <f>IF($P28="","",IFERROR(IF(INDEX(Installs!$E$1:$E$200,$P28)="","",INDEX(Installs!$E$1:$E$200,$P28)),""))</f>
        <v/>
      </c>
      <c r="F28" s="22" t="str">
        <f>IF($P28="","",IFERROR(IF(INDEX(Installs!$F$1:$F$200,$P28)="","",INDEX(Installs!$F$1:$F$200,$P28)),""))</f>
        <v>3rd Party</v>
      </c>
      <c r="G28" s="22" t="str">
        <f>IF($P28="","",IFERROR(IF(INDEX(Installs!$G$1:$G$200,$P28)="","",INDEX(Installs!$G$1:$G$200,$P28)),""))</f>
        <v/>
      </c>
      <c r="H28" s="22" t="str">
        <f>IF($P28="","",IFERROR(IF(INDEX(Installs!$H$1:$H$200,$P28)="","",INDEX(Installs!$H$1:$H$200,$P28)),""))</f>
        <v>Ready</v>
      </c>
      <c r="P28" s="34">
        <f>IF(COUNTIF(Installs!$O$5:$O$200,"&lt;999999999")&lt;6,"",IFERROR(MOD(SMALL(Installs!$O$5:$O$200,6),10000)+4,""))</f>
        <v>50</v>
      </c>
    </row>
    <row r="29" spans="1:16" ht="23.25" customHeight="1" x14ac:dyDescent="0.25">
      <c r="A29" s="47" t="str">
        <f ca="1">IF($P29="","",IFERROR(IF(ISNUMBER(INDEX(Installs!$E$1:$E$200,$P29)),INDEX(Installs!$E$1:$E$200,$P29)-TODAY(),"needs date"),""))</f>
        <v>needs date</v>
      </c>
      <c r="B29" s="45" t="str">
        <f>IF($P29="","",IFERROR(IF(INDEX(Installs!$B$1:$B$200,$P29)="","",INDEX(Installs!$B$1:$B$200,$P29)),""))</f>
        <v>Two Step Taqueria - South</v>
      </c>
      <c r="C29" s="45" t="str">
        <f>IF($P29="","",IFERROR(IF(INDEX(Installs!$C$1:$C$200,$P29)="","",INDEX(Installs!$C$1:$C$200,$P29)),""))</f>
        <v/>
      </c>
      <c r="D29" s="22" t="str">
        <f>IF($P29="","",IFERROR(IF(INDEX(Installs!$D$1:$D$200,$P29)="","",INDEX(Installs!$D$1:$D$200,$P29)),""))</f>
        <v>Not Ready</v>
      </c>
      <c r="E29" s="31" t="str">
        <f>IF($P29="","",IFERROR(IF(INDEX(Installs!$E$1:$E$200,$P29)="","",INDEX(Installs!$E$1:$E$200,$P29)),""))</f>
        <v/>
      </c>
      <c r="F29" s="22" t="str">
        <f>IF($P29="","",IFERROR(IF(INDEX(Installs!$F$1:$F$200,$P29)="","",INDEX(Installs!$F$1:$F$200,$P29)),""))</f>
        <v>Lance</v>
      </c>
      <c r="G29" s="22" t="str">
        <f>IF($P29="","",IFERROR(IF(INDEX(Installs!$G$1:$G$200,$P29)="","",INDEX(Installs!$G$1:$G$200,$P29)),""))</f>
        <v/>
      </c>
      <c r="H29" s="22" t="str">
        <f>IF($P29="","",IFERROR(IF(INDEX(Installs!$H$1:$H$200,$P29)="","",INDEX(Installs!$H$1:$H$200,$P29)),""))</f>
        <v/>
      </c>
      <c r="P29" s="34">
        <f>IF(COUNTIF(Installs!$O$5:$O$200,"&lt;999999999")&lt;7,"",IFERROR(MOD(SMALL(Installs!$O$5:$O$200,7),10000)+4,""))</f>
        <v>51</v>
      </c>
    </row>
    <row r="30" spans="1:16" ht="15" customHeight="1" x14ac:dyDescent="0.25">
      <c r="A30" s="47" t="str">
        <f ca="1">IF($P30="","",IFERROR(IF(ISNUMBER(INDEX(Installs!$E$1:$E$200,$P30)),INDEX(Installs!$E$1:$E$200,$P30)-TODAY(),"needs date"),""))</f>
        <v>needs date</v>
      </c>
      <c r="B30" s="45" t="str">
        <f>IF($P30="","",IFERROR(IF(INDEX(Installs!$B$1:$B$200,$P30)="","",INDEX(Installs!$B$1:$B$200,$P30)),""))</f>
        <v>Scrambles Breakfast &amp; Lunch</v>
      </c>
      <c r="C30" s="45" t="str">
        <f>IF($P30="","",IFERROR(IF(INDEX(Installs!$C$1:$C$200,$P30)="","",INDEX(Installs!$C$1:$C$200,$P30)),""))</f>
        <v xml:space="preserve">BUNN ITCB &amp; BUNN G9 GRINDER </v>
      </c>
      <c r="D30" s="22" t="str">
        <f>IF($P30="","",IFERROR(IF(INDEX(Installs!$D$1:$D$200,$P30)="","",INDEX(Installs!$D$1:$D$200,$P30)),""))</f>
        <v/>
      </c>
      <c r="E30" s="31" t="str">
        <f>IF($P30="","",IFERROR(IF(INDEX(Installs!$E$1:$E$200,$P30)="","",INDEX(Installs!$E$1:$E$200,$P30)),""))</f>
        <v/>
      </c>
      <c r="F30" s="22" t="str">
        <f>IF($P30="","",IFERROR(IF(INDEX(Installs!$F$1:$F$200,$P30)="","",INDEX(Installs!$F$1:$F$200,$P30)),""))</f>
        <v/>
      </c>
      <c r="G30" s="22" t="str">
        <f>IF($P30="","",IFERROR(IF(INDEX(Installs!$G$1:$G$200,$P30)="","",INDEX(Installs!$G$1:$G$200,$P30)),""))</f>
        <v/>
      </c>
      <c r="H30" s="22" t="str">
        <f>IF($P30="","",IFERROR(IF(INDEX(Installs!$H$1:$H$200,$P30)="","",INDEX(Installs!$H$1:$H$200,$P30)),""))</f>
        <v/>
      </c>
      <c r="P30" s="34">
        <f>IF(COUNTIF(Installs!$O$5:$O$200,"&lt;999999999")&lt;8,"",IFERROR(MOD(SMALL(Installs!$O$5:$O$200,8),10000)+4,""))</f>
        <v>53</v>
      </c>
    </row>
    <row r="31" spans="1:16" ht="15" customHeight="1" x14ac:dyDescent="0.25">
      <c r="A31" s="47" t="str">
        <f ca="1">IF($P31="","",IFERROR(IF(ISNUMBER(INDEX(Installs!$E$1:$E$200,$P31)),INDEX(Installs!$E$1:$E$200,$P31)-TODAY(),"needs date"),""))</f>
        <v>needs date</v>
      </c>
      <c r="B31" s="45" t="str">
        <f>IF($P31="","",IFERROR(IF(INDEX(Installs!$B$1:$B$200,$P31)="","",INDEX(Installs!$B$1:$B$200,$P31)),""))</f>
        <v>Truffle &amp; Rye</v>
      </c>
      <c r="C31" s="45" t="str">
        <f>IF($P31="","",IFERROR(IF(INDEX(Installs!$C$1:$C$200,$P31)="","",INDEX(Installs!$C$1:$C$200,$P31)),""))</f>
        <v>La Marz GS3, jay grinder</v>
      </c>
      <c r="D31" s="22" t="str">
        <f>IF($P31="","",IFERROR(IF(INDEX(Installs!$D$1:$D$200,$P31)="","",INDEX(Installs!$D$1:$D$200,$P31)),""))</f>
        <v/>
      </c>
      <c r="E31" s="31" t="str">
        <f>IF($P31="","",IFERROR(IF(INDEX(Installs!$E$1:$E$200,$P31)="","",INDEX(Installs!$E$1:$E$200,$P31)),""))</f>
        <v/>
      </c>
      <c r="F31" s="22" t="str">
        <f>IF($P31="","",IFERROR(IF(INDEX(Installs!$F$1:$F$200,$P31)="","",INDEX(Installs!$F$1:$F$200,$P31)),""))</f>
        <v/>
      </c>
      <c r="G31" s="22" t="str">
        <f>IF($P31="","",IFERROR(IF(INDEX(Installs!$G$1:$G$200,$P31)="","",INDEX(Installs!$G$1:$G$200,$P31)),""))</f>
        <v/>
      </c>
      <c r="H31" s="22" t="str">
        <f>IF($P31="","",IFERROR(IF(INDEX(Installs!$H$1:$H$200,$P31)="","",INDEX(Installs!$H$1:$H$200,$P31)),""))</f>
        <v/>
      </c>
      <c r="P31" s="34">
        <f>IF(COUNTIF(Installs!$O$5:$O$200,"&lt;999999999")&lt;9,"",IFERROR(MOD(SMALL(Installs!$O$5:$O$200,9),10000)+4,""))</f>
        <v>161</v>
      </c>
    </row>
    <row r="32" spans="1:16" ht="15" customHeight="1" x14ac:dyDescent="0.25">
      <c r="A32" s="47" t="str">
        <f ca="1">IF($P32="","",IFERROR(IF(ISNUMBER(INDEX(Installs!$E$1:$E$200,$P32)),INDEX(Installs!$E$1:$E$200,$P32)-TODAY(),"needs date"),""))</f>
        <v>needs date</v>
      </c>
      <c r="B32" s="45" t="str">
        <f>IF($P32="","",IFERROR(IF(INDEX(Installs!$B$1:$B$200,$P32)="","",INDEX(Installs!$B$1:$B$200,$P32)),""))</f>
        <v>Jonathan's The Rub - Bridgeland</v>
      </c>
      <c r="C32" s="45" t="str">
        <f>IF($P32="","",IFERROR(IF(INDEX(Installs!$C$1:$C$200,$P32)="","",INDEX(Installs!$C$1:$C$200,$P32)),""))</f>
        <v>Cameo c'2s</v>
      </c>
      <c r="D32" s="22" t="str">
        <f>IF($P32="","",IFERROR(IF(INDEX(Installs!$D$1:$D$200,$P32)="","",INDEX(Installs!$D$1:$D$200,$P32)),""))</f>
        <v/>
      </c>
      <c r="E32" s="31" t="str">
        <f>IF($P32="","",IFERROR(IF(INDEX(Installs!$E$1:$E$200,$P32)="","",INDEX(Installs!$E$1:$E$200,$P32)),""))</f>
        <v/>
      </c>
      <c r="F32" s="22" t="str">
        <f>IF($P32="","",IFERROR(IF(INDEX(Installs!$F$1:$F$200,$P32)="","",INDEX(Installs!$F$1:$F$200,$P32)),""))</f>
        <v/>
      </c>
      <c r="G32" s="22" t="str">
        <f>IF($P32="","",IFERROR(IF(INDEX(Installs!$G$1:$G$200,$P32)="","",INDEX(Installs!$G$1:$G$200,$P32)),""))</f>
        <v/>
      </c>
      <c r="H32" s="22" t="str">
        <f>IF($P32="","",IFERROR(IF(INDEX(Installs!$H$1:$H$200,$P32)="","",INDEX(Installs!$H$1:$H$200,$P32)),""))</f>
        <v/>
      </c>
      <c r="P32" s="34">
        <f>IF(COUNTIF(Installs!$O$5:$O$200,"&lt;999999999")&lt;10,"",IFERROR(MOD(SMALL(Installs!$O$5:$O$200,10),10000)+4,""))</f>
        <v>162</v>
      </c>
    </row>
    <row r="33" spans="1:16" ht="15" customHeight="1" x14ac:dyDescent="0.25">
      <c r="A33" s="47" t="str">
        <f ca="1">IF($P33="","",IFERROR(IF(ISNUMBER(INDEX(Installs!$E$1:$E$200,$P33)),INDEX(Installs!$E$1:$E$200,$P33)-TODAY(),"needs date"),""))</f>
        <v>needs date</v>
      </c>
      <c r="B33" s="45" t="str">
        <f>IF($P33="","",IFERROR(IF(INDEX(Installs!$B$1:$B$200,$P33)="","",INDEX(Installs!$B$1:$B$200,$P33)),""))</f>
        <v>Valentinas Coffee</v>
      </c>
      <c r="C33" s="45" t="str">
        <f>IF($P33="","",IFERROR(IF(INDEX(Installs!$C$1:$C$200,$P33)="","",INDEX(Installs!$C$1:$C$200,$P33)),""))</f>
        <v>La Marzocco Strada XT 2 Group, Mazzer ZM Filter Grinder - Black, Mazzer Robur S Electronic, Puqpress Q2 Automatic Tamper BLACK, Everpure EZ-RO 200/10 Gallon Hydropneumatic Tank, Blendtec Stealth 885, Blendtec Rapid Rinse Station</v>
      </c>
      <c r="D33" s="22" t="str">
        <f>IF($P33="","",IFERROR(IF(INDEX(Installs!$D$1:$D$200,$P33)="","",INDEX(Installs!$D$1:$D$200,$P33)),""))</f>
        <v/>
      </c>
      <c r="E33" s="31" t="str">
        <f>IF($P33="","",IFERROR(IF(INDEX(Installs!$E$1:$E$200,$P33)="","",INDEX(Installs!$E$1:$E$200,$P33)),""))</f>
        <v/>
      </c>
      <c r="F33" s="22" t="str">
        <f>IF($P33="","",IFERROR(IF(INDEX(Installs!$F$1:$F$200,$P33)="","",INDEX(Installs!$F$1:$F$200,$P33)),""))</f>
        <v/>
      </c>
      <c r="G33" s="22" t="str">
        <f>IF($P33="","",IFERROR(IF(INDEX(Installs!$G$1:$G$200,$P33)="","",INDEX(Installs!$G$1:$G$200,$P33)),""))</f>
        <v/>
      </c>
      <c r="H33" s="22" t="str">
        <f>IF($P33="","",IFERROR(IF(INDEX(Installs!$H$1:$H$200,$P33)="","",INDEX(Installs!$H$1:$H$200,$P33)),""))</f>
        <v/>
      </c>
      <c r="P33" s="34">
        <f>IF(COUNTIF(Installs!$O$5:$O$200,"&lt;999999999")&lt;11,"",IFERROR(MOD(SMALL(Installs!$O$5:$O$200,11),10000)+4,""))</f>
        <v>163</v>
      </c>
    </row>
    <row r="34" spans="1:16" ht="15" customHeight="1" x14ac:dyDescent="0.25">
      <c r="A34" s="47" t="str">
        <f ca="1">IF($P34="","",IFERROR(IF(ISNUMBER(INDEX(Installs!$E$1:$E$200,$P34)),INDEX(Installs!$E$1:$E$200,$P34)-TODAY(),"needs date"),""))</f>
        <v>needs date</v>
      </c>
      <c r="B34" s="45" t="str">
        <f>IF($P34="","",IFERROR(IF(INDEX(Installs!$B$1:$B$200,$P34)="","",INDEX(Installs!$B$1:$B$200,$P34)),""))</f>
        <v>The Audrey Restaurant &amp; Bar Post Oak</v>
      </c>
      <c r="C34" s="45" t="str">
        <f>IF($P34="","",IFERROR(IF(INDEX(Installs!$C$1:$C$200,$P34)="","",INDEX(Installs!$C$1:$C$200,$P34)),""))</f>
        <v>Eversys Cameo c'2s</v>
      </c>
      <c r="D34" s="22" t="str">
        <f>IF($P34="","",IFERROR(IF(INDEX(Installs!$D$1:$D$200,$P34)="","",INDEX(Installs!$D$1:$D$200,$P34)),""))</f>
        <v/>
      </c>
      <c r="E34" s="31" t="str">
        <f>IF($P34="","",IFERROR(IF(INDEX(Installs!$E$1:$E$200,$P34)="","",INDEX(Installs!$E$1:$E$200,$P34)),""))</f>
        <v/>
      </c>
      <c r="F34" s="22" t="str">
        <f>IF($P34="","",IFERROR(IF(INDEX(Installs!$F$1:$F$200,$P34)="","",INDEX(Installs!$F$1:$F$200,$P34)),""))</f>
        <v/>
      </c>
      <c r="G34" s="22" t="str">
        <f>IF($P34="","",IFERROR(IF(INDEX(Installs!$G$1:$G$200,$P34)="","",INDEX(Installs!$G$1:$G$200,$P34)),""))</f>
        <v/>
      </c>
      <c r="H34" s="22" t="str">
        <f>IF($P34="","",IFERROR(IF(INDEX(Installs!$H$1:$H$200,$P34)="","",INDEX(Installs!$H$1:$H$200,$P34)),""))</f>
        <v/>
      </c>
      <c r="P34" s="34">
        <f>IF(COUNTIF(Installs!$O$5:$O$200,"&lt;999999999")&lt;12,"",IFERROR(MOD(SMALL(Installs!$O$5:$O$200,12),10000)+4,""))</f>
        <v>164</v>
      </c>
    </row>
    <row r="35" spans="1:16" ht="15" customHeight="1" x14ac:dyDescent="0.25">
      <c r="A35" s="47" t="str">
        <f ca="1">IF($P35="","",IFERROR(IF(ISNUMBER(INDEX(Installs!$E$1:$E$200,$P35)),INDEX(Installs!$E$1:$E$200,$P35)-TODAY(),"needs date"),""))</f>
        <v>needs date</v>
      </c>
      <c r="B35" s="45" t="str">
        <f>IF($P35="","",IFERROR(IF(INDEX(Installs!$B$1:$B$200,$P35)="","",INDEX(Installs!$B$1:$B$200,$P35)),""))</f>
        <v>Brews &amp; Books</v>
      </c>
      <c r="C35" s="45" t="str">
        <f>IF($P35="","",IFERROR(IF(INDEX(Installs!$C$1:$C$200,$P35)="","",INDEX(Installs!$C$1:$C$200,$P35)),""))</f>
        <v>Eversys Cameo c'2s</v>
      </c>
      <c r="D35" s="22" t="str">
        <f>IF($P35="","",IFERROR(IF(INDEX(Installs!$D$1:$D$200,$P35)="","",INDEX(Installs!$D$1:$D$200,$P35)),""))</f>
        <v/>
      </c>
      <c r="E35" s="31" t="str">
        <f>IF($P35="","",IFERROR(IF(INDEX(Installs!$E$1:$E$200,$P35)="","",INDEX(Installs!$E$1:$E$200,$P35)),""))</f>
        <v/>
      </c>
      <c r="F35" s="22" t="str">
        <f>IF($P35="","",IFERROR(IF(INDEX(Installs!$F$1:$F$200,$P35)="","",INDEX(Installs!$F$1:$F$200,$P35)),""))</f>
        <v/>
      </c>
      <c r="G35" s="22" t="str">
        <f>IF($P35="","",IFERROR(IF(INDEX(Installs!$G$1:$G$200,$P35)="","",INDEX(Installs!$G$1:$G$200,$P35)),""))</f>
        <v/>
      </c>
      <c r="H35" s="22" t="str">
        <f>IF($P35="","",IFERROR(IF(INDEX(Installs!$H$1:$H$200,$P35)="","",INDEX(Installs!$H$1:$H$200,$P35)),""))</f>
        <v/>
      </c>
      <c r="P35" s="34">
        <f>IF(COUNTIF(Installs!$O$5:$O$200,"&lt;999999999")&lt;13,"",IFERROR(MOD(SMALL(Installs!$O$5:$O$200,13),10000)+4,""))</f>
        <v>165</v>
      </c>
    </row>
    <row r="36" spans="1:16" ht="15" customHeight="1" x14ac:dyDescent="0.25">
      <c r="A36" s="47" t="str">
        <f ca="1">IF($P36="","",IFERROR(IF(ISNUMBER(INDEX(Installs!$E$1:$E$200,$P36)),INDEX(Installs!$E$1:$E$200,$P36)-TODAY(),"needs date"),""))</f>
        <v/>
      </c>
      <c r="B36" s="45" t="str">
        <f>IF($P36="","",IFERROR(IF(INDEX(Installs!$B$1:$B$200,$P36)="","",INDEX(Installs!$B$1:$B$200,$P36)),""))</f>
        <v/>
      </c>
      <c r="C36" s="45" t="str">
        <f>IF($P36="","",IFERROR(IF(INDEX(Installs!$C$1:$C$200,$P36)="","",INDEX(Installs!$C$1:$C$200,$P36)),""))</f>
        <v/>
      </c>
      <c r="D36" s="22" t="str">
        <f>IF($P36="","",IFERROR(IF(INDEX(Installs!$D$1:$D$200,$P36)="","",INDEX(Installs!$D$1:$D$200,$P36)),""))</f>
        <v/>
      </c>
      <c r="E36" s="31" t="str">
        <f>IF($P36="","",IFERROR(IF(INDEX(Installs!$E$1:$E$200,$P36)="","",INDEX(Installs!$E$1:$E$200,$P36)),""))</f>
        <v/>
      </c>
      <c r="F36" s="22" t="str">
        <f>IF($P36="","",IFERROR(IF(INDEX(Installs!$F$1:$F$200,$P36)="","",INDEX(Installs!$F$1:$F$200,$P36)),""))</f>
        <v/>
      </c>
      <c r="G36" s="22" t="str">
        <f>IF($P36="","",IFERROR(IF(INDEX(Installs!$G$1:$G$200,$P36)="","",INDEX(Installs!$G$1:$G$200,$P36)),""))</f>
        <v/>
      </c>
      <c r="H36" s="22" t="str">
        <f>IF($P36="","",IFERROR(IF(INDEX(Installs!$H$1:$H$200,$P36)="","",INDEX(Installs!$H$1:$H$200,$P36)),""))</f>
        <v/>
      </c>
      <c r="P36" s="34" t="str">
        <f>IF(COUNTIF(Installs!$O$5:$O$200,"&lt;999999999")&lt;14,"",IFERROR(MOD(SMALL(Installs!$O$5:$O$200,14),10000)+4,""))</f>
        <v/>
      </c>
    </row>
    <row r="37" spans="1:16" ht="15" customHeight="1" x14ac:dyDescent="0.25">
      <c r="A37" s="47" t="str">
        <f ca="1">IF($P37="","",IFERROR(IF(ISNUMBER(INDEX(Installs!$E$1:$E$200,$P37)),INDEX(Installs!$E$1:$E$200,$P37)-TODAY(),"needs date"),""))</f>
        <v/>
      </c>
      <c r="B37" s="45" t="str">
        <f>IF($P37="","",IFERROR(IF(INDEX(Installs!$B$1:$B$200,$P37)="","",INDEX(Installs!$B$1:$B$200,$P37)),""))</f>
        <v/>
      </c>
      <c r="C37" s="45" t="str">
        <f>IF($P37="","",IFERROR(IF(INDEX(Installs!$C$1:$C$200,$P37)="","",INDEX(Installs!$C$1:$C$200,$P37)),""))</f>
        <v/>
      </c>
      <c r="D37" s="22" t="str">
        <f>IF($P37="","",IFERROR(IF(INDEX(Installs!$D$1:$D$200,$P37)="","",INDEX(Installs!$D$1:$D$200,$P37)),""))</f>
        <v/>
      </c>
      <c r="E37" s="31" t="str">
        <f>IF($P37="","",IFERROR(IF(INDEX(Installs!$E$1:$E$200,$P37)="","",INDEX(Installs!$E$1:$E$200,$P37)),""))</f>
        <v/>
      </c>
      <c r="F37" s="22" t="str">
        <f>IF($P37="","",IFERROR(IF(INDEX(Installs!$F$1:$F$200,$P37)="","",INDEX(Installs!$F$1:$F$200,$P37)),""))</f>
        <v/>
      </c>
      <c r="G37" s="22" t="str">
        <f>IF($P37="","",IFERROR(IF(INDEX(Installs!$G$1:$G$200,$P37)="","",INDEX(Installs!$G$1:$G$200,$P37)),""))</f>
        <v/>
      </c>
      <c r="H37" s="22" t="str">
        <f>IF($P37="","",IFERROR(IF(INDEX(Installs!$H$1:$H$200,$P37)="","",INDEX(Installs!$H$1:$H$200,$P37)),""))</f>
        <v/>
      </c>
      <c r="P37" s="34" t="str">
        <f>IF(COUNTIF(Installs!$O$5:$O$200,"&lt;999999999")&lt;15,"",IFERROR(MOD(SMALL(Installs!$O$5:$O$200,15),10000)+4,""))</f>
        <v/>
      </c>
    </row>
    <row r="38" spans="1:16" ht="15" customHeight="1" x14ac:dyDescent="0.25">
      <c r="A38" s="47" t="str">
        <f ca="1">IF($P38="","",IFERROR(IF(ISNUMBER(INDEX(Installs!$E$1:$E$200,$P38)),INDEX(Installs!$E$1:$E$200,$P38)-TODAY(),"needs date"),""))</f>
        <v/>
      </c>
      <c r="B38" s="45" t="str">
        <f>IF($P38="","",IFERROR(IF(INDEX(Installs!$B$1:$B$200,$P38)="","",INDEX(Installs!$B$1:$B$200,$P38)),""))</f>
        <v/>
      </c>
      <c r="C38" s="45" t="str">
        <f>IF($P38="","",IFERROR(IF(INDEX(Installs!$C$1:$C$200,$P38)="","",INDEX(Installs!$C$1:$C$200,$P38)),""))</f>
        <v/>
      </c>
      <c r="D38" s="22" t="str">
        <f>IF($P38="","",IFERROR(IF(INDEX(Installs!$D$1:$D$200,$P38)="","",INDEX(Installs!$D$1:$D$200,$P38)),""))</f>
        <v/>
      </c>
      <c r="E38" s="31" t="str">
        <f>IF($P38="","",IFERROR(IF(INDEX(Installs!$E$1:$E$200,$P38)="","",INDEX(Installs!$E$1:$E$200,$P38)),""))</f>
        <v/>
      </c>
      <c r="F38" s="22" t="str">
        <f>IF($P38="","",IFERROR(IF(INDEX(Installs!$F$1:$F$200,$P38)="","",INDEX(Installs!$F$1:$F$200,$P38)),""))</f>
        <v/>
      </c>
      <c r="G38" s="22" t="str">
        <f>IF($P38="","",IFERROR(IF(INDEX(Installs!$G$1:$G$200,$P38)="","",INDEX(Installs!$G$1:$G$200,$P38)),""))</f>
        <v/>
      </c>
      <c r="H38" s="22" t="str">
        <f>IF($P38="","",IFERROR(IF(INDEX(Installs!$H$1:$H$200,$P38)="","",INDEX(Installs!$H$1:$H$200,$P38)),""))</f>
        <v/>
      </c>
      <c r="P38" s="34" t="str">
        <f>IF(COUNTIF(Installs!$O$5:$O$200,"&lt;999999999")&lt;16,"",IFERROR(MOD(SMALL(Installs!$O$5:$O$200,16),10000)+4,""))</f>
        <v/>
      </c>
    </row>
    <row r="39" spans="1:16" ht="15" customHeight="1" x14ac:dyDescent="0.25">
      <c r="A39" s="47" t="str">
        <f ca="1">IF($P39="","",IFERROR(IF(ISNUMBER(INDEX(Installs!$E$1:$E$200,$P39)),INDEX(Installs!$E$1:$E$200,$P39)-TODAY(),"needs date"),""))</f>
        <v/>
      </c>
      <c r="B39" s="45" t="str">
        <f>IF($P39="","",IFERROR(IF(INDEX(Installs!$B$1:$B$200,$P39)="","",INDEX(Installs!$B$1:$B$200,$P39)),""))</f>
        <v/>
      </c>
      <c r="C39" s="45" t="str">
        <f>IF($P39="","",IFERROR(IF(INDEX(Installs!$C$1:$C$200,$P39)="","",INDEX(Installs!$C$1:$C$200,$P39)),""))</f>
        <v/>
      </c>
      <c r="D39" s="22" t="str">
        <f>IF($P39="","",IFERROR(IF(INDEX(Installs!$D$1:$D$200,$P39)="","",INDEX(Installs!$D$1:$D$200,$P39)),""))</f>
        <v/>
      </c>
      <c r="E39" s="31" t="str">
        <f>IF($P39="","",IFERROR(IF(INDEX(Installs!$E$1:$E$200,$P39)="","",INDEX(Installs!$E$1:$E$200,$P39)),""))</f>
        <v/>
      </c>
      <c r="F39" s="22" t="str">
        <f>IF($P39="","",IFERROR(IF(INDEX(Installs!$F$1:$F$200,$P39)="","",INDEX(Installs!$F$1:$F$200,$P39)),""))</f>
        <v/>
      </c>
      <c r="G39" s="22" t="str">
        <f>IF($P39="","",IFERROR(IF(INDEX(Installs!$G$1:$G$200,$P39)="","",INDEX(Installs!$G$1:$G$200,$P39)),""))</f>
        <v/>
      </c>
      <c r="H39" s="22" t="str">
        <f>IF($P39="","",IFERROR(IF(INDEX(Installs!$H$1:$H$200,$P39)="","",INDEX(Installs!$H$1:$H$200,$P39)),""))</f>
        <v/>
      </c>
      <c r="P39" s="34" t="str">
        <f>IF(COUNTIF(Installs!$O$5:$O$200,"&lt;999999999")&lt;17,"",IFERROR(MOD(SMALL(Installs!$O$5:$O$200,17),10000)+4,""))</f>
        <v/>
      </c>
    </row>
    <row r="40" spans="1:16" ht="15" customHeight="1" x14ac:dyDescent="0.25">
      <c r="A40" s="47" t="str">
        <f ca="1">IF($P40="","",IFERROR(IF(ISNUMBER(INDEX(Installs!$E$1:$E$200,$P40)),INDEX(Installs!$E$1:$E$200,$P40)-TODAY(),"needs date"),""))</f>
        <v/>
      </c>
      <c r="B40" s="45" t="str">
        <f>IF($P40="","",IFERROR(IF(INDEX(Installs!$B$1:$B$200,$P40)="","",INDEX(Installs!$B$1:$B$200,$P40)),""))</f>
        <v/>
      </c>
      <c r="C40" s="45" t="str">
        <f>IF($P40="","",IFERROR(IF(INDEX(Installs!$C$1:$C$200,$P40)="","",INDEX(Installs!$C$1:$C$200,$P40)),""))</f>
        <v/>
      </c>
      <c r="D40" s="22" t="str">
        <f>IF($P40="","",IFERROR(IF(INDEX(Installs!$D$1:$D$200,$P40)="","",INDEX(Installs!$D$1:$D$200,$P40)),""))</f>
        <v/>
      </c>
      <c r="E40" s="31" t="str">
        <f>IF($P40="","",IFERROR(IF(INDEX(Installs!$E$1:$E$200,$P40)="","",INDEX(Installs!$E$1:$E$200,$P40)),""))</f>
        <v/>
      </c>
      <c r="F40" s="22" t="str">
        <f>IF($P40="","",IFERROR(IF(INDEX(Installs!$F$1:$F$200,$P40)="","",INDEX(Installs!$F$1:$F$200,$P40)),""))</f>
        <v/>
      </c>
      <c r="G40" s="22" t="str">
        <f>IF($P40="","",IFERROR(IF(INDEX(Installs!$G$1:$G$200,$P40)="","",INDEX(Installs!$G$1:$G$200,$P40)),""))</f>
        <v/>
      </c>
      <c r="H40" s="22" t="str">
        <f>IF($P40="","",IFERROR(IF(INDEX(Installs!$H$1:$H$200,$P40)="","",INDEX(Installs!$H$1:$H$200,$P40)),""))</f>
        <v/>
      </c>
      <c r="P40" s="34" t="str">
        <f>IF(COUNTIF(Installs!$O$5:$O$200,"&lt;999999999")&lt;18,"",IFERROR(MOD(SMALL(Installs!$O$5:$O$200,18),10000)+4,""))</f>
        <v/>
      </c>
    </row>
    <row r="41" spans="1:16" ht="15" customHeight="1" x14ac:dyDescent="0.25">
      <c r="A41" s="47" t="str">
        <f ca="1">IF($P41="","",IFERROR(IF(ISNUMBER(INDEX(Installs!$E$1:$E$200,$P41)),INDEX(Installs!$E$1:$E$200,$P41)-TODAY(),"needs date"),""))</f>
        <v/>
      </c>
      <c r="B41" s="45" t="str">
        <f>IF($P41="","",IFERROR(IF(INDEX(Installs!$B$1:$B$200,$P41)="","",INDEX(Installs!$B$1:$B$200,$P41)),""))</f>
        <v/>
      </c>
      <c r="C41" s="45" t="str">
        <f>IF($P41="","",IFERROR(IF(INDEX(Installs!$C$1:$C$200,$P41)="","",INDEX(Installs!$C$1:$C$200,$P41)),""))</f>
        <v/>
      </c>
      <c r="D41" s="22" t="str">
        <f>IF($P41="","",IFERROR(IF(INDEX(Installs!$D$1:$D$200,$P41)="","",INDEX(Installs!$D$1:$D$200,$P41)),""))</f>
        <v/>
      </c>
      <c r="E41" s="31" t="str">
        <f>IF($P41="","",IFERROR(IF(INDEX(Installs!$E$1:$E$200,$P41)="","",INDEX(Installs!$E$1:$E$200,$P41)),""))</f>
        <v/>
      </c>
      <c r="F41" s="22" t="str">
        <f>IF($P41="","",IFERROR(IF(INDEX(Installs!$F$1:$F$200,$P41)="","",INDEX(Installs!$F$1:$F$200,$P41)),""))</f>
        <v/>
      </c>
      <c r="G41" s="22" t="str">
        <f>IF($P41="","",IFERROR(IF(INDEX(Installs!$G$1:$G$200,$P41)="","",INDEX(Installs!$G$1:$G$200,$P41)),""))</f>
        <v/>
      </c>
      <c r="H41" s="22" t="str">
        <f>IF($P41="","",IFERROR(IF(INDEX(Installs!$H$1:$H$200,$P41)="","",INDEX(Installs!$H$1:$H$200,$P41)),""))</f>
        <v/>
      </c>
      <c r="P41" s="34" t="str">
        <f>IF(COUNTIF(Installs!$O$5:$O$200,"&lt;999999999")&lt;19,"",IFERROR(MOD(SMALL(Installs!$O$5:$O$200,19),10000)+4,""))</f>
        <v/>
      </c>
    </row>
    <row r="42" spans="1:16" ht="15" customHeight="1" x14ac:dyDescent="0.25">
      <c r="A42" s="47" t="str">
        <f ca="1">IF($P42="","",IFERROR(IF(ISNUMBER(INDEX(Installs!$E$1:$E$200,$P42)),INDEX(Installs!$E$1:$E$200,$P42)-TODAY(),"needs date"),""))</f>
        <v/>
      </c>
      <c r="B42" s="45" t="str">
        <f>IF($P42="","",IFERROR(IF(INDEX(Installs!$B$1:$B$200,$P42)="","",INDEX(Installs!$B$1:$B$200,$P42)),""))</f>
        <v/>
      </c>
      <c r="C42" s="45" t="str">
        <f>IF($P42="","",IFERROR(IF(INDEX(Installs!$C$1:$C$200,$P42)="","",INDEX(Installs!$C$1:$C$200,$P42)),""))</f>
        <v/>
      </c>
      <c r="D42" s="22" t="str">
        <f>IF($P42="","",IFERROR(IF(INDEX(Installs!$D$1:$D$200,$P42)="","",INDEX(Installs!$D$1:$D$200,$P42)),""))</f>
        <v/>
      </c>
      <c r="E42" s="31" t="str">
        <f>IF($P42="","",IFERROR(IF(INDEX(Installs!$E$1:$E$200,$P42)="","",INDEX(Installs!$E$1:$E$200,$P42)),""))</f>
        <v/>
      </c>
      <c r="F42" s="22" t="str">
        <f>IF($P42="","",IFERROR(IF(INDEX(Installs!$F$1:$F$200,$P42)="","",INDEX(Installs!$F$1:$F$200,$P42)),""))</f>
        <v/>
      </c>
      <c r="G42" s="22" t="str">
        <f>IF($P42="","",IFERROR(IF(INDEX(Installs!$G$1:$G$200,$P42)="","",INDEX(Installs!$G$1:$G$200,$P42)),""))</f>
        <v/>
      </c>
      <c r="H42" s="22" t="str">
        <f>IF($P42="","",IFERROR(IF(INDEX(Installs!$H$1:$H$200,$P42)="","",INDEX(Installs!$H$1:$H$200,$P42)),""))</f>
        <v/>
      </c>
      <c r="P42" s="34" t="str">
        <f>IF(COUNTIF(Installs!$O$5:$O$200,"&lt;999999999")&lt;20,"",IFERROR(MOD(SMALL(Installs!$O$5:$O$200,20),10000)+4,""))</f>
        <v/>
      </c>
    </row>
    <row r="43" spans="1:16" ht="15" customHeight="1" x14ac:dyDescent="0.25">
      <c r="A43" s="64" t="str">
        <f>IF(COUNTIF(Installs!$O$5:$O$200,"&lt;999999999")=0,"Nothing in the queue — every account with an install date is installed.",IF(COUNTIF(Installs!$O$5:$O$200,"&lt;999999999")&gt;20,"Showing the next 20 of "&amp;COUNTIF(Installs!$O$5:$O$200,"&lt;999999999")&amp;" accounts waiting to be installed.","All "&amp;COUNTIF(Installs!$O$5:$O$200,"&lt;999999999")&amp;" account(s) waiting to be installed are listed above."))</f>
        <v>All 13 account(s) waiting to be installed are listed above.</v>
      </c>
      <c r="B43" s="64"/>
      <c r="C43" s="64"/>
      <c r="D43" s="64"/>
      <c r="E43" s="64"/>
      <c r="F43" s="64"/>
      <c r="G43" s="64"/>
      <c r="H43" s="64"/>
      <c r="I43" s="64"/>
      <c r="J43" s="64"/>
      <c r="K43" s="64"/>
      <c r="L43" s="64"/>
      <c r="M43" s="64"/>
    </row>
    <row r="45" spans="1:16" ht="15" customHeight="1" x14ac:dyDescent="0.25">
      <c r="A45" s="64" t="str">
        <f>"Sales hand-off: "&amp;COUNTIF('Projected Sales or Lease'!$L$3:$L$200,"✔")&amp;" completed deal(s) on the Projected tab · "&amp;SUM('Projected Sales or Lease'!$N$3:$N$200)&amp;" not yet in this tracker (shown in the AUTO section) · "&amp;(COUNTIF('Projected Sales or Lease'!$L$3:$L$200,"✔")-SUM('Projected Sales or Lease'!$N$3:$N$200))&amp;" already tracked, so not duplicated."</f>
        <v>Sales hand-off: 15 completed deal(s) on the Projected tab · 5 not yet in this tracker (shown in the AUTO section) · 10 already tracked, so not duplicated.</v>
      </c>
      <c r="B45" s="64"/>
      <c r="C45" s="64"/>
      <c r="D45" s="64"/>
      <c r="E45" s="64"/>
      <c r="F45" s="64"/>
      <c r="G45" s="64"/>
      <c r="H45" s="64"/>
      <c r="I45" s="64"/>
      <c r="J45" s="64"/>
      <c r="K45" s="64"/>
      <c r="L45" s="64"/>
      <c r="M45" s="64"/>
    </row>
  </sheetData>
  <sheetProtection sheet="1" objects="1" scenarios="1"/>
  <mergeCells count="6">
    <mergeCell ref="A45:M45"/>
    <mergeCell ref="A1:M1"/>
    <mergeCell ref="A7:M7"/>
    <mergeCell ref="A19:M19"/>
    <mergeCell ref="A21:M21"/>
    <mergeCell ref="A43:M43"/>
  </mergeCells>
  <conditionalFormatting sqref="A9:H18">
    <cfRule type="expression" dxfId="13" priority="2" stopIfTrue="1">
      <formula>$B9&lt;&gt;""</formula>
    </cfRule>
  </conditionalFormatting>
  <conditionalFormatting sqref="A23:H42">
    <cfRule type="expression" dxfId="12" priority="3" stopIfTrue="1">
      <formula>AND($B23&lt;&gt;"",ISNUMBER($A23),$A23&lt;=0)</formula>
    </cfRule>
    <cfRule type="expression" dxfId="10" priority="5" stopIfTrue="1">
      <formula>$B23&lt;&gt;""</formula>
    </cfRule>
  </conditionalFormatting>
  <hyperlinks>
    <hyperlink ref="A2" location="Installs!A1" display="←  Back to the Installation Tracker" xr:uid="{00000000-0004-0000-0300-000000000000}"/>
  </hyperlink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4" stopIfTrue="1" id="{00000000-000E-0000-0300-000004000000}">
            <xm:f>AND($B23&lt;&gt;"",OR($E23="",$E23&lt;=Installs!$P$4))</xm:f>
            <x14:dxf>
              <font>
                <sz val="10"/>
                <color rgb="FF7F6000"/>
                <name val="Arial"/>
                <charset val="1"/>
              </font>
              <fill>
                <patternFill>
                  <bgColor rgb="FFFFF2CC"/>
                </patternFill>
              </fill>
            </x14:dxf>
          </x14:cfRule>
          <xm:sqref>A23:H42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R200"/>
  <sheetViews>
    <sheetView tabSelected="1" zoomScaleNormal="100" workbookViewId="0">
      <pane ySplit="4" topLeftCell="A38" activePane="bottomLeft" state="frozen"/>
      <selection pane="bottomLeft" activeCell="D49" sqref="D49"/>
    </sheetView>
  </sheetViews>
  <sheetFormatPr defaultColWidth="8.5703125" defaultRowHeight="15" x14ac:dyDescent="0.25"/>
  <cols>
    <col min="1" max="1" width="19.85546875" customWidth="1"/>
    <col min="2" max="2" width="27.42578125" customWidth="1"/>
    <col min="3" max="3" width="44" customWidth="1"/>
    <col min="4" max="4" width="14" customWidth="1"/>
    <col min="5" max="5" width="17.140625" customWidth="1"/>
    <col min="6" max="6" width="14" customWidth="1"/>
    <col min="7" max="7" width="12" customWidth="1"/>
    <col min="8" max="8" width="17" customWidth="1"/>
    <col min="9" max="9" width="44" customWidth="1"/>
    <col min="10" max="10" width="12" customWidth="1"/>
    <col min="11" max="11" width="31.7109375" bestFit="1" customWidth="1"/>
    <col min="12" max="12" width="13" customWidth="1"/>
    <col min="13" max="13" width="26" customWidth="1"/>
    <col min="14" max="18" width="8" hidden="1" customWidth="1"/>
  </cols>
  <sheetData>
    <row r="1" spans="1:18" ht="19.5" customHeight="1" x14ac:dyDescent="0.25">
      <c r="A1" s="48" t="s">
        <v>229</v>
      </c>
      <c r="C1" s="36" t="s">
        <v>230</v>
      </c>
    </row>
    <row r="2" spans="1:18" ht="24" customHeight="1" x14ac:dyDescent="0.25">
      <c r="A2" s="37" t="s">
        <v>209</v>
      </c>
      <c r="B2" s="37" t="s">
        <v>210</v>
      </c>
      <c r="C2" s="37" t="s">
        <v>211</v>
      </c>
      <c r="D2" s="38" t="s">
        <v>212</v>
      </c>
      <c r="E2" s="38" t="s">
        <v>213</v>
      </c>
      <c r="F2" s="39" t="s">
        <v>214</v>
      </c>
      <c r="G2" s="40" t="s">
        <v>215</v>
      </c>
      <c r="H2" s="40" t="s">
        <v>216</v>
      </c>
      <c r="I2" s="62" t="s">
        <v>231</v>
      </c>
      <c r="J2" s="62"/>
      <c r="K2" s="62"/>
      <c r="L2" s="62"/>
      <c r="M2" s="62"/>
    </row>
    <row r="3" spans="1:18" ht="21.75" customHeight="1" x14ac:dyDescent="0.25">
      <c r="A3" s="49">
        <f ca="1">TODAY()</f>
        <v>46254</v>
      </c>
      <c r="B3" s="50" t="str">
        <f ca="1">TEXT($P$3,"m/d")&amp;" – "&amp;TEXT($P$4,"m/d")</f>
        <v>8/17 – 8/23</v>
      </c>
      <c r="C3" s="50" t="str">
        <f ca="1">TEXT($P$3+7,"m/d")&amp;" – "&amp;TEXT($P$5,"m/d")</f>
        <v>8/24 – 8/30</v>
      </c>
      <c r="D3" s="51">
        <f ca="1">COUNTIF($M$5:$M$200,"⚠ EQUIP NOT READY")</f>
        <v>0</v>
      </c>
      <c r="E3" s="51">
        <f ca="1">COUNTIF($M$5:$M$200,"⚠ PAST DUE - NOT READY")</f>
        <v>0</v>
      </c>
      <c r="F3" s="52">
        <f ca="1">COUNTIF($M$5:$M$200,"⚠ CUSTOMER NOT READY")</f>
        <v>0</v>
      </c>
      <c r="G3" s="53">
        <f>COUNTIF($D$5:$D$200,"Installed")</f>
        <v>41</v>
      </c>
      <c r="H3" s="53">
        <f>COUNTIF($O$5:$O$200,"&lt;999999999")</f>
        <v>13</v>
      </c>
      <c r="I3" s="62"/>
      <c r="J3" s="62"/>
      <c r="K3" s="62"/>
      <c r="L3" s="62"/>
      <c r="M3" s="62"/>
      <c r="P3" s="54">
        <f ca="1">TODAY()-WEEKDAY(TODAY(),2)+1</f>
        <v>46251</v>
      </c>
    </row>
    <row r="4" spans="1:18" ht="27.75" customHeight="1" x14ac:dyDescent="0.25">
      <c r="A4" s="28" t="s">
        <v>232</v>
      </c>
      <c r="B4" s="28" t="s">
        <v>116</v>
      </c>
      <c r="C4" s="28" t="s">
        <v>233</v>
      </c>
      <c r="D4" s="28" t="s">
        <v>234</v>
      </c>
      <c r="E4" s="28" t="s">
        <v>222</v>
      </c>
      <c r="F4" s="28" t="s">
        <v>223</v>
      </c>
      <c r="G4" s="28" t="s">
        <v>224</v>
      </c>
      <c r="H4" s="28" t="s">
        <v>235</v>
      </c>
      <c r="I4" s="28" t="s">
        <v>124</v>
      </c>
      <c r="J4" s="28" t="s">
        <v>236</v>
      </c>
      <c r="K4" s="28" t="s">
        <v>237</v>
      </c>
      <c r="L4" s="28" t="s">
        <v>238</v>
      </c>
      <c r="M4" s="28" t="s">
        <v>239</v>
      </c>
      <c r="P4" s="54">
        <f ca="1">P3+6</f>
        <v>46257</v>
      </c>
    </row>
    <row r="5" spans="1:18" ht="23.25" customHeight="1" x14ac:dyDescent="0.25">
      <c r="A5" s="31">
        <v>46155</v>
      </c>
      <c r="B5" s="45" t="s">
        <v>240</v>
      </c>
      <c r="C5" s="45" t="s">
        <v>241</v>
      </c>
      <c r="D5" s="22" t="s">
        <v>137</v>
      </c>
      <c r="E5" s="31">
        <v>46169</v>
      </c>
      <c r="F5" s="22" t="s">
        <v>242</v>
      </c>
      <c r="G5" s="22" t="s">
        <v>243</v>
      </c>
      <c r="H5" s="22" t="s">
        <v>244</v>
      </c>
      <c r="I5" s="45" t="s">
        <v>245</v>
      </c>
      <c r="J5" s="22" t="s">
        <v>246</v>
      </c>
      <c r="K5" s="22" t="s">
        <v>247</v>
      </c>
      <c r="L5" s="22" t="str">
        <f t="shared" ref="L5:L36" si="0">IF($D5="Installed","✔","")</f>
        <v>✔</v>
      </c>
      <c r="M5" s="55" t="str">
        <f t="shared" ref="M5:M36" si="1">IF($B5="","",IF($D5="Installed","",IF(AND($D5="Not Ready",$E5&lt;&gt;"",NOT(ISNUMBER($E5))),"⚠ CHECK DATE",IF(AND($D5="Not Ready",ISNUMBER($E5),$E5&lt;$P$3),"⚠ PAST DUE - NOT READY",IF(AND($D5="Not Ready",ISNUMBER($E5),$E5&gt;=$P$3,$E5&lt;=$P$5),"⚠ EQUIP NOT READY",IF(AND($H5="Not Ready",ISNUMBER($E5),$E5&gt;=$P$3,$E5&lt;=$P$5),"⚠ CUSTOMER NOT READY",""))))))</f>
        <v/>
      </c>
      <c r="O5" s="34">
        <f>IF($B5="",999999999,IF($D5="Installed",999999999,IF(NOT(ISNUMBER($E5)),999900000+1,$E5*10000+1)))</f>
        <v>999999999</v>
      </c>
      <c r="P5" s="54">
        <f ca="1">P3+13</f>
        <v>46264</v>
      </c>
      <c r="Q5" s="34">
        <f t="shared" ref="Q5:Q36" si="2">IF(LEFT($M5,1)="⚠",1,0)</f>
        <v>0</v>
      </c>
      <c r="R5" s="34" t="str">
        <f>IF($Q5=1,SUM($Q$5:$Q5),"")</f>
        <v/>
      </c>
    </row>
    <row r="6" spans="1:18" ht="15" customHeight="1" x14ac:dyDescent="0.25">
      <c r="A6" s="31">
        <v>46141</v>
      </c>
      <c r="B6" s="45" t="s">
        <v>248</v>
      </c>
      <c r="C6" s="45" t="s">
        <v>249</v>
      </c>
      <c r="D6" s="22" t="s">
        <v>137</v>
      </c>
      <c r="E6" s="31">
        <v>46162</v>
      </c>
      <c r="F6" s="22" t="s">
        <v>187</v>
      </c>
      <c r="G6" s="22" t="s">
        <v>250</v>
      </c>
      <c r="H6" s="22" t="s">
        <v>244</v>
      </c>
      <c r="I6" s="45"/>
      <c r="J6" s="22" t="s">
        <v>251</v>
      </c>
      <c r="K6" s="22" t="s">
        <v>247</v>
      </c>
      <c r="L6" s="22" t="str">
        <f t="shared" si="0"/>
        <v>✔</v>
      </c>
      <c r="M6" s="55" t="str">
        <f t="shared" si="1"/>
        <v/>
      </c>
      <c r="O6" s="34">
        <f>IF($B6="",999999999,IF($D6="Installed",999999999,IF(NOT(ISNUMBER($E6)),999900000+2,$E6*10000+2)))</f>
        <v>999999999</v>
      </c>
      <c r="Q6" s="34">
        <f t="shared" si="2"/>
        <v>0</v>
      </c>
      <c r="R6" s="34" t="str">
        <f>IF($Q6=1,SUM($Q$5:$Q6),"")</f>
        <v/>
      </c>
    </row>
    <row r="7" spans="1:18" ht="63.75" x14ac:dyDescent="0.25">
      <c r="A7" s="31">
        <v>46141</v>
      </c>
      <c r="B7" s="45" t="s">
        <v>166</v>
      </c>
      <c r="C7" s="45" t="s">
        <v>167</v>
      </c>
      <c r="D7" s="22" t="s">
        <v>137</v>
      </c>
      <c r="E7" s="31">
        <v>46170</v>
      </c>
      <c r="F7" s="22" t="s">
        <v>242</v>
      </c>
      <c r="G7" s="22" t="s">
        <v>252</v>
      </c>
      <c r="H7" s="22" t="s">
        <v>244</v>
      </c>
      <c r="I7" s="45" t="s">
        <v>253</v>
      </c>
      <c r="J7" s="22" t="s">
        <v>246</v>
      </c>
      <c r="K7" s="22" t="s">
        <v>138</v>
      </c>
      <c r="L7" s="22" t="str">
        <f t="shared" si="0"/>
        <v>✔</v>
      </c>
      <c r="M7" s="55" t="str">
        <f t="shared" si="1"/>
        <v/>
      </c>
      <c r="O7" s="34">
        <f>IF($B7="",999999999,IF($D7="Installed",999999999,IF(NOT(ISNUMBER($E7)),999900000+3,$E7*10000+3)))</f>
        <v>999999999</v>
      </c>
      <c r="Q7" s="34">
        <f t="shared" si="2"/>
        <v>0</v>
      </c>
      <c r="R7" s="34" t="str">
        <f>IF($Q7=1,SUM($Q$5:$Q7),"")</f>
        <v/>
      </c>
    </row>
    <row r="8" spans="1:18" ht="63.75" x14ac:dyDescent="0.25">
      <c r="A8" s="31">
        <v>46143</v>
      </c>
      <c r="B8" s="45" t="s">
        <v>156</v>
      </c>
      <c r="C8" s="45" t="s">
        <v>254</v>
      </c>
      <c r="D8" s="22" t="s">
        <v>137</v>
      </c>
      <c r="E8" s="31">
        <v>46224</v>
      </c>
      <c r="F8" s="22" t="s">
        <v>255</v>
      </c>
      <c r="G8" s="22" t="s">
        <v>256</v>
      </c>
      <c r="H8" s="22" t="s">
        <v>244</v>
      </c>
      <c r="I8" s="45" t="s">
        <v>257</v>
      </c>
      <c r="J8" s="22" t="s">
        <v>258</v>
      </c>
      <c r="K8" s="22" t="s">
        <v>132</v>
      </c>
      <c r="L8" s="22" t="str">
        <f t="shared" si="0"/>
        <v>✔</v>
      </c>
      <c r="M8" s="55" t="str">
        <f t="shared" si="1"/>
        <v/>
      </c>
      <c r="O8" s="34">
        <f>IF($B8="",999999999,IF($D8="Installed",999999999,IF(NOT(ISNUMBER($E8)),999900000+4,$E8*10000+4)))</f>
        <v>999999999</v>
      </c>
      <c r="Q8" s="34">
        <f t="shared" si="2"/>
        <v>0</v>
      </c>
      <c r="R8" s="34" t="str">
        <f>IF($Q8=1,SUM($Q$5:$Q8),"")</f>
        <v/>
      </c>
    </row>
    <row r="9" spans="1:18" ht="45.75" customHeight="1" x14ac:dyDescent="0.25">
      <c r="A9" s="31">
        <v>46143</v>
      </c>
      <c r="B9" s="45" t="s">
        <v>168</v>
      </c>
      <c r="C9" s="45" t="s">
        <v>259</v>
      </c>
      <c r="D9" s="22" t="s">
        <v>137</v>
      </c>
      <c r="E9" s="31">
        <v>46181</v>
      </c>
      <c r="F9" s="22" t="s">
        <v>187</v>
      </c>
      <c r="G9" s="22" t="s">
        <v>260</v>
      </c>
      <c r="H9" s="22" t="s">
        <v>244</v>
      </c>
      <c r="I9" s="45" t="s">
        <v>261</v>
      </c>
      <c r="J9" s="22" t="s">
        <v>262</v>
      </c>
      <c r="K9" s="22" t="s">
        <v>132</v>
      </c>
      <c r="L9" s="22" t="str">
        <f t="shared" si="0"/>
        <v>✔</v>
      </c>
      <c r="M9" s="55" t="str">
        <f t="shared" si="1"/>
        <v/>
      </c>
      <c r="O9" s="34">
        <f>IF($B9="",999999999,IF($D9="Installed",999999999,IF(NOT(ISNUMBER($E9)),999900000+5,$E9*10000+5)))</f>
        <v>999999999</v>
      </c>
      <c r="Q9" s="34">
        <f t="shared" si="2"/>
        <v>0</v>
      </c>
      <c r="R9" s="34" t="str">
        <f>IF($Q9=1,SUM($Q$5:$Q9),"")</f>
        <v/>
      </c>
    </row>
    <row r="10" spans="1:18" ht="15" customHeight="1" x14ac:dyDescent="0.25">
      <c r="A10" s="31">
        <v>46143</v>
      </c>
      <c r="B10" s="45" t="s">
        <v>263</v>
      </c>
      <c r="C10" s="45" t="s">
        <v>264</v>
      </c>
      <c r="D10" s="22" t="s">
        <v>137</v>
      </c>
      <c r="E10" s="31">
        <v>46175</v>
      </c>
      <c r="F10" s="22" t="s">
        <v>265</v>
      </c>
      <c r="G10" s="22" t="s">
        <v>266</v>
      </c>
      <c r="H10" s="22" t="s">
        <v>244</v>
      </c>
      <c r="I10" s="45"/>
      <c r="J10" s="22" t="s">
        <v>262</v>
      </c>
      <c r="K10" s="22" t="s">
        <v>247</v>
      </c>
      <c r="L10" s="22" t="str">
        <f t="shared" si="0"/>
        <v>✔</v>
      </c>
      <c r="M10" s="55" t="str">
        <f t="shared" si="1"/>
        <v/>
      </c>
      <c r="O10" s="34">
        <f>IF($B10="",999999999,IF($D10="Installed",999999999,IF(NOT(ISNUMBER($E10)),999900000+6,$E10*10000+6)))</f>
        <v>999999999</v>
      </c>
      <c r="Q10" s="34">
        <f t="shared" si="2"/>
        <v>0</v>
      </c>
      <c r="R10" s="34" t="str">
        <f>IF($Q10=1,SUM($Q$5:$Q10),"")</f>
        <v/>
      </c>
    </row>
    <row r="11" spans="1:18" ht="34.5" customHeight="1" x14ac:dyDescent="0.25">
      <c r="A11" s="31">
        <v>46148</v>
      </c>
      <c r="B11" s="45" t="s">
        <v>267</v>
      </c>
      <c r="C11" s="45" t="s">
        <v>268</v>
      </c>
      <c r="D11" s="22" t="s">
        <v>137</v>
      </c>
      <c r="E11" s="31">
        <v>46164</v>
      </c>
      <c r="F11" s="22" t="s">
        <v>187</v>
      </c>
      <c r="G11" s="22" t="s">
        <v>269</v>
      </c>
      <c r="H11" s="22" t="s">
        <v>244</v>
      </c>
      <c r="I11" s="45" t="s">
        <v>270</v>
      </c>
      <c r="J11" s="22" t="s">
        <v>258</v>
      </c>
      <c r="K11" s="22" t="s">
        <v>247</v>
      </c>
      <c r="L11" s="22" t="str">
        <f t="shared" si="0"/>
        <v>✔</v>
      </c>
      <c r="M11" s="55" t="str">
        <f t="shared" si="1"/>
        <v/>
      </c>
      <c r="O11" s="34">
        <f>IF($B11="",999999999,IF($D11="Installed",999999999,IF(NOT(ISNUMBER($E11)),999900000+7,$E11*10000+7)))</f>
        <v>999999999</v>
      </c>
      <c r="Q11" s="34">
        <f t="shared" si="2"/>
        <v>0</v>
      </c>
      <c r="R11" s="34" t="str">
        <f>IF($Q11=1,SUM($Q$5:$Q11),"")</f>
        <v/>
      </c>
    </row>
    <row r="12" spans="1:18" ht="23.25" customHeight="1" x14ac:dyDescent="0.25">
      <c r="A12" s="31">
        <v>46160</v>
      </c>
      <c r="B12" s="45" t="s">
        <v>271</v>
      </c>
      <c r="C12" s="45" t="s">
        <v>272</v>
      </c>
      <c r="D12" s="22" t="s">
        <v>137</v>
      </c>
      <c r="E12" s="31">
        <v>46175</v>
      </c>
      <c r="F12" s="22" t="s">
        <v>273</v>
      </c>
      <c r="G12" s="22" t="s">
        <v>274</v>
      </c>
      <c r="H12" s="22" t="s">
        <v>244</v>
      </c>
      <c r="I12" s="45" t="s">
        <v>275</v>
      </c>
      <c r="J12" s="22" t="s">
        <v>258</v>
      </c>
      <c r="K12" s="22" t="s">
        <v>247</v>
      </c>
      <c r="L12" s="22" t="str">
        <f t="shared" si="0"/>
        <v>✔</v>
      </c>
      <c r="M12" s="55" t="str">
        <f t="shared" si="1"/>
        <v/>
      </c>
      <c r="O12" s="34">
        <f>IF($B12="",999999999,IF($D12="Installed",999999999,IF(NOT(ISNUMBER($E12)),999900000+8,$E12*10000+8)))</f>
        <v>999999999</v>
      </c>
      <c r="Q12" s="34">
        <f t="shared" si="2"/>
        <v>0</v>
      </c>
      <c r="R12" s="34" t="str">
        <f>IF($Q12=1,SUM($Q$5:$Q12),"")</f>
        <v/>
      </c>
    </row>
    <row r="13" spans="1:18" ht="23.25" customHeight="1" x14ac:dyDescent="0.25">
      <c r="A13" s="31">
        <v>46164</v>
      </c>
      <c r="B13" s="45" t="s">
        <v>170</v>
      </c>
      <c r="C13" s="45" t="s">
        <v>171</v>
      </c>
      <c r="D13" s="22" t="s">
        <v>137</v>
      </c>
      <c r="E13" s="31">
        <v>46231</v>
      </c>
      <c r="F13" s="22" t="s">
        <v>242</v>
      </c>
      <c r="G13" s="22" t="s">
        <v>276</v>
      </c>
      <c r="H13" s="22" t="s">
        <v>244</v>
      </c>
      <c r="I13" s="45" t="s">
        <v>277</v>
      </c>
      <c r="J13" s="22" t="s">
        <v>258</v>
      </c>
      <c r="K13" s="22" t="s">
        <v>278</v>
      </c>
      <c r="L13" s="22" t="str">
        <f t="shared" si="0"/>
        <v>✔</v>
      </c>
      <c r="M13" s="55" t="str">
        <f t="shared" si="1"/>
        <v/>
      </c>
      <c r="O13" s="34">
        <f>IF($B13="",999999999,IF($D13="Installed",999999999,IF(NOT(ISNUMBER($E13)),999900000+9,$E13*10000+9)))</f>
        <v>999999999</v>
      </c>
      <c r="Q13" s="34">
        <f t="shared" si="2"/>
        <v>0</v>
      </c>
      <c r="R13" s="34" t="str">
        <f>IF($Q13=1,SUM($Q$5:$Q13),"")</f>
        <v/>
      </c>
    </row>
    <row r="14" spans="1:18" ht="15" customHeight="1" x14ac:dyDescent="0.25">
      <c r="A14" s="31">
        <v>46163</v>
      </c>
      <c r="B14" s="45" t="s">
        <v>279</v>
      </c>
      <c r="C14" s="45" t="s">
        <v>280</v>
      </c>
      <c r="D14" s="22" t="s">
        <v>137</v>
      </c>
      <c r="E14" s="31">
        <v>46169</v>
      </c>
      <c r="F14" s="22" t="s">
        <v>281</v>
      </c>
      <c r="G14" s="22" t="s">
        <v>282</v>
      </c>
      <c r="H14" s="22" t="s">
        <v>244</v>
      </c>
      <c r="I14" s="45"/>
      <c r="J14" s="22" t="s">
        <v>262</v>
      </c>
      <c r="K14" s="22" t="s">
        <v>247</v>
      </c>
      <c r="L14" s="22" t="str">
        <f t="shared" si="0"/>
        <v>✔</v>
      </c>
      <c r="M14" s="55" t="str">
        <f t="shared" si="1"/>
        <v/>
      </c>
      <c r="O14" s="34">
        <f>IF($B14="",999999999,IF($D14="Installed",999999999,IF(NOT(ISNUMBER($E14)),999900000+10,$E14*10000+10)))</f>
        <v>999999999</v>
      </c>
      <c r="Q14" s="34">
        <f t="shared" si="2"/>
        <v>0</v>
      </c>
      <c r="R14" s="34" t="str">
        <f>IF($Q14=1,SUM($Q$5:$Q14),"")</f>
        <v/>
      </c>
    </row>
    <row r="15" spans="1:18" ht="23.25" customHeight="1" x14ac:dyDescent="0.25">
      <c r="A15" s="31">
        <v>46168</v>
      </c>
      <c r="B15" s="45" t="s">
        <v>283</v>
      </c>
      <c r="C15" s="45" t="s">
        <v>284</v>
      </c>
      <c r="D15" s="22" t="s">
        <v>137</v>
      </c>
      <c r="E15" s="31">
        <v>46175</v>
      </c>
      <c r="F15" s="22" t="s">
        <v>281</v>
      </c>
      <c r="G15" s="22" t="s">
        <v>285</v>
      </c>
      <c r="H15" s="22" t="s">
        <v>244</v>
      </c>
      <c r="I15" s="45" t="s">
        <v>286</v>
      </c>
      <c r="J15" s="22" t="s">
        <v>287</v>
      </c>
      <c r="K15" s="22" t="s">
        <v>247</v>
      </c>
      <c r="L15" s="22" t="str">
        <f t="shared" si="0"/>
        <v>✔</v>
      </c>
      <c r="M15" s="55" t="str">
        <f t="shared" si="1"/>
        <v/>
      </c>
      <c r="O15" s="34">
        <f>IF($B15="",999999999,IF($D15="Installed",999999999,IF(NOT(ISNUMBER($E15)),999900000+11,$E15*10000+11)))</f>
        <v>999999999</v>
      </c>
      <c r="Q15" s="34">
        <f t="shared" si="2"/>
        <v>0</v>
      </c>
      <c r="R15" s="34" t="str">
        <f>IF($Q15=1,SUM($Q$5:$Q15),"")</f>
        <v/>
      </c>
    </row>
    <row r="16" spans="1:18" ht="23.25" customHeight="1" x14ac:dyDescent="0.25">
      <c r="A16" s="31">
        <v>46170</v>
      </c>
      <c r="B16" s="45" t="s">
        <v>172</v>
      </c>
      <c r="C16" s="45" t="s">
        <v>288</v>
      </c>
      <c r="D16" s="22" t="s">
        <v>137</v>
      </c>
      <c r="E16" s="31">
        <v>46177</v>
      </c>
      <c r="F16" s="22" t="s">
        <v>255</v>
      </c>
      <c r="G16" s="22" t="s">
        <v>289</v>
      </c>
      <c r="H16" s="22" t="s">
        <v>244</v>
      </c>
      <c r="I16" s="45" t="s">
        <v>290</v>
      </c>
      <c r="J16" s="22" t="s">
        <v>291</v>
      </c>
      <c r="K16" s="22" t="s">
        <v>132</v>
      </c>
      <c r="L16" s="22" t="str">
        <f t="shared" si="0"/>
        <v>✔</v>
      </c>
      <c r="M16" s="55" t="str">
        <f t="shared" si="1"/>
        <v/>
      </c>
      <c r="O16" s="34">
        <f>IF($B16="",999999999,IF($D16="Installed",999999999,IF(NOT(ISNUMBER($E16)),999900000+12,$E16*10000+12)))</f>
        <v>999999999</v>
      </c>
      <c r="Q16" s="34">
        <f t="shared" si="2"/>
        <v>0</v>
      </c>
      <c r="R16" s="34" t="str">
        <f>IF($Q16=1,SUM($Q$5:$Q16),"")</f>
        <v/>
      </c>
    </row>
    <row r="17" spans="1:18" ht="23.25" customHeight="1" x14ac:dyDescent="0.25">
      <c r="A17" s="31">
        <v>46170</v>
      </c>
      <c r="B17" s="45" t="s">
        <v>292</v>
      </c>
      <c r="C17" s="45" t="s">
        <v>293</v>
      </c>
      <c r="D17" s="22" t="s">
        <v>137</v>
      </c>
      <c r="E17" s="31">
        <v>46177</v>
      </c>
      <c r="F17" s="22" t="s">
        <v>281</v>
      </c>
      <c r="G17" s="22" t="s">
        <v>294</v>
      </c>
      <c r="H17" s="22" t="s">
        <v>244</v>
      </c>
      <c r="I17" s="45"/>
      <c r="J17" s="22" t="s">
        <v>262</v>
      </c>
      <c r="K17" s="22" t="s">
        <v>247</v>
      </c>
      <c r="L17" s="22" t="str">
        <f t="shared" si="0"/>
        <v>✔</v>
      </c>
      <c r="M17" s="55" t="str">
        <f t="shared" si="1"/>
        <v/>
      </c>
      <c r="O17" s="34">
        <f>IF($B17="",999999999,IF($D17="Installed",999999999,IF(NOT(ISNUMBER($E17)),999900000+13,$E17*10000+13)))</f>
        <v>999999999</v>
      </c>
      <c r="Q17" s="34">
        <f t="shared" si="2"/>
        <v>0</v>
      </c>
      <c r="R17" s="34" t="str">
        <f>IF($Q17=1,SUM($Q$5:$Q17),"")</f>
        <v/>
      </c>
    </row>
    <row r="18" spans="1:18" ht="23.25" customHeight="1" x14ac:dyDescent="0.25">
      <c r="A18" s="31">
        <v>46170</v>
      </c>
      <c r="B18" s="45" t="s">
        <v>295</v>
      </c>
      <c r="C18" s="45" t="s">
        <v>296</v>
      </c>
      <c r="D18" s="22" t="s">
        <v>137</v>
      </c>
      <c r="E18" s="31">
        <v>46183</v>
      </c>
      <c r="F18" s="22" t="s">
        <v>255</v>
      </c>
      <c r="G18" s="22" t="s">
        <v>297</v>
      </c>
      <c r="H18" s="22" t="s">
        <v>244</v>
      </c>
      <c r="I18" s="45"/>
      <c r="J18" s="22" t="s">
        <v>246</v>
      </c>
      <c r="K18" s="22" t="s">
        <v>247</v>
      </c>
      <c r="L18" s="22" t="str">
        <f t="shared" si="0"/>
        <v>✔</v>
      </c>
      <c r="M18" s="55" t="str">
        <f t="shared" si="1"/>
        <v/>
      </c>
      <c r="O18" s="34">
        <f>IF($B18="",999999999,IF($D18="Installed",999999999,IF(NOT(ISNUMBER($E18)),999900000+14,$E18*10000+14)))</f>
        <v>999999999</v>
      </c>
      <c r="Q18" s="34">
        <f t="shared" si="2"/>
        <v>0</v>
      </c>
      <c r="R18" s="34" t="str">
        <f>IF($Q18=1,SUM($Q$5:$Q18),"")</f>
        <v/>
      </c>
    </row>
    <row r="19" spans="1:18" ht="23.25" customHeight="1" x14ac:dyDescent="0.25">
      <c r="A19" s="31">
        <v>46170</v>
      </c>
      <c r="B19" s="45" t="s">
        <v>298</v>
      </c>
      <c r="C19" s="45" t="s">
        <v>299</v>
      </c>
      <c r="D19" s="22" t="s">
        <v>137</v>
      </c>
      <c r="E19" s="31">
        <v>46182</v>
      </c>
      <c r="F19" s="22" t="s">
        <v>273</v>
      </c>
      <c r="G19" s="22" t="s">
        <v>300</v>
      </c>
      <c r="H19" s="22" t="s">
        <v>244</v>
      </c>
      <c r="I19" s="45"/>
      <c r="J19" s="22" t="s">
        <v>246</v>
      </c>
      <c r="K19" s="22" t="s">
        <v>132</v>
      </c>
      <c r="L19" s="22" t="str">
        <f t="shared" si="0"/>
        <v>✔</v>
      </c>
      <c r="M19" s="55" t="str">
        <f t="shared" si="1"/>
        <v/>
      </c>
      <c r="O19" s="34">
        <f>IF($B19="",999999999,IF($D19="Installed",999999999,IF(NOT(ISNUMBER($E19)),999900000+15,$E19*10000+15)))</f>
        <v>999999999</v>
      </c>
      <c r="Q19" s="34">
        <f t="shared" si="2"/>
        <v>0</v>
      </c>
      <c r="R19" s="34" t="str">
        <f>IF($Q19=1,SUM($Q$5:$Q19),"")</f>
        <v/>
      </c>
    </row>
    <row r="20" spans="1:18" ht="23.25" customHeight="1" x14ac:dyDescent="0.25">
      <c r="A20" s="31">
        <v>46177</v>
      </c>
      <c r="B20" s="45" t="s">
        <v>301</v>
      </c>
      <c r="C20" s="45" t="s">
        <v>302</v>
      </c>
      <c r="D20" s="22" t="s">
        <v>137</v>
      </c>
      <c r="E20" s="31">
        <v>46183</v>
      </c>
      <c r="F20" s="22" t="s">
        <v>255</v>
      </c>
      <c r="G20" s="22" t="s">
        <v>303</v>
      </c>
      <c r="H20" s="22" t="s">
        <v>244</v>
      </c>
      <c r="I20" s="45"/>
      <c r="J20" s="22" t="s">
        <v>246</v>
      </c>
      <c r="K20" s="22" t="s">
        <v>247</v>
      </c>
      <c r="L20" s="22" t="str">
        <f t="shared" si="0"/>
        <v>✔</v>
      </c>
      <c r="M20" s="55" t="str">
        <f t="shared" si="1"/>
        <v/>
      </c>
      <c r="O20" s="34">
        <f>IF($B20="",999999999,IF($D20="Installed",999999999,IF(NOT(ISNUMBER($E20)),999900000+16,$E20*10000+16)))</f>
        <v>999999999</v>
      </c>
      <c r="Q20" s="34">
        <f t="shared" si="2"/>
        <v>0</v>
      </c>
      <c r="R20" s="34" t="str">
        <f>IF($Q20=1,SUM($Q$5:$Q20),"")</f>
        <v/>
      </c>
    </row>
    <row r="21" spans="1:18" ht="34.5" customHeight="1" x14ac:dyDescent="0.25">
      <c r="A21" s="31">
        <v>46182</v>
      </c>
      <c r="B21" s="45" t="s">
        <v>304</v>
      </c>
      <c r="C21" s="45" t="s">
        <v>305</v>
      </c>
      <c r="D21" s="22" t="s">
        <v>137</v>
      </c>
      <c r="E21" s="31">
        <v>46191</v>
      </c>
      <c r="F21" s="22" t="s">
        <v>281</v>
      </c>
      <c r="G21" s="22" t="s">
        <v>306</v>
      </c>
      <c r="H21" s="22" t="s">
        <v>244</v>
      </c>
      <c r="I21" s="45"/>
      <c r="J21" s="22" t="s">
        <v>262</v>
      </c>
      <c r="K21" s="22" t="s">
        <v>164</v>
      </c>
      <c r="L21" s="22" t="str">
        <f t="shared" si="0"/>
        <v>✔</v>
      </c>
      <c r="M21" s="55" t="str">
        <f t="shared" si="1"/>
        <v/>
      </c>
      <c r="O21" s="34">
        <f>IF($B21="",999999999,IF($D21="Installed",999999999,IF(NOT(ISNUMBER($E21)),999900000+17,$E21*10000+17)))</f>
        <v>999999999</v>
      </c>
      <c r="Q21" s="34">
        <f t="shared" si="2"/>
        <v>0</v>
      </c>
      <c r="R21" s="34" t="str">
        <f>IF($Q21=1,SUM($Q$5:$Q21),"")</f>
        <v/>
      </c>
    </row>
    <row r="22" spans="1:18" ht="23.25" customHeight="1" x14ac:dyDescent="0.25">
      <c r="A22" s="31">
        <v>46184</v>
      </c>
      <c r="B22" s="45" t="s">
        <v>307</v>
      </c>
      <c r="C22" s="45" t="s">
        <v>308</v>
      </c>
      <c r="D22" s="22" t="s">
        <v>137</v>
      </c>
      <c r="E22" s="31">
        <v>46188</v>
      </c>
      <c r="F22" s="22" t="s">
        <v>255</v>
      </c>
      <c r="G22" s="22" t="s">
        <v>309</v>
      </c>
      <c r="H22" s="22" t="s">
        <v>244</v>
      </c>
      <c r="I22" s="45" t="s">
        <v>310</v>
      </c>
      <c r="J22" s="22" t="s">
        <v>311</v>
      </c>
      <c r="K22" s="22" t="s">
        <v>247</v>
      </c>
      <c r="L22" s="22" t="str">
        <f t="shared" si="0"/>
        <v>✔</v>
      </c>
      <c r="M22" s="55" t="str">
        <f t="shared" si="1"/>
        <v/>
      </c>
      <c r="O22" s="34">
        <f>IF($B22="",999999999,IF($D22="Installed",999999999,IF(NOT(ISNUMBER($E22)),999900000+18,$E22*10000+18)))</f>
        <v>999999999</v>
      </c>
      <c r="Q22" s="34">
        <f t="shared" si="2"/>
        <v>0</v>
      </c>
      <c r="R22" s="34" t="str">
        <f>IF($Q22=1,SUM($Q$5:$Q22),"")</f>
        <v/>
      </c>
    </row>
    <row r="23" spans="1:18" ht="23.25" customHeight="1" x14ac:dyDescent="0.25">
      <c r="A23" s="31">
        <v>46184</v>
      </c>
      <c r="B23" s="45" t="s">
        <v>174</v>
      </c>
      <c r="C23" s="45" t="s">
        <v>312</v>
      </c>
      <c r="D23" s="22" t="s">
        <v>137</v>
      </c>
      <c r="E23" s="31">
        <v>46188</v>
      </c>
      <c r="F23" s="22" t="s">
        <v>255</v>
      </c>
      <c r="G23" s="22" t="s">
        <v>313</v>
      </c>
      <c r="H23" s="22" t="s">
        <v>244</v>
      </c>
      <c r="I23" s="45" t="s">
        <v>310</v>
      </c>
      <c r="J23" s="22" t="s">
        <v>314</v>
      </c>
      <c r="K23" s="22" t="s">
        <v>164</v>
      </c>
      <c r="L23" s="22" t="str">
        <f t="shared" si="0"/>
        <v>✔</v>
      </c>
      <c r="M23" s="55" t="str">
        <f t="shared" si="1"/>
        <v/>
      </c>
      <c r="O23" s="34">
        <f>IF($B23="",999999999,IF($D23="Installed",999999999,IF(NOT(ISNUMBER($E23)),999900000+19,$E23*10000+19)))</f>
        <v>999999999</v>
      </c>
      <c r="Q23" s="34">
        <f t="shared" si="2"/>
        <v>0</v>
      </c>
      <c r="R23" s="34" t="str">
        <f>IF($Q23=1,SUM($Q$5:$Q23),"")</f>
        <v/>
      </c>
    </row>
    <row r="24" spans="1:18" ht="23.25" customHeight="1" x14ac:dyDescent="0.25">
      <c r="A24" s="31">
        <v>46189</v>
      </c>
      <c r="B24" s="45" t="s">
        <v>315</v>
      </c>
      <c r="C24" s="45" t="s">
        <v>316</v>
      </c>
      <c r="D24" s="22" t="s">
        <v>137</v>
      </c>
      <c r="E24" s="31">
        <v>46195</v>
      </c>
      <c r="F24" s="22" t="s">
        <v>281</v>
      </c>
      <c r="G24" s="22" t="s">
        <v>317</v>
      </c>
      <c r="H24" s="22" t="s">
        <v>244</v>
      </c>
      <c r="I24" s="45" t="s">
        <v>318</v>
      </c>
      <c r="J24" s="22" t="s">
        <v>262</v>
      </c>
      <c r="K24" s="22" t="s">
        <v>247</v>
      </c>
      <c r="L24" s="22" t="str">
        <f t="shared" si="0"/>
        <v>✔</v>
      </c>
      <c r="M24" s="55" t="str">
        <f t="shared" si="1"/>
        <v/>
      </c>
      <c r="O24" s="34">
        <f>IF($B24="",999999999,IF($D24="Installed",999999999,IF(NOT(ISNUMBER($E24)),999900000+20,$E24*10000+20)))</f>
        <v>999999999</v>
      </c>
      <c r="Q24" s="34">
        <f t="shared" si="2"/>
        <v>0</v>
      </c>
      <c r="R24" s="34" t="str">
        <f>IF($Q24=1,SUM($Q$5:$Q24),"")</f>
        <v/>
      </c>
    </row>
    <row r="25" spans="1:18" ht="15" customHeight="1" x14ac:dyDescent="0.25">
      <c r="A25" s="31">
        <v>46191</v>
      </c>
      <c r="B25" s="45" t="s">
        <v>319</v>
      </c>
      <c r="C25" s="45" t="s">
        <v>320</v>
      </c>
      <c r="D25" s="22" t="s">
        <v>137</v>
      </c>
      <c r="E25" s="31">
        <v>46197</v>
      </c>
      <c r="F25" s="22" t="s">
        <v>273</v>
      </c>
      <c r="G25" s="22" t="s">
        <v>321</v>
      </c>
      <c r="H25" s="22" t="s">
        <v>244</v>
      </c>
      <c r="I25" s="45" t="s">
        <v>322</v>
      </c>
      <c r="J25" s="22" t="s">
        <v>246</v>
      </c>
      <c r="K25" s="22" t="s">
        <v>247</v>
      </c>
      <c r="L25" s="22" t="str">
        <f t="shared" si="0"/>
        <v>✔</v>
      </c>
      <c r="M25" s="55" t="str">
        <f t="shared" si="1"/>
        <v/>
      </c>
      <c r="O25" s="34">
        <f>IF($B25="",999999999,IF($D25="Installed",999999999,IF(NOT(ISNUMBER($E25)),999900000+21,$E25*10000+21)))</f>
        <v>999999999</v>
      </c>
      <c r="Q25" s="34">
        <f t="shared" si="2"/>
        <v>0</v>
      </c>
      <c r="R25" s="34" t="str">
        <f>IF($Q25=1,SUM($Q$5:$Q25),"")</f>
        <v/>
      </c>
    </row>
    <row r="26" spans="1:18" ht="23.25" customHeight="1" x14ac:dyDescent="0.25">
      <c r="A26" s="31">
        <v>46191</v>
      </c>
      <c r="B26" s="45" t="s">
        <v>177</v>
      </c>
      <c r="C26" s="45" t="s">
        <v>323</v>
      </c>
      <c r="D26" s="22" t="s">
        <v>137</v>
      </c>
      <c r="E26" s="31">
        <v>46195</v>
      </c>
      <c r="F26" s="22" t="s">
        <v>255</v>
      </c>
      <c r="G26" s="22" t="s">
        <v>324</v>
      </c>
      <c r="H26" s="22" t="s">
        <v>244</v>
      </c>
      <c r="I26" s="45" t="s">
        <v>325</v>
      </c>
      <c r="J26" s="22" t="s">
        <v>311</v>
      </c>
      <c r="K26" s="22" t="s">
        <v>132</v>
      </c>
      <c r="L26" s="22" t="str">
        <f t="shared" si="0"/>
        <v>✔</v>
      </c>
      <c r="M26" s="55" t="str">
        <f t="shared" si="1"/>
        <v/>
      </c>
      <c r="O26" s="34">
        <f>IF($B26="",999999999,IF($D26="Installed",999999999,IF(NOT(ISNUMBER($E26)),999900000+22,$E26*10000+22)))</f>
        <v>999999999</v>
      </c>
      <c r="Q26" s="34">
        <f t="shared" si="2"/>
        <v>0</v>
      </c>
      <c r="R26" s="34" t="str">
        <f>IF($Q26=1,SUM($Q$5:$Q26),"")</f>
        <v/>
      </c>
    </row>
    <row r="27" spans="1:18" ht="15" customHeight="1" x14ac:dyDescent="0.25">
      <c r="A27" s="31">
        <v>46192</v>
      </c>
      <c r="B27" s="45" t="s">
        <v>326</v>
      </c>
      <c r="C27" s="45" t="s">
        <v>327</v>
      </c>
      <c r="D27" s="22" t="s">
        <v>137</v>
      </c>
      <c r="E27" s="31">
        <v>46203</v>
      </c>
      <c r="F27" s="22" t="s">
        <v>281</v>
      </c>
      <c r="G27" s="22" t="s">
        <v>328</v>
      </c>
      <c r="H27" s="22" t="s">
        <v>244</v>
      </c>
      <c r="I27" s="45" t="s">
        <v>329</v>
      </c>
      <c r="J27" s="22"/>
      <c r="K27" s="22" t="s">
        <v>247</v>
      </c>
      <c r="L27" s="22" t="str">
        <f t="shared" si="0"/>
        <v>✔</v>
      </c>
      <c r="M27" s="55" t="str">
        <f t="shared" si="1"/>
        <v/>
      </c>
      <c r="O27" s="34">
        <f>IF($B27="",999999999,IF($D27="Installed",999999999,IF(NOT(ISNUMBER($E27)),999900000+23,$E27*10000+23)))</f>
        <v>999999999</v>
      </c>
      <c r="Q27" s="34">
        <f t="shared" si="2"/>
        <v>0</v>
      </c>
      <c r="R27" s="34" t="str">
        <f>IF($Q27=1,SUM($Q$5:$Q27),"")</f>
        <v/>
      </c>
    </row>
    <row r="28" spans="1:18" ht="34.5" customHeight="1" x14ac:dyDescent="0.25">
      <c r="A28" s="31">
        <v>46202</v>
      </c>
      <c r="B28" s="45" t="s">
        <v>330</v>
      </c>
      <c r="C28" s="45" t="s">
        <v>331</v>
      </c>
      <c r="D28" s="22" t="s">
        <v>137</v>
      </c>
      <c r="E28" s="31">
        <v>46217</v>
      </c>
      <c r="F28" s="22" t="s">
        <v>273</v>
      </c>
      <c r="G28" s="22" t="s">
        <v>332</v>
      </c>
      <c r="H28" s="22" t="s">
        <v>244</v>
      </c>
      <c r="I28" s="45" t="s">
        <v>333</v>
      </c>
      <c r="J28" s="22" t="s">
        <v>246</v>
      </c>
      <c r="K28" s="22" t="s">
        <v>247</v>
      </c>
      <c r="L28" s="22" t="str">
        <f t="shared" si="0"/>
        <v>✔</v>
      </c>
      <c r="M28" s="55" t="str">
        <f t="shared" si="1"/>
        <v/>
      </c>
      <c r="O28" s="34">
        <f>IF($B28="",999999999,IF($D28="Installed",999999999,IF(NOT(ISNUMBER($E28)),999900000+24,$E28*10000+24)))</f>
        <v>999999999</v>
      </c>
      <c r="Q28" s="34">
        <f t="shared" si="2"/>
        <v>0</v>
      </c>
      <c r="R28" s="34" t="str">
        <f>IF($Q28=1,SUM($Q$5:$Q28),"")</f>
        <v/>
      </c>
    </row>
    <row r="29" spans="1:18" ht="15" customHeight="1" x14ac:dyDescent="0.25">
      <c r="A29" s="31">
        <v>46203</v>
      </c>
      <c r="B29" s="45" t="s">
        <v>334</v>
      </c>
      <c r="C29" s="45" t="s">
        <v>335</v>
      </c>
      <c r="D29" s="22" t="s">
        <v>137</v>
      </c>
      <c r="E29" s="31">
        <v>46224</v>
      </c>
      <c r="F29" s="22" t="s">
        <v>255</v>
      </c>
      <c r="G29" s="22" t="s">
        <v>336</v>
      </c>
      <c r="H29" s="22" t="s">
        <v>244</v>
      </c>
      <c r="I29" s="45" t="s">
        <v>337</v>
      </c>
      <c r="J29" s="22" t="s">
        <v>287</v>
      </c>
      <c r="K29" s="22"/>
      <c r="L29" s="22" t="str">
        <f t="shared" si="0"/>
        <v>✔</v>
      </c>
      <c r="M29" s="55" t="str">
        <f t="shared" si="1"/>
        <v/>
      </c>
      <c r="O29" s="34">
        <f>IF($B29="",999999999,IF($D29="Installed",999999999,IF(NOT(ISNUMBER($E29)),999900000+25,$E29*10000+25)))</f>
        <v>999999999</v>
      </c>
      <c r="Q29" s="34">
        <f t="shared" si="2"/>
        <v>0</v>
      </c>
      <c r="R29" s="34" t="str">
        <f>IF($Q29=1,SUM($Q$5:$Q29),"")</f>
        <v/>
      </c>
    </row>
    <row r="30" spans="1:18" ht="23.25" customHeight="1" x14ac:dyDescent="0.25">
      <c r="A30" s="31">
        <v>46203</v>
      </c>
      <c r="B30" s="45" t="s">
        <v>179</v>
      </c>
      <c r="C30" s="45" t="s">
        <v>338</v>
      </c>
      <c r="D30" s="22" t="s">
        <v>137</v>
      </c>
      <c r="E30" s="31">
        <v>46233</v>
      </c>
      <c r="F30" s="22" t="s">
        <v>281</v>
      </c>
      <c r="G30" s="22" t="s">
        <v>339</v>
      </c>
      <c r="H30" s="22" t="s">
        <v>244</v>
      </c>
      <c r="I30" s="45"/>
      <c r="J30" s="22" t="s">
        <v>246</v>
      </c>
      <c r="K30" s="22" t="s">
        <v>278</v>
      </c>
      <c r="L30" s="22" t="str">
        <f t="shared" si="0"/>
        <v>✔</v>
      </c>
      <c r="M30" s="55" t="str">
        <f t="shared" si="1"/>
        <v/>
      </c>
      <c r="O30" s="34">
        <f>IF($B30="",999999999,IF($D30="Installed",999999999,IF(NOT(ISNUMBER($E30)),999900000+26,$E30*10000+26)))</f>
        <v>999999999</v>
      </c>
      <c r="Q30" s="34">
        <f t="shared" si="2"/>
        <v>0</v>
      </c>
      <c r="R30" s="34" t="str">
        <f>IF($Q30=1,SUM($Q$5:$Q30),"")</f>
        <v/>
      </c>
    </row>
    <row r="31" spans="1:18" ht="44.25" customHeight="1" x14ac:dyDescent="0.25">
      <c r="A31" s="31">
        <v>46204</v>
      </c>
      <c r="B31" s="45" t="s">
        <v>340</v>
      </c>
      <c r="C31" s="45" t="s">
        <v>341</v>
      </c>
      <c r="D31" s="22" t="s">
        <v>137</v>
      </c>
      <c r="E31" s="31">
        <v>46225</v>
      </c>
      <c r="F31" s="22" t="s">
        <v>281</v>
      </c>
      <c r="G31" s="22" t="s">
        <v>342</v>
      </c>
      <c r="H31" s="22" t="s">
        <v>244</v>
      </c>
      <c r="I31" s="45"/>
      <c r="J31" s="22" t="s">
        <v>262</v>
      </c>
      <c r="K31" s="22" t="s">
        <v>247</v>
      </c>
      <c r="L31" s="22" t="str">
        <f t="shared" si="0"/>
        <v>✔</v>
      </c>
      <c r="M31" s="55" t="str">
        <f t="shared" si="1"/>
        <v/>
      </c>
      <c r="O31" s="34">
        <f>IF($B31="",999999999,IF($D31="Installed",999999999,IF(NOT(ISNUMBER($E31)),999900000+27,$E31*10000+27)))</f>
        <v>999999999</v>
      </c>
      <c r="Q31" s="34">
        <f t="shared" si="2"/>
        <v>0</v>
      </c>
      <c r="R31" s="34" t="str">
        <f>IF($Q31=1,SUM($Q$5:$Q31),"")</f>
        <v/>
      </c>
    </row>
    <row r="32" spans="1:18" ht="15" customHeight="1" x14ac:dyDescent="0.25">
      <c r="A32" s="31">
        <v>46209</v>
      </c>
      <c r="B32" s="45" t="s">
        <v>343</v>
      </c>
      <c r="C32" s="45" t="s">
        <v>344</v>
      </c>
      <c r="D32" s="22" t="s">
        <v>137</v>
      </c>
      <c r="E32" s="31">
        <v>46212</v>
      </c>
      <c r="F32" s="22" t="s">
        <v>273</v>
      </c>
      <c r="G32" s="22" t="s">
        <v>345</v>
      </c>
      <c r="H32" s="22" t="s">
        <v>244</v>
      </c>
      <c r="I32" s="45" t="s">
        <v>346</v>
      </c>
      <c r="J32" s="22" t="s">
        <v>246</v>
      </c>
      <c r="K32" s="22" t="s">
        <v>247</v>
      </c>
      <c r="L32" s="22" t="str">
        <f t="shared" si="0"/>
        <v>✔</v>
      </c>
      <c r="M32" s="55" t="str">
        <f t="shared" si="1"/>
        <v/>
      </c>
      <c r="O32" s="34">
        <f>IF($B32="",999999999,IF($D32="Installed",999999999,IF(NOT(ISNUMBER($E32)),999900000+28,$E32*10000+28)))</f>
        <v>999999999</v>
      </c>
      <c r="Q32" s="34">
        <f t="shared" si="2"/>
        <v>0</v>
      </c>
      <c r="R32" s="34" t="str">
        <f>IF($Q32=1,SUM($Q$5:$Q32),"")</f>
        <v/>
      </c>
    </row>
    <row r="33" spans="1:18" ht="15" customHeight="1" x14ac:dyDescent="0.25">
      <c r="A33" s="31">
        <v>46210</v>
      </c>
      <c r="B33" s="45" t="s">
        <v>347</v>
      </c>
      <c r="C33" s="45" t="s">
        <v>348</v>
      </c>
      <c r="D33" s="22" t="s">
        <v>244</v>
      </c>
      <c r="E33" s="31">
        <v>46247</v>
      </c>
      <c r="F33" s="22"/>
      <c r="G33" s="22"/>
      <c r="H33" s="22"/>
      <c r="I33" s="45" t="s">
        <v>349</v>
      </c>
      <c r="J33" s="22" t="s">
        <v>291</v>
      </c>
      <c r="K33" s="22" t="s">
        <v>247</v>
      </c>
      <c r="L33" s="22" t="str">
        <f t="shared" si="0"/>
        <v/>
      </c>
      <c r="M33" s="55" t="str">
        <f t="shared" ca="1" si="1"/>
        <v/>
      </c>
      <c r="O33" s="34">
        <f>IF($B33="",999999999,IF($D33="Installed",999999999,IF(NOT(ISNUMBER($E33)),999900000+29,$E33*10000+29)))</f>
        <v>462470029</v>
      </c>
      <c r="Q33" s="34">
        <f t="shared" ca="1" si="2"/>
        <v>0</v>
      </c>
      <c r="R33" s="34" t="str">
        <f ca="1">IF($Q33=1,SUM($Q$5:$Q33),"")</f>
        <v/>
      </c>
    </row>
    <row r="34" spans="1:18" ht="25.5" x14ac:dyDescent="0.25">
      <c r="A34" s="31">
        <v>46213</v>
      </c>
      <c r="B34" s="45" t="s">
        <v>159</v>
      </c>
      <c r="C34" s="45" t="s">
        <v>350</v>
      </c>
      <c r="D34" s="22" t="s">
        <v>137</v>
      </c>
      <c r="E34" s="31">
        <v>46230</v>
      </c>
      <c r="F34" s="22" t="s">
        <v>242</v>
      </c>
      <c r="G34" s="22" t="s">
        <v>351</v>
      </c>
      <c r="H34" s="22" t="s">
        <v>244</v>
      </c>
      <c r="I34" s="45" t="s">
        <v>352</v>
      </c>
      <c r="J34" s="22" t="s">
        <v>262</v>
      </c>
      <c r="K34" s="22" t="s">
        <v>278</v>
      </c>
      <c r="L34" s="22" t="str">
        <f t="shared" si="0"/>
        <v>✔</v>
      </c>
      <c r="M34" s="55" t="str">
        <f t="shared" si="1"/>
        <v/>
      </c>
      <c r="O34" s="34">
        <f>IF($B34="",999999999,IF($D34="Installed",999999999,IF(NOT(ISNUMBER($E34)),999900000+30,$E34*10000+30)))</f>
        <v>999999999</v>
      </c>
      <c r="Q34" s="34">
        <f t="shared" si="2"/>
        <v>0</v>
      </c>
      <c r="R34" s="34" t="str">
        <f>IF($Q34=1,SUM($Q$5:$Q34),"")</f>
        <v/>
      </c>
    </row>
    <row r="35" spans="1:18" ht="23.25" customHeight="1" x14ac:dyDescent="0.25">
      <c r="A35" s="31">
        <v>46213</v>
      </c>
      <c r="B35" s="45" t="s">
        <v>353</v>
      </c>
      <c r="C35" s="45" t="s">
        <v>348</v>
      </c>
      <c r="D35" s="22" t="s">
        <v>137</v>
      </c>
      <c r="E35" s="31">
        <v>46216</v>
      </c>
      <c r="F35" s="22" t="s">
        <v>265</v>
      </c>
      <c r="G35" s="22" t="s">
        <v>354</v>
      </c>
      <c r="H35" s="22" t="s">
        <v>244</v>
      </c>
      <c r="I35" s="45" t="s">
        <v>355</v>
      </c>
      <c r="J35" s="22" t="s">
        <v>356</v>
      </c>
      <c r="K35" s="22" t="s">
        <v>247</v>
      </c>
      <c r="L35" s="22" t="str">
        <f t="shared" si="0"/>
        <v>✔</v>
      </c>
      <c r="M35" s="55" t="str">
        <f t="shared" si="1"/>
        <v/>
      </c>
      <c r="O35" s="34">
        <f>IF($B35="",999999999,IF($D35="Installed",999999999,IF(NOT(ISNUMBER($E35)),999900000+31,$E35*10000+31)))</f>
        <v>999999999</v>
      </c>
      <c r="Q35" s="34">
        <f t="shared" si="2"/>
        <v>0</v>
      </c>
      <c r="R35" s="34" t="str">
        <f>IF($Q35=1,SUM($Q$5:$Q35),"")</f>
        <v/>
      </c>
    </row>
    <row r="36" spans="1:18" ht="15" customHeight="1" x14ac:dyDescent="0.25">
      <c r="A36" s="31">
        <v>46217</v>
      </c>
      <c r="B36" s="45" t="s">
        <v>357</v>
      </c>
      <c r="C36" s="45" t="s">
        <v>136</v>
      </c>
      <c r="D36" s="22" t="s">
        <v>137</v>
      </c>
      <c r="E36" s="31"/>
      <c r="F36" s="22" t="s">
        <v>187</v>
      </c>
      <c r="G36" s="22" t="s">
        <v>358</v>
      </c>
      <c r="H36" s="22" t="s">
        <v>244</v>
      </c>
      <c r="I36" s="45" t="s">
        <v>359</v>
      </c>
      <c r="J36" s="22" t="s">
        <v>251</v>
      </c>
      <c r="K36" s="22" t="s">
        <v>278</v>
      </c>
      <c r="L36" s="22" t="str">
        <f t="shared" si="0"/>
        <v>✔</v>
      </c>
      <c r="M36" s="55" t="str">
        <f t="shared" si="1"/>
        <v/>
      </c>
      <c r="O36" s="34">
        <f>IF($B36="",999999999,IF($D36="Installed",999999999,IF(NOT(ISNUMBER($E36)),999900000+32,$E36*10000+32)))</f>
        <v>999999999</v>
      </c>
      <c r="Q36" s="34">
        <f t="shared" si="2"/>
        <v>0</v>
      </c>
      <c r="R36" s="34" t="str">
        <f>IF($Q36=1,SUM($Q$5:$Q36),"")</f>
        <v/>
      </c>
    </row>
    <row r="37" spans="1:18" x14ac:dyDescent="0.25">
      <c r="A37" s="31">
        <v>46218</v>
      </c>
      <c r="B37" s="45" t="s">
        <v>360</v>
      </c>
      <c r="C37" s="45" t="s">
        <v>361</v>
      </c>
      <c r="D37" s="22" t="s">
        <v>137</v>
      </c>
      <c r="E37" s="31">
        <v>46238</v>
      </c>
      <c r="F37" s="22" t="s">
        <v>273</v>
      </c>
      <c r="G37" s="22" t="s">
        <v>362</v>
      </c>
      <c r="H37" s="22" t="s">
        <v>244</v>
      </c>
      <c r="I37" s="45" t="s">
        <v>363</v>
      </c>
      <c r="J37" s="22" t="s">
        <v>246</v>
      </c>
      <c r="K37" s="22" t="s">
        <v>247</v>
      </c>
      <c r="L37" s="22" t="str">
        <f>IF($D37="Installed","✔","")</f>
        <v>✔</v>
      </c>
      <c r="M37" s="55" t="str">
        <f t="shared" ref="M37:M68" si="3">IF($B37="","",IF($D37="Installed","",IF(AND($D37="Not Ready",$E37&lt;&gt;"",NOT(ISNUMBER($E37))),"⚠ CHECK DATE",IF(AND($D37="Not Ready",ISNUMBER($E37),$E37&lt;$P$3),"⚠ PAST DUE - NOT READY",IF(AND($D37="Not Ready",ISNUMBER($E37),$E37&gt;=$P$3,$E37&lt;=$P$5),"⚠ EQUIP NOT READY",IF(AND($H37="Not Ready",ISNUMBER($E37),$E37&gt;=$P$3,$E37&lt;=$P$5),"⚠ CUSTOMER NOT READY",""))))))</f>
        <v/>
      </c>
      <c r="O37" s="34">
        <f>IF($B37="",999999999,IF($D37="Installed",999999999,IF(NOT(ISNUMBER($E37)),999900000+33,$E37*10000+33)))</f>
        <v>999999999</v>
      </c>
      <c r="Q37" s="34">
        <f t="shared" ref="Q37:Q68" si="4">IF(LEFT($M37,1)="⚠",1,0)</f>
        <v>0</v>
      </c>
      <c r="R37" s="34" t="str">
        <f>IF($Q37=1,SUM($Q$5:$Q37),"")</f>
        <v/>
      </c>
    </row>
    <row r="38" spans="1:18" ht="25.5" x14ac:dyDescent="0.25">
      <c r="A38" s="31">
        <v>46218</v>
      </c>
      <c r="B38" s="45" t="s">
        <v>364</v>
      </c>
      <c r="C38" s="45" t="s">
        <v>365</v>
      </c>
      <c r="D38" s="22" t="s">
        <v>137</v>
      </c>
      <c r="E38" s="31">
        <v>46247</v>
      </c>
      <c r="F38" s="22" t="s">
        <v>366</v>
      </c>
      <c r="G38" s="22" t="s">
        <v>367</v>
      </c>
      <c r="H38" s="22" t="s">
        <v>244</v>
      </c>
      <c r="I38" s="45" t="s">
        <v>368</v>
      </c>
      <c r="J38" s="22" t="s">
        <v>369</v>
      </c>
      <c r="K38" s="22" t="s">
        <v>164</v>
      </c>
      <c r="L38" s="22" t="str">
        <f>IF($D38="Installed","✔","")</f>
        <v>✔</v>
      </c>
      <c r="M38" s="55" t="str">
        <f t="shared" si="3"/>
        <v/>
      </c>
      <c r="O38" s="34">
        <f>IF($B38="",999999999,IF($D38="Installed",999999999,IF(NOT(ISNUMBER($E38)),999900000+34,$E38*10000+34)))</f>
        <v>999999999</v>
      </c>
      <c r="Q38" s="34">
        <f t="shared" si="4"/>
        <v>0</v>
      </c>
      <c r="R38" s="34" t="str">
        <f>IF($Q38=1,SUM($Q$5:$Q38),"")</f>
        <v/>
      </c>
    </row>
    <row r="39" spans="1:18" ht="15" customHeight="1" x14ac:dyDescent="0.25">
      <c r="A39" s="31">
        <v>46218</v>
      </c>
      <c r="B39" s="45" t="s">
        <v>370</v>
      </c>
      <c r="C39" s="45" t="s">
        <v>371</v>
      </c>
      <c r="D39" s="22" t="s">
        <v>137</v>
      </c>
      <c r="E39" s="31">
        <v>46224</v>
      </c>
      <c r="F39" s="22" t="s">
        <v>281</v>
      </c>
      <c r="G39" s="22" t="s">
        <v>372</v>
      </c>
      <c r="H39" s="22" t="s">
        <v>244</v>
      </c>
      <c r="I39" s="45"/>
      <c r="J39" s="22" t="s">
        <v>369</v>
      </c>
      <c r="K39" s="22" t="s">
        <v>247</v>
      </c>
      <c r="L39" s="22" t="str">
        <f t="shared" ref="L39:L68" si="5">IF($D39="Installed","✔","")</f>
        <v>✔</v>
      </c>
      <c r="M39" s="55" t="str">
        <f t="shared" si="3"/>
        <v/>
      </c>
      <c r="O39" s="34">
        <f>IF($B39="",999999999,IF($D39="Installed",999999999,IF(NOT(ISNUMBER($E39)),999900000+35,$E39*10000+35)))</f>
        <v>999999999</v>
      </c>
      <c r="Q39" s="34">
        <f t="shared" si="4"/>
        <v>0</v>
      </c>
      <c r="R39" s="34" t="str">
        <f>IF($Q39=1,SUM($Q$5:$Q39),"")</f>
        <v/>
      </c>
    </row>
    <row r="40" spans="1:18" ht="15" customHeight="1" x14ac:dyDescent="0.25">
      <c r="A40" s="31">
        <v>46218</v>
      </c>
      <c r="B40" s="45" t="s">
        <v>373</v>
      </c>
      <c r="C40" s="45" t="s">
        <v>249</v>
      </c>
      <c r="D40" s="22" t="s">
        <v>137</v>
      </c>
      <c r="E40" s="31">
        <v>46220</v>
      </c>
      <c r="F40" s="22" t="s">
        <v>187</v>
      </c>
      <c r="G40" s="22" t="s">
        <v>374</v>
      </c>
      <c r="H40" s="22" t="s">
        <v>244</v>
      </c>
      <c r="I40" s="45"/>
      <c r="J40" s="22" t="s">
        <v>251</v>
      </c>
      <c r="K40" s="22" t="s">
        <v>247</v>
      </c>
      <c r="L40" s="22" t="str">
        <f t="shared" si="5"/>
        <v>✔</v>
      </c>
      <c r="M40" s="55" t="str">
        <f t="shared" si="3"/>
        <v/>
      </c>
      <c r="O40" s="34">
        <f>IF($B40="",999999999,IF($D40="Installed",999999999,IF(NOT(ISNUMBER($E40)),999900000+36,$E40*10000+36)))</f>
        <v>999999999</v>
      </c>
      <c r="Q40" s="34">
        <f t="shared" si="4"/>
        <v>0</v>
      </c>
      <c r="R40" s="34" t="str">
        <f>IF($Q40=1,SUM($Q$5:$Q40),"")</f>
        <v/>
      </c>
    </row>
    <row r="41" spans="1:18" ht="23.25" customHeight="1" x14ac:dyDescent="0.25">
      <c r="A41" s="31">
        <v>46226</v>
      </c>
      <c r="B41" s="45" t="s">
        <v>199</v>
      </c>
      <c r="C41" s="45" t="s">
        <v>375</v>
      </c>
      <c r="D41" s="22" t="s">
        <v>137</v>
      </c>
      <c r="E41" s="31">
        <v>46233</v>
      </c>
      <c r="F41" s="22" t="s">
        <v>242</v>
      </c>
      <c r="G41" s="22" t="s">
        <v>376</v>
      </c>
      <c r="H41" s="22" t="s">
        <v>244</v>
      </c>
      <c r="I41" s="45" t="s">
        <v>377</v>
      </c>
      <c r="J41" s="22" t="s">
        <v>378</v>
      </c>
      <c r="K41" s="22" t="s">
        <v>379</v>
      </c>
      <c r="L41" s="22" t="str">
        <f t="shared" si="5"/>
        <v>✔</v>
      </c>
      <c r="M41" s="55" t="str">
        <f t="shared" si="3"/>
        <v/>
      </c>
      <c r="O41" s="34">
        <f>IF($B41="",999999999,IF($D41="Installed",999999999,IF(NOT(ISNUMBER($E41)),999900000+37,$E41*10000+37)))</f>
        <v>999999999</v>
      </c>
      <c r="Q41" s="34">
        <f t="shared" si="4"/>
        <v>0</v>
      </c>
      <c r="R41" s="34" t="str">
        <f>IF($Q41=1,SUM($Q$5:$Q41),"")</f>
        <v/>
      </c>
    </row>
    <row r="42" spans="1:18" ht="15" customHeight="1" x14ac:dyDescent="0.25">
      <c r="A42" s="31">
        <v>46225</v>
      </c>
      <c r="B42" s="45" t="s">
        <v>197</v>
      </c>
      <c r="C42" s="45" t="s">
        <v>380</v>
      </c>
      <c r="D42" s="22" t="s">
        <v>381</v>
      </c>
      <c r="E42" s="31"/>
      <c r="F42" s="22"/>
      <c r="G42" s="22"/>
      <c r="H42" s="22"/>
      <c r="I42" s="45"/>
      <c r="J42" s="22" t="s">
        <v>378</v>
      </c>
      <c r="K42" s="22" t="s">
        <v>278</v>
      </c>
      <c r="L42" s="22" t="str">
        <f t="shared" si="5"/>
        <v/>
      </c>
      <c r="M42" s="55" t="str">
        <f t="shared" ca="1" si="3"/>
        <v/>
      </c>
      <c r="O42" s="34">
        <f>IF($B42="",999999999,IF($D42="Installed",999999999,IF(NOT(ISNUMBER($E42)),999900000+38,$E42*10000+38)))</f>
        <v>999900038</v>
      </c>
      <c r="Q42" s="34">
        <f t="shared" ca="1" si="4"/>
        <v>0</v>
      </c>
      <c r="R42" s="34" t="str">
        <f ca="1">IF($Q42=1,SUM($Q$5:$Q42),"")</f>
        <v/>
      </c>
    </row>
    <row r="43" spans="1:18" ht="15" customHeight="1" x14ac:dyDescent="0.25">
      <c r="A43" s="31">
        <v>46225</v>
      </c>
      <c r="B43" s="45" t="s">
        <v>194</v>
      </c>
      <c r="C43" s="45" t="s">
        <v>382</v>
      </c>
      <c r="D43" s="22" t="s">
        <v>137</v>
      </c>
      <c r="E43" s="31">
        <v>46240</v>
      </c>
      <c r="F43" s="22" t="s">
        <v>383</v>
      </c>
      <c r="G43" s="22" t="s">
        <v>384</v>
      </c>
      <c r="H43" s="22" t="s">
        <v>244</v>
      </c>
      <c r="I43" s="45" t="s">
        <v>385</v>
      </c>
      <c r="J43" s="22" t="s">
        <v>246</v>
      </c>
      <c r="K43" s="22" t="s">
        <v>132</v>
      </c>
      <c r="L43" s="22" t="str">
        <f>IF($D43="Installed","✔","")</f>
        <v>✔</v>
      </c>
      <c r="M43" s="55" t="str">
        <f t="shared" si="3"/>
        <v/>
      </c>
      <c r="O43" s="34">
        <f>IF($B43="",999999999,IF($D43="Installed",999999999,IF(NOT(ISNUMBER($E43)),999900000+39,$E43*10000+39)))</f>
        <v>999999999</v>
      </c>
      <c r="Q43" s="34">
        <f t="shared" si="4"/>
        <v>0</v>
      </c>
      <c r="R43" s="34" t="str">
        <f>IF($Q43=1,SUM($Q$5:$Q43),"")</f>
        <v/>
      </c>
    </row>
    <row r="44" spans="1:18" ht="25.5" x14ac:dyDescent="0.25">
      <c r="A44" s="31">
        <v>46224</v>
      </c>
      <c r="B44" s="45" t="s">
        <v>386</v>
      </c>
      <c r="C44" s="45" t="s">
        <v>387</v>
      </c>
      <c r="D44" s="22" t="s">
        <v>137</v>
      </c>
      <c r="E44" s="31">
        <v>46233</v>
      </c>
      <c r="F44" s="22" t="s">
        <v>265</v>
      </c>
      <c r="G44" s="22" t="s">
        <v>388</v>
      </c>
      <c r="H44" s="22" t="s">
        <v>244</v>
      </c>
      <c r="I44" s="45"/>
      <c r="J44" s="22" t="s">
        <v>356</v>
      </c>
      <c r="K44" s="22" t="s">
        <v>247</v>
      </c>
      <c r="L44" s="22" t="str">
        <f t="shared" si="5"/>
        <v>✔</v>
      </c>
      <c r="M44" s="55" t="str">
        <f t="shared" si="3"/>
        <v/>
      </c>
      <c r="O44" s="34">
        <f>IF($B44="",999999999,IF($D44="Installed",999999999,IF(NOT(ISNUMBER($E44)),999900000+40,$E44*10000+40)))</f>
        <v>999999999</v>
      </c>
      <c r="Q44" s="34">
        <f t="shared" si="4"/>
        <v>0</v>
      </c>
      <c r="R44" s="34" t="str">
        <f>IF($Q44=1,SUM($Q$5:$Q44),"")</f>
        <v/>
      </c>
    </row>
    <row r="45" spans="1:18" ht="45.75" customHeight="1" x14ac:dyDescent="0.25">
      <c r="A45" s="31">
        <v>46226</v>
      </c>
      <c r="B45" s="45" t="s">
        <v>389</v>
      </c>
      <c r="C45" s="45" t="s">
        <v>390</v>
      </c>
      <c r="D45" s="22" t="s">
        <v>381</v>
      </c>
      <c r="E45" s="31"/>
      <c r="F45" s="22"/>
      <c r="G45" s="22"/>
      <c r="H45" s="22"/>
      <c r="I45" s="45"/>
      <c r="J45" s="22" t="s">
        <v>262</v>
      </c>
      <c r="K45" s="22" t="s">
        <v>132</v>
      </c>
      <c r="L45" s="22" t="str">
        <f t="shared" si="5"/>
        <v/>
      </c>
      <c r="M45" s="55" t="str">
        <f t="shared" ca="1" si="3"/>
        <v/>
      </c>
      <c r="O45" s="34">
        <f>IF($B45="",999999999,IF($D45="Installed",999999999,IF(NOT(ISNUMBER($E45)),999900000+41,$E45*10000+41)))</f>
        <v>999900041</v>
      </c>
      <c r="Q45" s="34">
        <f t="shared" ca="1" si="4"/>
        <v>0</v>
      </c>
      <c r="R45" s="34" t="str">
        <f ca="1">IF($Q45=1,SUM($Q$5:$Q45),"")</f>
        <v/>
      </c>
    </row>
    <row r="46" spans="1:18" ht="15" customHeight="1" x14ac:dyDescent="0.25">
      <c r="A46" s="31">
        <v>46226</v>
      </c>
      <c r="B46" s="45" t="s">
        <v>391</v>
      </c>
      <c r="C46" s="45" t="s">
        <v>392</v>
      </c>
      <c r="D46" s="22" t="s">
        <v>137</v>
      </c>
      <c r="E46" s="31">
        <v>46240</v>
      </c>
      <c r="F46" s="22" t="s">
        <v>281</v>
      </c>
      <c r="G46" s="22" t="s">
        <v>393</v>
      </c>
      <c r="H46" s="22" t="s">
        <v>244</v>
      </c>
      <c r="I46" s="45"/>
      <c r="J46" s="22" t="s">
        <v>262</v>
      </c>
      <c r="K46" s="22" t="s">
        <v>247</v>
      </c>
      <c r="L46" s="22" t="str">
        <f t="shared" si="5"/>
        <v>✔</v>
      </c>
      <c r="M46" s="55" t="str">
        <f t="shared" si="3"/>
        <v/>
      </c>
      <c r="O46" s="34">
        <f>IF($B46="",999999999,IF($D46="Installed",999999999,IF(NOT(ISNUMBER($E46)),999900000+42,$E46*10000+42)))</f>
        <v>999999999</v>
      </c>
      <c r="Q46" s="34">
        <f t="shared" si="4"/>
        <v>0</v>
      </c>
      <c r="R46" s="34" t="str">
        <f>IF($Q46=1,SUM($Q$5:$Q46),"")</f>
        <v/>
      </c>
    </row>
    <row r="47" spans="1:18" ht="15" customHeight="1" x14ac:dyDescent="0.25">
      <c r="A47" s="31">
        <v>46234</v>
      </c>
      <c r="B47" s="45" t="s">
        <v>394</v>
      </c>
      <c r="C47" s="45" t="s">
        <v>395</v>
      </c>
      <c r="D47" s="22" t="s">
        <v>137</v>
      </c>
      <c r="E47" s="31">
        <v>46240</v>
      </c>
      <c r="F47" s="22" t="s">
        <v>255</v>
      </c>
      <c r="G47" s="22" t="s">
        <v>396</v>
      </c>
      <c r="H47" s="22" t="s">
        <v>244</v>
      </c>
      <c r="I47" s="45" t="s">
        <v>397</v>
      </c>
      <c r="J47" s="22" t="s">
        <v>378</v>
      </c>
      <c r="K47" s="22" t="s">
        <v>247</v>
      </c>
      <c r="L47" s="22" t="str">
        <f t="shared" si="5"/>
        <v>✔</v>
      </c>
      <c r="M47" s="55" t="str">
        <f t="shared" si="3"/>
        <v/>
      </c>
      <c r="O47" s="34">
        <f>IF($B47="",999999999,IF($D47="Installed",999999999,IF(NOT(ISNUMBER($E47)),999900000+43,$E47*10000+43)))</f>
        <v>999999999</v>
      </c>
      <c r="Q47" s="34">
        <f t="shared" si="4"/>
        <v>0</v>
      </c>
      <c r="R47" s="34" t="str">
        <f>IF($Q47=1,SUM($Q$5:$Q47),"")</f>
        <v/>
      </c>
    </row>
    <row r="48" spans="1:18" ht="15" customHeight="1" x14ac:dyDescent="0.25">
      <c r="A48" s="31">
        <v>46237</v>
      </c>
      <c r="B48" s="45" t="s">
        <v>398</v>
      </c>
      <c r="C48" s="45" t="s">
        <v>399</v>
      </c>
      <c r="D48" s="22" t="s">
        <v>244</v>
      </c>
      <c r="E48" s="31"/>
      <c r="F48" s="22"/>
      <c r="G48" s="22"/>
      <c r="H48" s="22" t="s">
        <v>381</v>
      </c>
      <c r="I48" s="45"/>
      <c r="J48" s="22" t="s">
        <v>378</v>
      </c>
      <c r="K48" s="22" t="s">
        <v>247</v>
      </c>
      <c r="L48" s="22" t="str">
        <f t="shared" si="5"/>
        <v/>
      </c>
      <c r="M48" s="55" t="str">
        <f t="shared" ca="1" si="3"/>
        <v/>
      </c>
      <c r="O48" s="34">
        <f>IF($B48="",999999999,IF($D48="Installed",999999999,IF(NOT(ISNUMBER($E48)),999900000+44,$E48*10000+44)))</f>
        <v>999900044</v>
      </c>
      <c r="Q48" s="34">
        <f t="shared" ca="1" si="4"/>
        <v>0</v>
      </c>
      <c r="R48" s="34" t="str">
        <f ca="1">IF($Q48=1,SUM($Q$5:$Q48),"")</f>
        <v/>
      </c>
    </row>
    <row r="49" spans="1:18" x14ac:dyDescent="0.25">
      <c r="A49" s="31">
        <v>46238</v>
      </c>
      <c r="B49" s="45" t="s">
        <v>400</v>
      </c>
      <c r="C49" s="45" t="s">
        <v>249</v>
      </c>
      <c r="D49" s="22" t="s">
        <v>137</v>
      </c>
      <c r="E49" s="31">
        <v>46257</v>
      </c>
      <c r="F49" s="22" t="s">
        <v>383</v>
      </c>
      <c r="G49" s="22" t="s">
        <v>401</v>
      </c>
      <c r="H49" s="22" t="s">
        <v>244</v>
      </c>
      <c r="I49" s="45"/>
      <c r="J49" s="22" t="s">
        <v>287</v>
      </c>
      <c r="K49" s="22" t="s">
        <v>247</v>
      </c>
      <c r="L49" s="22" t="str">
        <f t="shared" si="5"/>
        <v>✔</v>
      </c>
      <c r="M49" s="55" t="str">
        <f t="shared" si="3"/>
        <v/>
      </c>
      <c r="O49" s="34">
        <f>IF($B49="",999999999,IF($D49="Installed",999999999,IF(NOT(ISNUMBER($E49)),999900000+45,$E49*10000+45)))</f>
        <v>999999999</v>
      </c>
      <c r="Q49" s="34">
        <f t="shared" si="4"/>
        <v>0</v>
      </c>
      <c r="R49" s="34" t="str">
        <f>IF($Q49=1,SUM($Q$5:$Q49),"")</f>
        <v/>
      </c>
    </row>
    <row r="50" spans="1:18" ht="15" customHeight="1" x14ac:dyDescent="0.25">
      <c r="A50" s="31">
        <v>46238</v>
      </c>
      <c r="B50" s="45" t="s">
        <v>402</v>
      </c>
      <c r="C50" s="45" t="s">
        <v>403</v>
      </c>
      <c r="D50" s="22" t="s">
        <v>381</v>
      </c>
      <c r="E50" s="31"/>
      <c r="F50" s="22" t="s">
        <v>383</v>
      </c>
      <c r="G50" s="22"/>
      <c r="H50" s="22" t="s">
        <v>244</v>
      </c>
      <c r="I50" s="45"/>
      <c r="J50" s="22" t="s">
        <v>287</v>
      </c>
      <c r="K50" s="22" t="s">
        <v>247</v>
      </c>
      <c r="L50" s="22" t="str">
        <f t="shared" si="5"/>
        <v/>
      </c>
      <c r="M50" s="55" t="str">
        <f t="shared" ca="1" si="3"/>
        <v/>
      </c>
      <c r="O50" s="34">
        <f>IF($B50="",999999999,IF($D50="Installed",999999999,IF(NOT(ISNUMBER($E50)),999900000+46,$E50*10000+46)))</f>
        <v>999900046</v>
      </c>
      <c r="Q50" s="34">
        <f t="shared" ca="1" si="4"/>
        <v>0</v>
      </c>
      <c r="R50" s="34" t="str">
        <f ca="1">IF($Q50=1,SUM($Q$5:$Q50),"")</f>
        <v/>
      </c>
    </row>
    <row r="51" spans="1:18" ht="15" customHeight="1" x14ac:dyDescent="0.25">
      <c r="A51" s="31">
        <v>46246</v>
      </c>
      <c r="B51" s="45" t="s">
        <v>404</v>
      </c>
      <c r="C51" s="45"/>
      <c r="D51" s="22" t="s">
        <v>381</v>
      </c>
      <c r="E51" s="31"/>
      <c r="F51" s="22" t="s">
        <v>187</v>
      </c>
      <c r="G51" s="22"/>
      <c r="H51" s="22"/>
      <c r="I51" s="45" t="s">
        <v>405</v>
      </c>
      <c r="J51" s="22"/>
      <c r="K51" s="22" t="s">
        <v>247</v>
      </c>
      <c r="L51" s="22" t="str">
        <f t="shared" si="5"/>
        <v/>
      </c>
      <c r="M51" s="55" t="str">
        <f t="shared" ca="1" si="3"/>
        <v/>
      </c>
      <c r="O51" s="34">
        <f>IF($B51="",999999999,IF($D51="Installed",999999999,IF(NOT(ISNUMBER($E51)),999900000+47,$E51*10000+47)))</f>
        <v>999900047</v>
      </c>
      <c r="Q51" s="34">
        <f t="shared" ca="1" si="4"/>
        <v>0</v>
      </c>
      <c r="R51" s="34" t="str">
        <f ca="1">IF($Q51=1,SUM($Q$5:$Q51),"")</f>
        <v/>
      </c>
    </row>
    <row r="52" spans="1:18" ht="15" customHeight="1" x14ac:dyDescent="0.25">
      <c r="A52" s="31">
        <v>46247</v>
      </c>
      <c r="B52" s="45" t="s">
        <v>406</v>
      </c>
      <c r="C52" s="45" t="s">
        <v>407</v>
      </c>
      <c r="D52" s="22" t="s">
        <v>244</v>
      </c>
      <c r="E52" s="31">
        <v>46254</v>
      </c>
      <c r="F52" s="22"/>
      <c r="G52" s="22" t="s">
        <v>408</v>
      </c>
      <c r="H52" s="22" t="s">
        <v>244</v>
      </c>
      <c r="I52" s="45" t="s">
        <v>409</v>
      </c>
      <c r="J52" s="22" t="s">
        <v>378</v>
      </c>
      <c r="K52" s="22" t="s">
        <v>247</v>
      </c>
      <c r="L52" s="22" t="str">
        <f t="shared" si="5"/>
        <v/>
      </c>
      <c r="M52" s="55" t="str">
        <f t="shared" ca="1" si="3"/>
        <v/>
      </c>
      <c r="O52" s="34">
        <f>IF($B52="",999999999,IF($D52="Installed",999999999,IF(NOT(ISNUMBER($E52)),999900000+48,$E52*10000+48)))</f>
        <v>462540048</v>
      </c>
      <c r="Q52" s="34">
        <f t="shared" ca="1" si="4"/>
        <v>0</v>
      </c>
      <c r="R52" s="34" t="str">
        <f ca="1">IF($Q52=1,SUM($Q$5:$Q52),"")</f>
        <v/>
      </c>
    </row>
    <row r="53" spans="1:18" ht="15" customHeight="1" x14ac:dyDescent="0.25">
      <c r="A53" s="31">
        <v>46251</v>
      </c>
      <c r="B53" s="45" t="s">
        <v>410</v>
      </c>
      <c r="C53" s="45" t="s">
        <v>411</v>
      </c>
      <c r="D53" s="22"/>
      <c r="E53" s="31"/>
      <c r="F53" s="22"/>
      <c r="G53" s="22"/>
      <c r="H53" s="22"/>
      <c r="I53" s="45"/>
      <c r="J53" s="22"/>
      <c r="K53" s="22"/>
      <c r="L53" s="22" t="str">
        <f t="shared" si="5"/>
        <v/>
      </c>
      <c r="M53" s="55" t="str">
        <f t="shared" ca="1" si="3"/>
        <v/>
      </c>
      <c r="O53" s="34">
        <f>IF($B53="",999999999,IF($D53="Installed",999999999,IF(NOT(ISNUMBER($E53)),999900000+49,$E53*10000+49)))</f>
        <v>999900049</v>
      </c>
      <c r="Q53" s="34">
        <f t="shared" ca="1" si="4"/>
        <v>0</v>
      </c>
      <c r="R53" s="34" t="str">
        <f ca="1">IF($Q53=1,SUM($Q$5:$Q53),"")</f>
        <v/>
      </c>
    </row>
    <row r="54" spans="1:18" ht="15" customHeight="1" x14ac:dyDescent="0.25">
      <c r="A54" s="31"/>
      <c r="B54" s="45"/>
      <c r="C54" s="45"/>
      <c r="D54" s="22"/>
      <c r="E54" s="31"/>
      <c r="F54" s="22"/>
      <c r="G54" s="22"/>
      <c r="H54" s="22"/>
      <c r="I54" s="45"/>
      <c r="J54" s="22"/>
      <c r="K54" s="22"/>
      <c r="L54" s="22" t="str">
        <f t="shared" si="5"/>
        <v/>
      </c>
      <c r="M54" s="55" t="str">
        <f t="shared" si="3"/>
        <v/>
      </c>
      <c r="O54" s="34">
        <f>IF($B54="",999999999,IF($D54="Installed",999999999,IF(NOT(ISNUMBER($E54)),999900000+50,$E54*10000+50)))</f>
        <v>999999999</v>
      </c>
      <c r="Q54" s="34">
        <f t="shared" si="4"/>
        <v>0</v>
      </c>
      <c r="R54" s="34" t="str">
        <f>IF($Q54=1,SUM($Q$5:$Q54),"")</f>
        <v/>
      </c>
    </row>
    <row r="55" spans="1:18" ht="15" customHeight="1" x14ac:dyDescent="0.25">
      <c r="A55" s="31"/>
      <c r="B55" s="45"/>
      <c r="C55" s="45"/>
      <c r="D55" s="22"/>
      <c r="E55" s="31"/>
      <c r="F55" s="22"/>
      <c r="G55" s="22"/>
      <c r="H55" s="22"/>
      <c r="I55" s="45"/>
      <c r="J55" s="22"/>
      <c r="K55" s="22"/>
      <c r="L55" s="22" t="str">
        <f t="shared" si="5"/>
        <v/>
      </c>
      <c r="M55" s="55" t="str">
        <f t="shared" si="3"/>
        <v/>
      </c>
      <c r="O55" s="34">
        <f>IF($B55="",999999999,IF($D55="Installed",999999999,IF(NOT(ISNUMBER($E55)),999900000+51,$E55*10000+51)))</f>
        <v>999999999</v>
      </c>
      <c r="Q55" s="34">
        <f t="shared" si="4"/>
        <v>0</v>
      </c>
      <c r="R55" s="34" t="str">
        <f>IF($Q55=1,SUM($Q$5:$Q55),"")</f>
        <v/>
      </c>
    </row>
    <row r="56" spans="1:18" ht="15" customHeight="1" x14ac:dyDescent="0.25">
      <c r="A56" s="31"/>
      <c r="B56" s="45"/>
      <c r="C56" s="45"/>
      <c r="D56" s="22"/>
      <c r="E56" s="31"/>
      <c r="F56" s="22"/>
      <c r="G56" s="22"/>
      <c r="H56" s="22"/>
      <c r="I56" s="45"/>
      <c r="J56" s="22"/>
      <c r="K56" s="22"/>
      <c r="L56" s="22" t="str">
        <f t="shared" si="5"/>
        <v/>
      </c>
      <c r="M56" s="55" t="str">
        <f t="shared" si="3"/>
        <v/>
      </c>
      <c r="O56" s="34">
        <f>IF($B56="",999999999,IF($D56="Installed",999999999,IF(NOT(ISNUMBER($E56)),999900000+52,$E56*10000+52)))</f>
        <v>999999999</v>
      </c>
      <c r="Q56" s="34">
        <f t="shared" si="4"/>
        <v>0</v>
      </c>
      <c r="R56" s="34" t="str">
        <f>IF($Q56=1,SUM($Q$5:$Q56),"")</f>
        <v/>
      </c>
    </row>
    <row r="57" spans="1:18" ht="15" customHeight="1" x14ac:dyDescent="0.25">
      <c r="A57" s="31"/>
      <c r="B57" s="45"/>
      <c r="C57" s="45"/>
      <c r="D57" s="22"/>
      <c r="E57" s="31"/>
      <c r="F57" s="22"/>
      <c r="G57" s="22"/>
      <c r="H57" s="22"/>
      <c r="I57" s="45"/>
      <c r="J57" s="22"/>
      <c r="K57" s="22"/>
      <c r="L57" s="22" t="str">
        <f t="shared" si="5"/>
        <v/>
      </c>
      <c r="M57" s="55" t="str">
        <f t="shared" si="3"/>
        <v/>
      </c>
      <c r="O57" s="34">
        <f>IF($B57="",999999999,IF($D57="Installed",999999999,IF(NOT(ISNUMBER($E57)),999900000+53,$E57*10000+53)))</f>
        <v>999999999</v>
      </c>
      <c r="Q57" s="34">
        <f t="shared" si="4"/>
        <v>0</v>
      </c>
      <c r="R57" s="34" t="str">
        <f>IF($Q57=1,SUM($Q$5:$Q57),"")</f>
        <v/>
      </c>
    </row>
    <row r="58" spans="1:18" ht="15" customHeight="1" x14ac:dyDescent="0.25">
      <c r="A58" s="31"/>
      <c r="B58" s="45"/>
      <c r="C58" s="45"/>
      <c r="D58" s="22"/>
      <c r="E58" s="31"/>
      <c r="F58" s="22"/>
      <c r="G58" s="22"/>
      <c r="H58" s="22"/>
      <c r="I58" s="45"/>
      <c r="J58" s="22"/>
      <c r="K58" s="22"/>
      <c r="L58" s="22" t="str">
        <f t="shared" si="5"/>
        <v/>
      </c>
      <c r="M58" s="55" t="str">
        <f t="shared" si="3"/>
        <v/>
      </c>
      <c r="O58" s="34">
        <f>IF($B58="",999999999,IF($D58="Installed",999999999,IF(NOT(ISNUMBER($E58)),999900000+54,$E58*10000+54)))</f>
        <v>999999999</v>
      </c>
      <c r="Q58" s="34">
        <f t="shared" si="4"/>
        <v>0</v>
      </c>
      <c r="R58" s="34" t="str">
        <f>IF($Q58=1,SUM($Q$5:$Q58),"")</f>
        <v/>
      </c>
    </row>
    <row r="59" spans="1:18" ht="15" customHeight="1" x14ac:dyDescent="0.25">
      <c r="A59" s="31"/>
      <c r="B59" s="45"/>
      <c r="C59" s="45"/>
      <c r="D59" s="22"/>
      <c r="E59" s="31"/>
      <c r="F59" s="22"/>
      <c r="G59" s="22"/>
      <c r="H59" s="22"/>
      <c r="I59" s="45"/>
      <c r="J59" s="22"/>
      <c r="K59" s="22"/>
      <c r="L59" s="22" t="str">
        <f t="shared" si="5"/>
        <v/>
      </c>
      <c r="M59" s="55" t="str">
        <f t="shared" si="3"/>
        <v/>
      </c>
      <c r="O59" s="34">
        <f>IF($B59="",999999999,IF($D59="Installed",999999999,IF(NOT(ISNUMBER($E59)),999900000+55,$E59*10000+55)))</f>
        <v>999999999</v>
      </c>
      <c r="Q59" s="34">
        <f t="shared" si="4"/>
        <v>0</v>
      </c>
      <c r="R59" s="34" t="str">
        <f>IF($Q59=1,SUM($Q$5:$Q59),"")</f>
        <v/>
      </c>
    </row>
    <row r="60" spans="1:18" ht="15" customHeight="1" x14ac:dyDescent="0.25">
      <c r="A60" s="31"/>
      <c r="B60" s="45"/>
      <c r="C60" s="45"/>
      <c r="D60" s="22"/>
      <c r="E60" s="31"/>
      <c r="F60" s="22"/>
      <c r="G60" s="22"/>
      <c r="H60" s="22"/>
      <c r="I60" s="45"/>
      <c r="J60" s="22"/>
      <c r="K60" s="22"/>
      <c r="L60" s="22" t="str">
        <f t="shared" si="5"/>
        <v/>
      </c>
      <c r="M60" s="55" t="str">
        <f t="shared" si="3"/>
        <v/>
      </c>
      <c r="O60" s="34">
        <f>IF($B60="",999999999,IF($D60="Installed",999999999,IF(NOT(ISNUMBER($E60)),999900000+56,$E60*10000+56)))</f>
        <v>999999999</v>
      </c>
      <c r="Q60" s="34">
        <f t="shared" si="4"/>
        <v>0</v>
      </c>
      <c r="R60" s="34" t="str">
        <f>IF($Q60=1,SUM($Q$5:$Q60),"")</f>
        <v/>
      </c>
    </row>
    <row r="61" spans="1:18" ht="15" customHeight="1" x14ac:dyDescent="0.25">
      <c r="A61" s="31"/>
      <c r="B61" s="45"/>
      <c r="C61" s="45"/>
      <c r="D61" s="22"/>
      <c r="E61" s="31"/>
      <c r="F61" s="22"/>
      <c r="G61" s="22"/>
      <c r="H61" s="22"/>
      <c r="I61" s="45"/>
      <c r="J61" s="22"/>
      <c r="K61" s="22"/>
      <c r="L61" s="22" t="str">
        <f t="shared" si="5"/>
        <v/>
      </c>
      <c r="M61" s="55" t="str">
        <f t="shared" si="3"/>
        <v/>
      </c>
      <c r="O61" s="34">
        <f>IF($B61="",999999999,IF($D61="Installed",999999999,IF(NOT(ISNUMBER($E61)),999900000+57,$E61*10000+57)))</f>
        <v>999999999</v>
      </c>
      <c r="Q61" s="34">
        <f t="shared" si="4"/>
        <v>0</v>
      </c>
      <c r="R61" s="34" t="str">
        <f>IF($Q61=1,SUM($Q$5:$Q61),"")</f>
        <v/>
      </c>
    </row>
    <row r="62" spans="1:18" ht="15" customHeight="1" x14ac:dyDescent="0.25">
      <c r="A62" s="31"/>
      <c r="B62" s="45"/>
      <c r="C62" s="45"/>
      <c r="D62" s="22"/>
      <c r="E62" s="31"/>
      <c r="F62" s="22"/>
      <c r="G62" s="22"/>
      <c r="H62" s="22"/>
      <c r="I62" s="45"/>
      <c r="J62" s="22"/>
      <c r="K62" s="22"/>
      <c r="L62" s="22" t="str">
        <f t="shared" si="5"/>
        <v/>
      </c>
      <c r="M62" s="55" t="str">
        <f t="shared" si="3"/>
        <v/>
      </c>
      <c r="O62" s="34">
        <f>IF($B62="",999999999,IF($D62="Installed",999999999,IF(NOT(ISNUMBER($E62)),999900000+58,$E62*10000+58)))</f>
        <v>999999999</v>
      </c>
      <c r="Q62" s="34">
        <f t="shared" si="4"/>
        <v>0</v>
      </c>
      <c r="R62" s="34" t="str">
        <f>IF($Q62=1,SUM($Q$5:$Q62),"")</f>
        <v/>
      </c>
    </row>
    <row r="63" spans="1:18" ht="15" customHeight="1" x14ac:dyDescent="0.25">
      <c r="A63" s="31"/>
      <c r="B63" s="45"/>
      <c r="C63" s="45"/>
      <c r="D63" s="22"/>
      <c r="E63" s="31"/>
      <c r="F63" s="22"/>
      <c r="G63" s="22"/>
      <c r="H63" s="22"/>
      <c r="I63" s="45"/>
      <c r="J63" s="22"/>
      <c r="K63" s="22"/>
      <c r="L63" s="22" t="str">
        <f t="shared" si="5"/>
        <v/>
      </c>
      <c r="M63" s="55" t="str">
        <f t="shared" si="3"/>
        <v/>
      </c>
      <c r="O63" s="34">
        <f>IF($B63="",999999999,IF($D63="Installed",999999999,IF(NOT(ISNUMBER($E63)),999900000+59,$E63*10000+59)))</f>
        <v>999999999</v>
      </c>
      <c r="Q63" s="34">
        <f t="shared" si="4"/>
        <v>0</v>
      </c>
      <c r="R63" s="34" t="str">
        <f>IF($Q63=1,SUM($Q$5:$Q63),"")</f>
        <v/>
      </c>
    </row>
    <row r="64" spans="1:18" ht="15" customHeight="1" x14ac:dyDescent="0.25">
      <c r="A64" s="31"/>
      <c r="B64" s="45"/>
      <c r="C64" s="45"/>
      <c r="D64" s="22"/>
      <c r="E64" s="31"/>
      <c r="F64" s="22"/>
      <c r="G64" s="22"/>
      <c r="H64" s="22"/>
      <c r="I64" s="45"/>
      <c r="J64" s="22"/>
      <c r="K64" s="22"/>
      <c r="L64" s="22" t="str">
        <f t="shared" si="5"/>
        <v/>
      </c>
      <c r="M64" s="55" t="str">
        <f t="shared" si="3"/>
        <v/>
      </c>
      <c r="O64" s="34">
        <f>IF($B64="",999999999,IF($D64="Installed",999999999,IF(NOT(ISNUMBER($E64)),999900000+60,$E64*10000+60)))</f>
        <v>999999999</v>
      </c>
      <c r="Q64" s="34">
        <f t="shared" si="4"/>
        <v>0</v>
      </c>
      <c r="R64" s="34" t="str">
        <f>IF($Q64=1,SUM($Q$5:$Q64),"")</f>
        <v/>
      </c>
    </row>
    <row r="65" spans="1:18" ht="15" customHeight="1" x14ac:dyDescent="0.25">
      <c r="A65" s="31"/>
      <c r="B65" s="45"/>
      <c r="C65" s="45"/>
      <c r="D65" s="22"/>
      <c r="E65" s="31"/>
      <c r="F65" s="22"/>
      <c r="G65" s="22"/>
      <c r="H65" s="22"/>
      <c r="I65" s="45"/>
      <c r="J65" s="22"/>
      <c r="K65" s="22"/>
      <c r="L65" s="22" t="str">
        <f t="shared" si="5"/>
        <v/>
      </c>
      <c r="M65" s="55" t="str">
        <f t="shared" si="3"/>
        <v/>
      </c>
      <c r="O65" s="34">
        <f>IF($B65="",999999999,IF($D65="Installed",999999999,IF(NOT(ISNUMBER($E65)),999900000+61,$E65*10000+61)))</f>
        <v>999999999</v>
      </c>
      <c r="Q65" s="34">
        <f t="shared" si="4"/>
        <v>0</v>
      </c>
      <c r="R65" s="34" t="str">
        <f>IF($Q65=1,SUM($Q$5:$Q65),"")</f>
        <v/>
      </c>
    </row>
    <row r="66" spans="1:18" ht="15" customHeight="1" x14ac:dyDescent="0.25">
      <c r="A66" s="31"/>
      <c r="B66" s="45"/>
      <c r="C66" s="45"/>
      <c r="D66" s="22"/>
      <c r="E66" s="31"/>
      <c r="F66" s="22"/>
      <c r="G66" s="22"/>
      <c r="H66" s="22"/>
      <c r="I66" s="45"/>
      <c r="J66" s="22"/>
      <c r="K66" s="22"/>
      <c r="L66" s="22" t="str">
        <f t="shared" si="5"/>
        <v/>
      </c>
      <c r="M66" s="55" t="str">
        <f t="shared" si="3"/>
        <v/>
      </c>
      <c r="O66" s="34">
        <f>IF($B66="",999999999,IF($D66="Installed",999999999,IF(NOT(ISNUMBER($E66)),999900000+62,$E66*10000+62)))</f>
        <v>999999999</v>
      </c>
      <c r="Q66" s="34">
        <f t="shared" si="4"/>
        <v>0</v>
      </c>
      <c r="R66" s="34" t="str">
        <f>IF($Q66=1,SUM($Q$5:$Q66),"")</f>
        <v/>
      </c>
    </row>
    <row r="67" spans="1:18" ht="15" customHeight="1" x14ac:dyDescent="0.25">
      <c r="A67" s="31"/>
      <c r="B67" s="45"/>
      <c r="C67" s="45"/>
      <c r="D67" s="22"/>
      <c r="E67" s="31"/>
      <c r="F67" s="22"/>
      <c r="G67" s="22"/>
      <c r="H67" s="22"/>
      <c r="I67" s="45"/>
      <c r="J67" s="22"/>
      <c r="K67" s="22"/>
      <c r="L67" s="22" t="str">
        <f t="shared" si="5"/>
        <v/>
      </c>
      <c r="M67" s="55" t="str">
        <f t="shared" si="3"/>
        <v/>
      </c>
      <c r="O67" s="34">
        <f>IF($B67="",999999999,IF($D67="Installed",999999999,IF(NOT(ISNUMBER($E67)),999900000+63,$E67*10000+63)))</f>
        <v>999999999</v>
      </c>
      <c r="Q67" s="34">
        <f t="shared" si="4"/>
        <v>0</v>
      </c>
      <c r="R67" s="34" t="str">
        <f>IF($Q67=1,SUM($Q$5:$Q67),"")</f>
        <v/>
      </c>
    </row>
    <row r="68" spans="1:18" ht="15" customHeight="1" x14ac:dyDescent="0.25">
      <c r="A68" s="31"/>
      <c r="B68" s="45"/>
      <c r="C68" s="45"/>
      <c r="D68" s="22"/>
      <c r="E68" s="31"/>
      <c r="F68" s="22"/>
      <c r="G68" s="22"/>
      <c r="H68" s="22"/>
      <c r="I68" s="45"/>
      <c r="J68" s="22"/>
      <c r="K68" s="22"/>
      <c r="L68" s="22" t="str">
        <f t="shared" si="5"/>
        <v/>
      </c>
      <c r="M68" s="55" t="str">
        <f t="shared" si="3"/>
        <v/>
      </c>
      <c r="O68" s="34">
        <f>IF($B68="",999999999,IF($D68="Installed",999999999,IF(NOT(ISNUMBER($E68)),999900000+64,$E68*10000+64)))</f>
        <v>999999999</v>
      </c>
      <c r="Q68" s="34">
        <f t="shared" si="4"/>
        <v>0</v>
      </c>
      <c r="R68" s="34" t="str">
        <f>IF($Q68=1,SUM($Q$5:$Q68),"")</f>
        <v/>
      </c>
    </row>
    <row r="69" spans="1:18" ht="15" customHeight="1" x14ac:dyDescent="0.25">
      <c r="A69" s="31"/>
      <c r="B69" s="45"/>
      <c r="C69" s="45"/>
      <c r="D69" s="22"/>
      <c r="E69" s="31"/>
      <c r="F69" s="22"/>
      <c r="G69" s="22"/>
      <c r="H69" s="22"/>
      <c r="I69" s="45"/>
      <c r="J69" s="22"/>
      <c r="K69" s="22"/>
      <c r="L69" s="22" t="str">
        <f t="shared" ref="L69:L100" si="6">IF($D69="Installed","✔","")</f>
        <v/>
      </c>
      <c r="M69" s="55" t="str">
        <f t="shared" ref="M69:M100" si="7">IF($B69="","",IF($D69="Installed","",IF(AND($D69="Not Ready",$E69&lt;&gt;"",NOT(ISNUMBER($E69))),"⚠ CHECK DATE",IF(AND($D69="Not Ready",ISNUMBER($E69),$E69&lt;$P$3),"⚠ PAST DUE - NOT READY",IF(AND($D69="Not Ready",ISNUMBER($E69),$E69&gt;=$P$3,$E69&lt;=$P$5),"⚠ EQUIP NOT READY",IF(AND($H69="Not Ready",ISNUMBER($E69),$E69&gt;=$P$3,$E69&lt;=$P$5),"⚠ CUSTOMER NOT READY",""))))))</f>
        <v/>
      </c>
      <c r="O69" s="34">
        <f>IF($B69="",999999999,IF($D69="Installed",999999999,IF(NOT(ISNUMBER($E69)),999900000+65,$E69*10000+65)))</f>
        <v>999999999</v>
      </c>
      <c r="Q69" s="34">
        <f t="shared" ref="Q69:Q100" si="8">IF(LEFT($M69,1)="⚠",1,0)</f>
        <v>0</v>
      </c>
      <c r="R69" s="34" t="str">
        <f>IF($Q69=1,SUM($Q$5:$Q69),"")</f>
        <v/>
      </c>
    </row>
    <row r="70" spans="1:18" ht="15" customHeight="1" x14ac:dyDescent="0.25">
      <c r="A70" s="31"/>
      <c r="B70" s="45"/>
      <c r="C70" s="45"/>
      <c r="D70" s="22"/>
      <c r="E70" s="31"/>
      <c r="F70" s="22"/>
      <c r="G70" s="22"/>
      <c r="H70" s="22"/>
      <c r="I70" s="45"/>
      <c r="J70" s="22"/>
      <c r="K70" s="22"/>
      <c r="L70" s="22" t="str">
        <f t="shared" si="6"/>
        <v/>
      </c>
      <c r="M70" s="55" t="str">
        <f t="shared" si="7"/>
        <v/>
      </c>
      <c r="O70" s="34">
        <f>IF($B70="",999999999,IF($D70="Installed",999999999,IF(NOT(ISNUMBER($E70)),999900000+66,$E70*10000+66)))</f>
        <v>999999999</v>
      </c>
      <c r="Q70" s="34">
        <f t="shared" si="8"/>
        <v>0</v>
      </c>
      <c r="R70" s="34" t="str">
        <f>IF($Q70=1,SUM($Q$5:$Q70),"")</f>
        <v/>
      </c>
    </row>
    <row r="71" spans="1:18" ht="15" customHeight="1" x14ac:dyDescent="0.25">
      <c r="A71" s="31"/>
      <c r="B71" s="45"/>
      <c r="C71" s="45"/>
      <c r="D71" s="22"/>
      <c r="E71" s="31"/>
      <c r="F71" s="22"/>
      <c r="G71" s="22"/>
      <c r="H71" s="22"/>
      <c r="I71" s="45"/>
      <c r="J71" s="22"/>
      <c r="K71" s="22"/>
      <c r="L71" s="22" t="str">
        <f t="shared" si="6"/>
        <v/>
      </c>
      <c r="M71" s="55" t="str">
        <f t="shared" si="7"/>
        <v/>
      </c>
      <c r="O71" s="34">
        <f>IF($B71="",999999999,IF($D71="Installed",999999999,IF(NOT(ISNUMBER($E71)),999900000+67,$E71*10000+67)))</f>
        <v>999999999</v>
      </c>
      <c r="Q71" s="34">
        <f t="shared" si="8"/>
        <v>0</v>
      </c>
      <c r="R71" s="34" t="str">
        <f>IF($Q71=1,SUM($Q$5:$Q71),"")</f>
        <v/>
      </c>
    </row>
    <row r="72" spans="1:18" ht="15" customHeight="1" x14ac:dyDescent="0.25">
      <c r="A72" s="31"/>
      <c r="B72" s="45"/>
      <c r="C72" s="45"/>
      <c r="D72" s="22"/>
      <c r="E72" s="31"/>
      <c r="F72" s="22"/>
      <c r="G72" s="22"/>
      <c r="H72" s="22"/>
      <c r="I72" s="45"/>
      <c r="J72" s="22"/>
      <c r="K72" s="22"/>
      <c r="L72" s="22" t="str">
        <f t="shared" si="6"/>
        <v/>
      </c>
      <c r="M72" s="55" t="str">
        <f t="shared" si="7"/>
        <v/>
      </c>
      <c r="O72" s="34">
        <f>IF($B72="",999999999,IF($D72="Installed",999999999,IF(NOT(ISNUMBER($E72)),999900000+68,$E72*10000+68)))</f>
        <v>999999999</v>
      </c>
      <c r="Q72" s="34">
        <f t="shared" si="8"/>
        <v>0</v>
      </c>
      <c r="R72" s="34" t="str">
        <f>IF($Q72=1,SUM($Q$5:$Q72),"")</f>
        <v/>
      </c>
    </row>
    <row r="73" spans="1:18" ht="15" customHeight="1" x14ac:dyDescent="0.25">
      <c r="A73" s="31"/>
      <c r="B73" s="45"/>
      <c r="C73" s="45"/>
      <c r="D73" s="22"/>
      <c r="E73" s="31"/>
      <c r="F73" s="22"/>
      <c r="G73" s="22"/>
      <c r="H73" s="22"/>
      <c r="I73" s="45"/>
      <c r="J73" s="22"/>
      <c r="K73" s="22"/>
      <c r="L73" s="22" t="str">
        <f t="shared" si="6"/>
        <v/>
      </c>
      <c r="M73" s="55" t="str">
        <f t="shared" si="7"/>
        <v/>
      </c>
      <c r="O73" s="34">
        <f>IF($B73="",999999999,IF($D73="Installed",999999999,IF(NOT(ISNUMBER($E73)),999900000+69,$E73*10000+69)))</f>
        <v>999999999</v>
      </c>
      <c r="Q73" s="34">
        <f t="shared" si="8"/>
        <v>0</v>
      </c>
      <c r="R73" s="34" t="str">
        <f>IF($Q73=1,SUM($Q$5:$Q73),"")</f>
        <v/>
      </c>
    </row>
    <row r="74" spans="1:18" ht="15" customHeight="1" x14ac:dyDescent="0.25">
      <c r="A74" s="31"/>
      <c r="B74" s="45"/>
      <c r="C74" s="45"/>
      <c r="D74" s="22"/>
      <c r="E74" s="31"/>
      <c r="F74" s="22"/>
      <c r="G74" s="22"/>
      <c r="H74" s="22"/>
      <c r="I74" s="45"/>
      <c r="J74" s="22"/>
      <c r="K74" s="22"/>
      <c r="L74" s="22" t="str">
        <f t="shared" si="6"/>
        <v/>
      </c>
      <c r="M74" s="55" t="str">
        <f t="shared" si="7"/>
        <v/>
      </c>
      <c r="O74" s="34">
        <f>IF($B74="",999999999,IF($D74="Installed",999999999,IF(NOT(ISNUMBER($E74)),999900000+70,$E74*10000+70)))</f>
        <v>999999999</v>
      </c>
      <c r="Q74" s="34">
        <f t="shared" si="8"/>
        <v>0</v>
      </c>
      <c r="R74" s="34" t="str">
        <f>IF($Q74=1,SUM($Q$5:$Q74),"")</f>
        <v/>
      </c>
    </row>
    <row r="75" spans="1:18" ht="15" customHeight="1" x14ac:dyDescent="0.25">
      <c r="A75" s="31"/>
      <c r="B75" s="45"/>
      <c r="C75" s="45"/>
      <c r="D75" s="22"/>
      <c r="E75" s="31"/>
      <c r="F75" s="22"/>
      <c r="G75" s="22"/>
      <c r="H75" s="22"/>
      <c r="I75" s="45"/>
      <c r="J75" s="22"/>
      <c r="K75" s="22"/>
      <c r="L75" s="22" t="str">
        <f t="shared" si="6"/>
        <v/>
      </c>
      <c r="M75" s="55" t="str">
        <f t="shared" si="7"/>
        <v/>
      </c>
      <c r="O75" s="34">
        <f>IF($B75="",999999999,IF($D75="Installed",999999999,IF(NOT(ISNUMBER($E75)),999900000+71,$E75*10000+71)))</f>
        <v>999999999</v>
      </c>
      <c r="Q75" s="34">
        <f t="shared" si="8"/>
        <v>0</v>
      </c>
      <c r="R75" s="34" t="str">
        <f>IF($Q75=1,SUM($Q$5:$Q75),"")</f>
        <v/>
      </c>
    </row>
    <row r="76" spans="1:18" ht="15" customHeight="1" x14ac:dyDescent="0.25">
      <c r="A76" s="31"/>
      <c r="B76" s="45"/>
      <c r="C76" s="45"/>
      <c r="D76" s="22"/>
      <c r="E76" s="31"/>
      <c r="F76" s="22"/>
      <c r="G76" s="22"/>
      <c r="H76" s="22"/>
      <c r="I76" s="45"/>
      <c r="J76" s="22"/>
      <c r="K76" s="22"/>
      <c r="L76" s="22" t="str">
        <f t="shared" si="6"/>
        <v/>
      </c>
      <c r="M76" s="55" t="str">
        <f t="shared" si="7"/>
        <v/>
      </c>
      <c r="O76" s="34">
        <f>IF($B76="",999999999,IF($D76="Installed",999999999,IF(NOT(ISNUMBER($E76)),999900000+72,$E76*10000+72)))</f>
        <v>999999999</v>
      </c>
      <c r="Q76" s="34">
        <f t="shared" si="8"/>
        <v>0</v>
      </c>
      <c r="R76" s="34" t="str">
        <f>IF($Q76=1,SUM($Q$5:$Q76),"")</f>
        <v/>
      </c>
    </row>
    <row r="77" spans="1:18" ht="15" customHeight="1" x14ac:dyDescent="0.25">
      <c r="A77" s="31"/>
      <c r="B77" s="45"/>
      <c r="C77" s="45"/>
      <c r="D77" s="22"/>
      <c r="E77" s="31"/>
      <c r="F77" s="22"/>
      <c r="G77" s="22"/>
      <c r="H77" s="22"/>
      <c r="I77" s="45"/>
      <c r="J77" s="22"/>
      <c r="K77" s="22"/>
      <c r="L77" s="22" t="str">
        <f t="shared" si="6"/>
        <v/>
      </c>
      <c r="M77" s="55" t="str">
        <f t="shared" si="7"/>
        <v/>
      </c>
      <c r="O77" s="34">
        <f>IF($B77="",999999999,IF($D77="Installed",999999999,IF(NOT(ISNUMBER($E77)),999900000+73,$E77*10000+73)))</f>
        <v>999999999</v>
      </c>
      <c r="Q77" s="34">
        <f t="shared" si="8"/>
        <v>0</v>
      </c>
      <c r="R77" s="34" t="str">
        <f>IF($Q77=1,SUM($Q$5:$Q77),"")</f>
        <v/>
      </c>
    </row>
    <row r="78" spans="1:18" ht="15" customHeight="1" x14ac:dyDescent="0.25">
      <c r="A78" s="31"/>
      <c r="B78" s="45"/>
      <c r="C78" s="45"/>
      <c r="D78" s="22"/>
      <c r="E78" s="31"/>
      <c r="F78" s="22"/>
      <c r="G78" s="22"/>
      <c r="H78" s="22"/>
      <c r="I78" s="45"/>
      <c r="J78" s="22"/>
      <c r="K78" s="22"/>
      <c r="L78" s="22" t="str">
        <f t="shared" si="6"/>
        <v/>
      </c>
      <c r="M78" s="55" t="str">
        <f t="shared" si="7"/>
        <v/>
      </c>
      <c r="O78" s="34">
        <f>IF($B78="",999999999,IF($D78="Installed",999999999,IF(NOT(ISNUMBER($E78)),999900000+74,$E78*10000+74)))</f>
        <v>999999999</v>
      </c>
      <c r="Q78" s="34">
        <f t="shared" si="8"/>
        <v>0</v>
      </c>
      <c r="R78" s="34" t="str">
        <f>IF($Q78=1,SUM($Q$5:$Q78),"")</f>
        <v/>
      </c>
    </row>
    <row r="79" spans="1:18" ht="15" customHeight="1" x14ac:dyDescent="0.25">
      <c r="A79" s="31"/>
      <c r="B79" s="45"/>
      <c r="C79" s="45"/>
      <c r="D79" s="22"/>
      <c r="E79" s="31"/>
      <c r="F79" s="22"/>
      <c r="G79" s="22"/>
      <c r="H79" s="22"/>
      <c r="I79" s="45"/>
      <c r="J79" s="22"/>
      <c r="K79" s="22"/>
      <c r="L79" s="22" t="str">
        <f t="shared" si="6"/>
        <v/>
      </c>
      <c r="M79" s="55" t="str">
        <f t="shared" si="7"/>
        <v/>
      </c>
      <c r="O79" s="34">
        <f>IF($B79="",999999999,IF($D79="Installed",999999999,IF(NOT(ISNUMBER($E79)),999900000+75,$E79*10000+75)))</f>
        <v>999999999</v>
      </c>
      <c r="Q79" s="34">
        <f t="shared" si="8"/>
        <v>0</v>
      </c>
      <c r="R79" s="34" t="str">
        <f>IF($Q79=1,SUM($Q$5:$Q79),"")</f>
        <v/>
      </c>
    </row>
    <row r="80" spans="1:18" ht="15" customHeight="1" x14ac:dyDescent="0.25">
      <c r="A80" s="31"/>
      <c r="B80" s="45"/>
      <c r="C80" s="45"/>
      <c r="D80" s="22"/>
      <c r="E80" s="31"/>
      <c r="F80" s="22"/>
      <c r="G80" s="22"/>
      <c r="H80" s="22"/>
      <c r="I80" s="45"/>
      <c r="J80" s="22"/>
      <c r="K80" s="22"/>
      <c r="L80" s="22" t="str">
        <f t="shared" si="6"/>
        <v/>
      </c>
      <c r="M80" s="55" t="str">
        <f t="shared" si="7"/>
        <v/>
      </c>
      <c r="O80" s="34">
        <f>IF($B80="",999999999,IF($D80="Installed",999999999,IF(NOT(ISNUMBER($E80)),999900000+76,$E80*10000+76)))</f>
        <v>999999999</v>
      </c>
      <c r="Q80" s="34">
        <f t="shared" si="8"/>
        <v>0</v>
      </c>
      <c r="R80" s="34" t="str">
        <f>IF($Q80=1,SUM($Q$5:$Q80),"")</f>
        <v/>
      </c>
    </row>
    <row r="81" spans="1:18" ht="15" customHeight="1" x14ac:dyDescent="0.25">
      <c r="A81" s="31"/>
      <c r="B81" s="45"/>
      <c r="C81" s="45"/>
      <c r="D81" s="22"/>
      <c r="E81" s="31"/>
      <c r="F81" s="22"/>
      <c r="G81" s="22"/>
      <c r="H81" s="22"/>
      <c r="I81" s="45"/>
      <c r="J81" s="22"/>
      <c r="K81" s="22"/>
      <c r="L81" s="22" t="str">
        <f t="shared" si="6"/>
        <v/>
      </c>
      <c r="M81" s="55" t="str">
        <f t="shared" si="7"/>
        <v/>
      </c>
      <c r="O81" s="34">
        <f>IF($B81="",999999999,IF($D81="Installed",999999999,IF(NOT(ISNUMBER($E81)),999900000+77,$E81*10000+77)))</f>
        <v>999999999</v>
      </c>
      <c r="Q81" s="34">
        <f t="shared" si="8"/>
        <v>0</v>
      </c>
      <c r="R81" s="34" t="str">
        <f>IF($Q81=1,SUM($Q$5:$Q81),"")</f>
        <v/>
      </c>
    </row>
    <row r="82" spans="1:18" ht="15" customHeight="1" x14ac:dyDescent="0.25">
      <c r="A82" s="31"/>
      <c r="B82" s="45"/>
      <c r="C82" s="45"/>
      <c r="D82" s="22"/>
      <c r="E82" s="31"/>
      <c r="F82" s="22"/>
      <c r="G82" s="22"/>
      <c r="H82" s="22"/>
      <c r="I82" s="45"/>
      <c r="J82" s="22"/>
      <c r="K82" s="22"/>
      <c r="L82" s="22" t="str">
        <f t="shared" si="6"/>
        <v/>
      </c>
      <c r="M82" s="55" t="str">
        <f t="shared" si="7"/>
        <v/>
      </c>
      <c r="O82" s="34">
        <f>IF($B82="",999999999,IF($D82="Installed",999999999,IF(NOT(ISNUMBER($E82)),999900000+78,$E82*10000+78)))</f>
        <v>999999999</v>
      </c>
      <c r="Q82" s="34">
        <f t="shared" si="8"/>
        <v>0</v>
      </c>
      <c r="R82" s="34" t="str">
        <f>IF($Q82=1,SUM($Q$5:$Q82),"")</f>
        <v/>
      </c>
    </row>
    <row r="83" spans="1:18" ht="15" customHeight="1" x14ac:dyDescent="0.25">
      <c r="A83" s="31"/>
      <c r="B83" s="45"/>
      <c r="C83" s="45"/>
      <c r="D83" s="22"/>
      <c r="E83" s="31"/>
      <c r="F83" s="22"/>
      <c r="G83" s="22"/>
      <c r="H83" s="22"/>
      <c r="I83" s="45"/>
      <c r="J83" s="22"/>
      <c r="K83" s="22"/>
      <c r="L83" s="22" t="str">
        <f t="shared" si="6"/>
        <v/>
      </c>
      <c r="M83" s="55" t="str">
        <f t="shared" si="7"/>
        <v/>
      </c>
      <c r="O83" s="34">
        <f>IF($B83="",999999999,IF($D83="Installed",999999999,IF(NOT(ISNUMBER($E83)),999900000+79,$E83*10000+79)))</f>
        <v>999999999</v>
      </c>
      <c r="Q83" s="34">
        <f t="shared" si="8"/>
        <v>0</v>
      </c>
      <c r="R83" s="34" t="str">
        <f>IF($Q83=1,SUM($Q$5:$Q83),"")</f>
        <v/>
      </c>
    </row>
    <row r="84" spans="1:18" ht="15" customHeight="1" x14ac:dyDescent="0.25">
      <c r="A84" s="31"/>
      <c r="B84" s="45"/>
      <c r="C84" s="45"/>
      <c r="D84" s="22"/>
      <c r="E84" s="31"/>
      <c r="F84" s="22"/>
      <c r="G84" s="22"/>
      <c r="H84" s="22"/>
      <c r="I84" s="45"/>
      <c r="J84" s="22"/>
      <c r="K84" s="22"/>
      <c r="L84" s="22" t="str">
        <f t="shared" si="6"/>
        <v/>
      </c>
      <c r="M84" s="55" t="str">
        <f t="shared" si="7"/>
        <v/>
      </c>
      <c r="O84" s="34">
        <f>IF($B84="",999999999,IF($D84="Installed",999999999,IF(NOT(ISNUMBER($E84)),999900000+80,$E84*10000+80)))</f>
        <v>999999999</v>
      </c>
      <c r="Q84" s="34">
        <f t="shared" si="8"/>
        <v>0</v>
      </c>
      <c r="R84" s="34" t="str">
        <f>IF($Q84=1,SUM($Q$5:$Q84),"")</f>
        <v/>
      </c>
    </row>
    <row r="85" spans="1:18" ht="15" customHeight="1" x14ac:dyDescent="0.25">
      <c r="A85" s="31"/>
      <c r="B85" s="45"/>
      <c r="C85" s="45"/>
      <c r="D85" s="22"/>
      <c r="E85" s="31"/>
      <c r="F85" s="22"/>
      <c r="G85" s="22"/>
      <c r="H85" s="22"/>
      <c r="I85" s="45"/>
      <c r="J85" s="22"/>
      <c r="K85" s="22"/>
      <c r="L85" s="22" t="str">
        <f t="shared" si="6"/>
        <v/>
      </c>
      <c r="M85" s="55" t="str">
        <f t="shared" si="7"/>
        <v/>
      </c>
      <c r="O85" s="34">
        <f>IF($B85="",999999999,IF($D85="Installed",999999999,IF(NOT(ISNUMBER($E85)),999900000+81,$E85*10000+81)))</f>
        <v>999999999</v>
      </c>
      <c r="Q85" s="34">
        <f t="shared" si="8"/>
        <v>0</v>
      </c>
      <c r="R85" s="34" t="str">
        <f>IF($Q85=1,SUM($Q$5:$Q85),"")</f>
        <v/>
      </c>
    </row>
    <row r="86" spans="1:18" ht="15" customHeight="1" x14ac:dyDescent="0.25">
      <c r="A86" s="31"/>
      <c r="B86" s="45"/>
      <c r="C86" s="45"/>
      <c r="D86" s="22"/>
      <c r="E86" s="31"/>
      <c r="F86" s="22"/>
      <c r="G86" s="22"/>
      <c r="H86" s="22"/>
      <c r="I86" s="45"/>
      <c r="J86" s="22"/>
      <c r="K86" s="22"/>
      <c r="L86" s="22" t="str">
        <f t="shared" si="6"/>
        <v/>
      </c>
      <c r="M86" s="55" t="str">
        <f t="shared" si="7"/>
        <v/>
      </c>
      <c r="O86" s="34">
        <f>IF($B86="",999999999,IF($D86="Installed",999999999,IF(NOT(ISNUMBER($E86)),999900000+82,$E86*10000+82)))</f>
        <v>999999999</v>
      </c>
      <c r="Q86" s="34">
        <f t="shared" si="8"/>
        <v>0</v>
      </c>
      <c r="R86" s="34" t="str">
        <f>IF($Q86=1,SUM($Q$5:$Q86),"")</f>
        <v/>
      </c>
    </row>
    <row r="87" spans="1:18" ht="15" customHeight="1" x14ac:dyDescent="0.25">
      <c r="A87" s="31"/>
      <c r="B87" s="45"/>
      <c r="C87" s="45"/>
      <c r="D87" s="22"/>
      <c r="E87" s="31"/>
      <c r="F87" s="22"/>
      <c r="G87" s="22"/>
      <c r="H87" s="22"/>
      <c r="I87" s="45"/>
      <c r="J87" s="22"/>
      <c r="K87" s="22"/>
      <c r="L87" s="22" t="str">
        <f t="shared" si="6"/>
        <v/>
      </c>
      <c r="M87" s="55" t="str">
        <f t="shared" si="7"/>
        <v/>
      </c>
      <c r="O87" s="34">
        <f>IF($B87="",999999999,IF($D87="Installed",999999999,IF(NOT(ISNUMBER($E87)),999900000+83,$E87*10000+83)))</f>
        <v>999999999</v>
      </c>
      <c r="Q87" s="34">
        <f t="shared" si="8"/>
        <v>0</v>
      </c>
      <c r="R87" s="34" t="str">
        <f>IF($Q87=1,SUM($Q$5:$Q87),"")</f>
        <v/>
      </c>
    </row>
    <row r="88" spans="1:18" ht="15" customHeight="1" x14ac:dyDescent="0.25">
      <c r="A88" s="31"/>
      <c r="B88" s="45"/>
      <c r="C88" s="45"/>
      <c r="D88" s="22"/>
      <c r="E88" s="31"/>
      <c r="F88" s="22"/>
      <c r="G88" s="22"/>
      <c r="H88" s="22"/>
      <c r="I88" s="45"/>
      <c r="J88" s="22"/>
      <c r="K88" s="22"/>
      <c r="L88" s="22" t="str">
        <f t="shared" si="6"/>
        <v/>
      </c>
      <c r="M88" s="55" t="str">
        <f t="shared" si="7"/>
        <v/>
      </c>
      <c r="O88" s="34">
        <f>IF($B88="",999999999,IF($D88="Installed",999999999,IF(NOT(ISNUMBER($E88)),999900000+84,$E88*10000+84)))</f>
        <v>999999999</v>
      </c>
      <c r="Q88" s="34">
        <f t="shared" si="8"/>
        <v>0</v>
      </c>
      <c r="R88" s="34" t="str">
        <f>IF($Q88=1,SUM($Q$5:$Q88),"")</f>
        <v/>
      </c>
    </row>
    <row r="89" spans="1:18" ht="15" customHeight="1" x14ac:dyDescent="0.25">
      <c r="A89" s="31"/>
      <c r="B89" s="45"/>
      <c r="C89" s="45"/>
      <c r="D89" s="22"/>
      <c r="E89" s="31"/>
      <c r="F89" s="22"/>
      <c r="G89" s="22"/>
      <c r="H89" s="22"/>
      <c r="I89" s="45"/>
      <c r="J89" s="22"/>
      <c r="K89" s="22"/>
      <c r="L89" s="22" t="str">
        <f t="shared" si="6"/>
        <v/>
      </c>
      <c r="M89" s="55" t="str">
        <f t="shared" si="7"/>
        <v/>
      </c>
      <c r="O89" s="34">
        <f>IF($B89="",999999999,IF($D89="Installed",999999999,IF(NOT(ISNUMBER($E89)),999900000+85,$E89*10000+85)))</f>
        <v>999999999</v>
      </c>
      <c r="Q89" s="34">
        <f t="shared" si="8"/>
        <v>0</v>
      </c>
      <c r="R89" s="34" t="str">
        <f>IF($Q89=1,SUM($Q$5:$Q89),"")</f>
        <v/>
      </c>
    </row>
    <row r="90" spans="1:18" ht="15" customHeight="1" x14ac:dyDescent="0.25">
      <c r="A90" s="31"/>
      <c r="B90" s="45"/>
      <c r="C90" s="45"/>
      <c r="D90" s="22"/>
      <c r="E90" s="31"/>
      <c r="F90" s="22"/>
      <c r="G90" s="22"/>
      <c r="H90" s="22"/>
      <c r="I90" s="45"/>
      <c r="J90" s="22"/>
      <c r="K90" s="22"/>
      <c r="L90" s="22" t="str">
        <f t="shared" si="6"/>
        <v/>
      </c>
      <c r="M90" s="55" t="str">
        <f t="shared" si="7"/>
        <v/>
      </c>
      <c r="O90" s="34">
        <f>IF($B90="",999999999,IF($D90="Installed",999999999,IF(NOT(ISNUMBER($E90)),999900000+86,$E90*10000+86)))</f>
        <v>999999999</v>
      </c>
      <c r="Q90" s="34">
        <f t="shared" si="8"/>
        <v>0</v>
      </c>
      <c r="R90" s="34" t="str">
        <f>IF($Q90=1,SUM($Q$5:$Q90),"")</f>
        <v/>
      </c>
    </row>
    <row r="91" spans="1:18" ht="15" customHeight="1" x14ac:dyDescent="0.25">
      <c r="A91" s="31"/>
      <c r="B91" s="45"/>
      <c r="C91" s="45"/>
      <c r="D91" s="22"/>
      <c r="E91" s="31"/>
      <c r="F91" s="22"/>
      <c r="G91" s="22"/>
      <c r="H91" s="22"/>
      <c r="I91" s="45"/>
      <c r="J91" s="22"/>
      <c r="K91" s="22"/>
      <c r="L91" s="22" t="str">
        <f t="shared" si="6"/>
        <v/>
      </c>
      <c r="M91" s="55" t="str">
        <f t="shared" si="7"/>
        <v/>
      </c>
      <c r="O91" s="34">
        <f>IF($B91="",999999999,IF($D91="Installed",999999999,IF(NOT(ISNUMBER($E91)),999900000+87,$E91*10000+87)))</f>
        <v>999999999</v>
      </c>
      <c r="Q91" s="34">
        <f t="shared" si="8"/>
        <v>0</v>
      </c>
      <c r="R91" s="34" t="str">
        <f>IF($Q91=1,SUM($Q$5:$Q91),"")</f>
        <v/>
      </c>
    </row>
    <row r="92" spans="1:18" ht="15" customHeight="1" x14ac:dyDescent="0.25">
      <c r="A92" s="31"/>
      <c r="B92" s="45"/>
      <c r="C92" s="45"/>
      <c r="D92" s="22"/>
      <c r="E92" s="31"/>
      <c r="F92" s="22"/>
      <c r="G92" s="22"/>
      <c r="H92" s="22"/>
      <c r="I92" s="45"/>
      <c r="J92" s="22"/>
      <c r="K92" s="22"/>
      <c r="L92" s="22" t="str">
        <f t="shared" si="6"/>
        <v/>
      </c>
      <c r="M92" s="55" t="str">
        <f t="shared" si="7"/>
        <v/>
      </c>
      <c r="O92" s="34">
        <f>IF($B92="",999999999,IF($D92="Installed",999999999,IF(NOT(ISNUMBER($E92)),999900000+88,$E92*10000+88)))</f>
        <v>999999999</v>
      </c>
      <c r="Q92" s="34">
        <f t="shared" si="8"/>
        <v>0</v>
      </c>
      <c r="R92" s="34" t="str">
        <f>IF($Q92=1,SUM($Q$5:$Q92),"")</f>
        <v/>
      </c>
    </row>
    <row r="93" spans="1:18" ht="15" customHeight="1" x14ac:dyDescent="0.25">
      <c r="A93" s="31"/>
      <c r="B93" s="45"/>
      <c r="C93" s="45"/>
      <c r="D93" s="22"/>
      <c r="E93" s="31"/>
      <c r="F93" s="22"/>
      <c r="G93" s="22"/>
      <c r="H93" s="22"/>
      <c r="I93" s="45"/>
      <c r="J93" s="22"/>
      <c r="K93" s="22"/>
      <c r="L93" s="22" t="str">
        <f t="shared" si="6"/>
        <v/>
      </c>
      <c r="M93" s="55" t="str">
        <f t="shared" si="7"/>
        <v/>
      </c>
      <c r="O93" s="34">
        <f>IF($B93="",999999999,IF($D93="Installed",999999999,IF(NOT(ISNUMBER($E93)),999900000+89,$E93*10000+89)))</f>
        <v>999999999</v>
      </c>
      <c r="Q93" s="34">
        <f t="shared" si="8"/>
        <v>0</v>
      </c>
      <c r="R93" s="34" t="str">
        <f>IF($Q93=1,SUM($Q$5:$Q93),"")</f>
        <v/>
      </c>
    </row>
    <row r="94" spans="1:18" ht="15" customHeight="1" x14ac:dyDescent="0.25">
      <c r="A94" s="31"/>
      <c r="B94" s="45"/>
      <c r="C94" s="45"/>
      <c r="D94" s="22"/>
      <c r="E94" s="31"/>
      <c r="F94" s="22"/>
      <c r="G94" s="22"/>
      <c r="H94" s="22"/>
      <c r="I94" s="45"/>
      <c r="J94" s="22"/>
      <c r="K94" s="22"/>
      <c r="L94" s="22" t="str">
        <f t="shared" si="6"/>
        <v/>
      </c>
      <c r="M94" s="55" t="str">
        <f t="shared" si="7"/>
        <v/>
      </c>
      <c r="O94" s="34">
        <f>IF($B94="",999999999,IF($D94="Installed",999999999,IF(NOT(ISNUMBER($E94)),999900000+90,$E94*10000+90)))</f>
        <v>999999999</v>
      </c>
      <c r="Q94" s="34">
        <f t="shared" si="8"/>
        <v>0</v>
      </c>
      <c r="R94" s="34" t="str">
        <f>IF($Q94=1,SUM($Q$5:$Q94),"")</f>
        <v/>
      </c>
    </row>
    <row r="95" spans="1:18" ht="15" customHeight="1" x14ac:dyDescent="0.25">
      <c r="A95" s="31"/>
      <c r="B95" s="45"/>
      <c r="C95" s="45"/>
      <c r="D95" s="22"/>
      <c r="E95" s="31"/>
      <c r="F95" s="22"/>
      <c r="G95" s="22"/>
      <c r="H95" s="22"/>
      <c r="I95" s="45"/>
      <c r="J95" s="22"/>
      <c r="K95" s="22"/>
      <c r="L95" s="22" t="str">
        <f t="shared" si="6"/>
        <v/>
      </c>
      <c r="M95" s="55" t="str">
        <f t="shared" si="7"/>
        <v/>
      </c>
      <c r="O95" s="34">
        <f>IF($B95="",999999999,IF($D95="Installed",999999999,IF(NOT(ISNUMBER($E95)),999900000+91,$E95*10000+91)))</f>
        <v>999999999</v>
      </c>
      <c r="Q95" s="34">
        <f t="shared" si="8"/>
        <v>0</v>
      </c>
      <c r="R95" s="34" t="str">
        <f>IF($Q95=1,SUM($Q$5:$Q95),"")</f>
        <v/>
      </c>
    </row>
    <row r="96" spans="1:18" ht="15" customHeight="1" x14ac:dyDescent="0.25">
      <c r="A96" s="31"/>
      <c r="B96" s="45"/>
      <c r="C96" s="45"/>
      <c r="D96" s="22"/>
      <c r="E96" s="31"/>
      <c r="F96" s="22"/>
      <c r="G96" s="22"/>
      <c r="H96" s="22"/>
      <c r="I96" s="45"/>
      <c r="J96" s="22"/>
      <c r="K96" s="22"/>
      <c r="L96" s="22" t="str">
        <f t="shared" si="6"/>
        <v/>
      </c>
      <c r="M96" s="55" t="str">
        <f t="shared" si="7"/>
        <v/>
      </c>
      <c r="O96" s="34">
        <f>IF($B96="",999999999,IF($D96="Installed",999999999,IF(NOT(ISNUMBER($E96)),999900000+92,$E96*10000+92)))</f>
        <v>999999999</v>
      </c>
      <c r="Q96" s="34">
        <f t="shared" si="8"/>
        <v>0</v>
      </c>
      <c r="R96" s="34" t="str">
        <f>IF($Q96=1,SUM($Q$5:$Q96),"")</f>
        <v/>
      </c>
    </row>
    <row r="97" spans="1:18" ht="15" customHeight="1" x14ac:dyDescent="0.25">
      <c r="A97" s="31"/>
      <c r="B97" s="45"/>
      <c r="C97" s="45"/>
      <c r="D97" s="22"/>
      <c r="E97" s="31"/>
      <c r="F97" s="22"/>
      <c r="G97" s="22"/>
      <c r="H97" s="22"/>
      <c r="I97" s="45"/>
      <c r="J97" s="22"/>
      <c r="K97" s="22"/>
      <c r="L97" s="22" t="str">
        <f t="shared" si="6"/>
        <v/>
      </c>
      <c r="M97" s="55" t="str">
        <f t="shared" si="7"/>
        <v/>
      </c>
      <c r="O97" s="34">
        <f>IF($B97="",999999999,IF($D97="Installed",999999999,IF(NOT(ISNUMBER($E97)),999900000+93,$E97*10000+93)))</f>
        <v>999999999</v>
      </c>
      <c r="Q97" s="34">
        <f t="shared" si="8"/>
        <v>0</v>
      </c>
      <c r="R97" s="34" t="str">
        <f>IF($Q97=1,SUM($Q$5:$Q97),"")</f>
        <v/>
      </c>
    </row>
    <row r="98" spans="1:18" ht="15" customHeight="1" x14ac:dyDescent="0.25">
      <c r="A98" s="31"/>
      <c r="B98" s="45"/>
      <c r="C98" s="45"/>
      <c r="D98" s="22"/>
      <c r="E98" s="31"/>
      <c r="F98" s="22"/>
      <c r="G98" s="22"/>
      <c r="H98" s="22"/>
      <c r="I98" s="45"/>
      <c r="J98" s="22"/>
      <c r="K98" s="22"/>
      <c r="L98" s="22" t="str">
        <f t="shared" si="6"/>
        <v/>
      </c>
      <c r="M98" s="55" t="str">
        <f t="shared" si="7"/>
        <v/>
      </c>
      <c r="O98" s="34">
        <f>IF($B98="",999999999,IF($D98="Installed",999999999,IF(NOT(ISNUMBER($E98)),999900000+94,$E98*10000+94)))</f>
        <v>999999999</v>
      </c>
      <c r="Q98" s="34">
        <f t="shared" si="8"/>
        <v>0</v>
      </c>
      <c r="R98" s="34" t="str">
        <f>IF($Q98=1,SUM($Q$5:$Q98),"")</f>
        <v/>
      </c>
    </row>
    <row r="99" spans="1:18" ht="15" customHeight="1" x14ac:dyDescent="0.25">
      <c r="A99" s="31"/>
      <c r="B99" s="45"/>
      <c r="C99" s="45"/>
      <c r="D99" s="22"/>
      <c r="E99" s="31"/>
      <c r="F99" s="22"/>
      <c r="G99" s="22"/>
      <c r="H99" s="22"/>
      <c r="I99" s="45"/>
      <c r="J99" s="22"/>
      <c r="K99" s="22"/>
      <c r="L99" s="22" t="str">
        <f t="shared" si="6"/>
        <v/>
      </c>
      <c r="M99" s="55" t="str">
        <f t="shared" si="7"/>
        <v/>
      </c>
      <c r="O99" s="34">
        <f>IF($B99="",999999999,IF($D99="Installed",999999999,IF(NOT(ISNUMBER($E99)),999900000+95,$E99*10000+95)))</f>
        <v>999999999</v>
      </c>
      <c r="Q99" s="34">
        <f t="shared" si="8"/>
        <v>0</v>
      </c>
      <c r="R99" s="34" t="str">
        <f>IF($Q99=1,SUM($Q$5:$Q99),"")</f>
        <v/>
      </c>
    </row>
    <row r="100" spans="1:18" ht="15" customHeight="1" x14ac:dyDescent="0.25">
      <c r="A100" s="31"/>
      <c r="B100" s="45"/>
      <c r="C100" s="45"/>
      <c r="D100" s="22"/>
      <c r="E100" s="31"/>
      <c r="F100" s="22"/>
      <c r="G100" s="22"/>
      <c r="H100" s="22"/>
      <c r="I100" s="45"/>
      <c r="J100" s="22"/>
      <c r="K100" s="22"/>
      <c r="L100" s="22" t="str">
        <f t="shared" si="6"/>
        <v/>
      </c>
      <c r="M100" s="55" t="str">
        <f t="shared" si="7"/>
        <v/>
      </c>
      <c r="O100" s="34">
        <f>IF($B100="",999999999,IF($D100="Installed",999999999,IF(NOT(ISNUMBER($E100)),999900000+96,$E100*10000+96)))</f>
        <v>999999999</v>
      </c>
      <c r="Q100" s="34">
        <f t="shared" si="8"/>
        <v>0</v>
      </c>
      <c r="R100" s="34" t="str">
        <f>IF($Q100=1,SUM($Q$5:$Q100),"")</f>
        <v/>
      </c>
    </row>
    <row r="101" spans="1:18" ht="15" customHeight="1" x14ac:dyDescent="0.25">
      <c r="A101" s="31"/>
      <c r="B101" s="45"/>
      <c r="C101" s="45"/>
      <c r="D101" s="22"/>
      <c r="E101" s="31"/>
      <c r="F101" s="22"/>
      <c r="G101" s="22"/>
      <c r="H101" s="22"/>
      <c r="I101" s="45"/>
      <c r="J101" s="22"/>
      <c r="K101" s="22"/>
      <c r="L101" s="22" t="str">
        <f t="shared" ref="L101:L132" si="9">IF($D101="Installed","✔","")</f>
        <v/>
      </c>
      <c r="M101" s="55" t="str">
        <f t="shared" ref="M101:M132" si="10">IF($B101="","",IF($D101="Installed","",IF(AND($D101="Not Ready",$E101&lt;&gt;"",NOT(ISNUMBER($E101))),"⚠ CHECK DATE",IF(AND($D101="Not Ready",ISNUMBER($E101),$E101&lt;$P$3),"⚠ PAST DUE - NOT READY",IF(AND($D101="Not Ready",ISNUMBER($E101),$E101&gt;=$P$3,$E101&lt;=$P$5),"⚠ EQUIP NOT READY",IF(AND($H101="Not Ready",ISNUMBER($E101),$E101&gt;=$P$3,$E101&lt;=$P$5),"⚠ CUSTOMER NOT READY",""))))))</f>
        <v/>
      </c>
      <c r="O101" s="34">
        <f>IF($B101="",999999999,IF($D101="Installed",999999999,IF(NOT(ISNUMBER($E101)),999900000+97,$E101*10000+97)))</f>
        <v>999999999</v>
      </c>
      <c r="Q101" s="34">
        <f t="shared" ref="Q101:Q132" si="11">IF(LEFT($M101,1)="⚠",1,0)</f>
        <v>0</v>
      </c>
      <c r="R101" s="34" t="str">
        <f>IF($Q101=1,SUM($Q$5:$Q101),"")</f>
        <v/>
      </c>
    </row>
    <row r="102" spans="1:18" ht="15" customHeight="1" x14ac:dyDescent="0.25">
      <c r="A102" s="31"/>
      <c r="B102" s="45"/>
      <c r="C102" s="45"/>
      <c r="D102" s="22"/>
      <c r="E102" s="31"/>
      <c r="F102" s="22"/>
      <c r="G102" s="22"/>
      <c r="H102" s="22"/>
      <c r="I102" s="45"/>
      <c r="J102" s="22"/>
      <c r="K102" s="22"/>
      <c r="L102" s="22" t="str">
        <f t="shared" si="9"/>
        <v/>
      </c>
      <c r="M102" s="55" t="str">
        <f t="shared" si="10"/>
        <v/>
      </c>
      <c r="O102" s="34">
        <f>IF($B102="",999999999,IF($D102="Installed",999999999,IF(NOT(ISNUMBER($E102)),999900000+98,$E102*10000+98)))</f>
        <v>999999999</v>
      </c>
      <c r="Q102" s="34">
        <f t="shared" si="11"/>
        <v>0</v>
      </c>
      <c r="R102" s="34" t="str">
        <f>IF($Q102=1,SUM($Q$5:$Q102),"")</f>
        <v/>
      </c>
    </row>
    <row r="103" spans="1:18" ht="15" customHeight="1" x14ac:dyDescent="0.25">
      <c r="A103" s="31"/>
      <c r="B103" s="45"/>
      <c r="C103" s="45"/>
      <c r="D103" s="22"/>
      <c r="E103" s="31"/>
      <c r="F103" s="22"/>
      <c r="G103" s="22"/>
      <c r="H103" s="22"/>
      <c r="I103" s="45"/>
      <c r="J103" s="22"/>
      <c r="K103" s="22"/>
      <c r="L103" s="22" t="str">
        <f t="shared" si="9"/>
        <v/>
      </c>
      <c r="M103" s="55" t="str">
        <f t="shared" si="10"/>
        <v/>
      </c>
      <c r="O103" s="34">
        <f>IF($B103="",999999999,IF($D103="Installed",999999999,IF(NOT(ISNUMBER($E103)),999900000+99,$E103*10000+99)))</f>
        <v>999999999</v>
      </c>
      <c r="Q103" s="34">
        <f t="shared" si="11"/>
        <v>0</v>
      </c>
      <c r="R103" s="34" t="str">
        <f>IF($Q103=1,SUM($Q$5:$Q103),"")</f>
        <v/>
      </c>
    </row>
    <row r="104" spans="1:18" ht="15" customHeight="1" x14ac:dyDescent="0.25">
      <c r="A104" s="31"/>
      <c r="B104" s="45"/>
      <c r="C104" s="45"/>
      <c r="D104" s="22"/>
      <c r="E104" s="31"/>
      <c r="F104" s="22"/>
      <c r="G104" s="22"/>
      <c r="H104" s="22"/>
      <c r="I104" s="45"/>
      <c r="J104" s="22"/>
      <c r="K104" s="22"/>
      <c r="L104" s="22" t="str">
        <f t="shared" si="9"/>
        <v/>
      </c>
      <c r="M104" s="55" t="str">
        <f t="shared" si="10"/>
        <v/>
      </c>
      <c r="O104" s="34">
        <f>IF($B104="",999999999,IF($D104="Installed",999999999,IF(NOT(ISNUMBER($E104)),999900000+100,$E104*10000+100)))</f>
        <v>999999999</v>
      </c>
      <c r="Q104" s="34">
        <f t="shared" si="11"/>
        <v>0</v>
      </c>
      <c r="R104" s="34" t="str">
        <f>IF($Q104=1,SUM($Q$5:$Q104),"")</f>
        <v/>
      </c>
    </row>
    <row r="105" spans="1:18" ht="15" customHeight="1" x14ac:dyDescent="0.25">
      <c r="A105" s="31"/>
      <c r="B105" s="45"/>
      <c r="C105" s="45"/>
      <c r="D105" s="22"/>
      <c r="E105" s="31"/>
      <c r="F105" s="22"/>
      <c r="G105" s="22"/>
      <c r="H105" s="22"/>
      <c r="I105" s="45"/>
      <c r="J105" s="22"/>
      <c r="K105" s="22"/>
      <c r="L105" s="22" t="str">
        <f t="shared" si="9"/>
        <v/>
      </c>
      <c r="M105" s="55" t="str">
        <f t="shared" si="10"/>
        <v/>
      </c>
      <c r="O105" s="34">
        <f>IF($B105="",999999999,IF($D105="Installed",999999999,IF(NOT(ISNUMBER($E105)),999900000+101,$E105*10000+101)))</f>
        <v>999999999</v>
      </c>
      <c r="Q105" s="34">
        <f t="shared" si="11"/>
        <v>0</v>
      </c>
      <c r="R105" s="34" t="str">
        <f>IF($Q105=1,SUM($Q$5:$Q105),"")</f>
        <v/>
      </c>
    </row>
    <row r="106" spans="1:18" ht="15" customHeight="1" x14ac:dyDescent="0.25">
      <c r="A106" s="31"/>
      <c r="B106" s="45"/>
      <c r="C106" s="45"/>
      <c r="D106" s="22"/>
      <c r="E106" s="31"/>
      <c r="F106" s="22"/>
      <c r="G106" s="22"/>
      <c r="H106" s="22"/>
      <c r="I106" s="45"/>
      <c r="J106" s="22"/>
      <c r="K106" s="22"/>
      <c r="L106" s="22" t="str">
        <f t="shared" si="9"/>
        <v/>
      </c>
      <c r="M106" s="55" t="str">
        <f t="shared" si="10"/>
        <v/>
      </c>
      <c r="O106" s="34">
        <f>IF($B106="",999999999,IF($D106="Installed",999999999,IF(NOT(ISNUMBER($E106)),999900000+102,$E106*10000+102)))</f>
        <v>999999999</v>
      </c>
      <c r="Q106" s="34">
        <f t="shared" si="11"/>
        <v>0</v>
      </c>
      <c r="R106" s="34" t="str">
        <f>IF($Q106=1,SUM($Q$5:$Q106),"")</f>
        <v/>
      </c>
    </row>
    <row r="107" spans="1:18" ht="15" customHeight="1" x14ac:dyDescent="0.25">
      <c r="A107" s="31"/>
      <c r="B107" s="45"/>
      <c r="C107" s="45"/>
      <c r="D107" s="22"/>
      <c r="E107" s="31"/>
      <c r="F107" s="22"/>
      <c r="G107" s="22"/>
      <c r="H107" s="22"/>
      <c r="I107" s="45"/>
      <c r="J107" s="22"/>
      <c r="K107" s="22"/>
      <c r="L107" s="22" t="str">
        <f t="shared" si="9"/>
        <v/>
      </c>
      <c r="M107" s="55" t="str">
        <f t="shared" si="10"/>
        <v/>
      </c>
      <c r="O107" s="34">
        <f>IF($B107="",999999999,IF($D107="Installed",999999999,IF(NOT(ISNUMBER($E107)),999900000+103,$E107*10000+103)))</f>
        <v>999999999</v>
      </c>
      <c r="Q107" s="34">
        <f t="shared" si="11"/>
        <v>0</v>
      </c>
      <c r="R107" s="34" t="str">
        <f>IF($Q107=1,SUM($Q$5:$Q107),"")</f>
        <v/>
      </c>
    </row>
    <row r="108" spans="1:18" ht="15" customHeight="1" x14ac:dyDescent="0.25">
      <c r="A108" s="31"/>
      <c r="B108" s="45"/>
      <c r="C108" s="45"/>
      <c r="D108" s="22"/>
      <c r="E108" s="31"/>
      <c r="F108" s="22"/>
      <c r="G108" s="22"/>
      <c r="H108" s="22"/>
      <c r="I108" s="45"/>
      <c r="J108" s="22"/>
      <c r="K108" s="22"/>
      <c r="L108" s="22" t="str">
        <f t="shared" si="9"/>
        <v/>
      </c>
      <c r="M108" s="55" t="str">
        <f t="shared" si="10"/>
        <v/>
      </c>
      <c r="O108" s="34">
        <f>IF($B108="",999999999,IF($D108="Installed",999999999,IF(NOT(ISNUMBER($E108)),999900000+104,$E108*10000+104)))</f>
        <v>999999999</v>
      </c>
      <c r="Q108" s="34">
        <f t="shared" si="11"/>
        <v>0</v>
      </c>
      <c r="R108" s="34" t="str">
        <f>IF($Q108=1,SUM($Q$5:$Q108),"")</f>
        <v/>
      </c>
    </row>
    <row r="109" spans="1:18" ht="15" customHeight="1" x14ac:dyDescent="0.25">
      <c r="A109" s="31"/>
      <c r="B109" s="45"/>
      <c r="C109" s="45"/>
      <c r="D109" s="22"/>
      <c r="E109" s="31"/>
      <c r="F109" s="22"/>
      <c r="G109" s="22"/>
      <c r="H109" s="22"/>
      <c r="I109" s="45"/>
      <c r="J109" s="22"/>
      <c r="K109" s="22"/>
      <c r="L109" s="22" t="str">
        <f t="shared" si="9"/>
        <v/>
      </c>
      <c r="M109" s="55" t="str">
        <f t="shared" si="10"/>
        <v/>
      </c>
      <c r="O109" s="34">
        <f>IF($B109="",999999999,IF($D109="Installed",999999999,IF(NOT(ISNUMBER($E109)),999900000+105,$E109*10000+105)))</f>
        <v>999999999</v>
      </c>
      <c r="Q109" s="34">
        <f t="shared" si="11"/>
        <v>0</v>
      </c>
      <c r="R109" s="34" t="str">
        <f>IF($Q109=1,SUM($Q$5:$Q109),"")</f>
        <v/>
      </c>
    </row>
    <row r="110" spans="1:18" ht="15" customHeight="1" x14ac:dyDescent="0.25">
      <c r="A110" s="31"/>
      <c r="B110" s="45"/>
      <c r="C110" s="45"/>
      <c r="D110" s="22"/>
      <c r="E110" s="31"/>
      <c r="F110" s="22"/>
      <c r="G110" s="22"/>
      <c r="H110" s="22"/>
      <c r="I110" s="45"/>
      <c r="J110" s="22"/>
      <c r="K110" s="22"/>
      <c r="L110" s="22" t="str">
        <f t="shared" si="9"/>
        <v/>
      </c>
      <c r="M110" s="55" t="str">
        <f t="shared" si="10"/>
        <v/>
      </c>
      <c r="O110" s="34">
        <f>IF($B110="",999999999,IF($D110="Installed",999999999,IF(NOT(ISNUMBER($E110)),999900000+106,$E110*10000+106)))</f>
        <v>999999999</v>
      </c>
      <c r="Q110" s="34">
        <f t="shared" si="11"/>
        <v>0</v>
      </c>
      <c r="R110" s="34" t="str">
        <f>IF($Q110=1,SUM($Q$5:$Q110),"")</f>
        <v/>
      </c>
    </row>
    <row r="111" spans="1:18" ht="15" customHeight="1" x14ac:dyDescent="0.25">
      <c r="A111" s="31"/>
      <c r="B111" s="45"/>
      <c r="C111" s="45"/>
      <c r="D111" s="22"/>
      <c r="E111" s="31"/>
      <c r="F111" s="22"/>
      <c r="G111" s="22"/>
      <c r="H111" s="22"/>
      <c r="I111" s="45"/>
      <c r="J111" s="22"/>
      <c r="K111" s="22"/>
      <c r="L111" s="22" t="str">
        <f t="shared" si="9"/>
        <v/>
      </c>
      <c r="M111" s="55" t="str">
        <f t="shared" si="10"/>
        <v/>
      </c>
      <c r="O111" s="34">
        <f>IF($B111="",999999999,IF($D111="Installed",999999999,IF(NOT(ISNUMBER($E111)),999900000+107,$E111*10000+107)))</f>
        <v>999999999</v>
      </c>
      <c r="Q111" s="34">
        <f t="shared" si="11"/>
        <v>0</v>
      </c>
      <c r="R111" s="34" t="str">
        <f>IF($Q111=1,SUM($Q$5:$Q111),"")</f>
        <v/>
      </c>
    </row>
    <row r="112" spans="1:18" ht="15" customHeight="1" x14ac:dyDescent="0.25">
      <c r="A112" s="31"/>
      <c r="B112" s="45"/>
      <c r="C112" s="45"/>
      <c r="D112" s="22"/>
      <c r="E112" s="31"/>
      <c r="F112" s="22"/>
      <c r="G112" s="22"/>
      <c r="H112" s="22"/>
      <c r="I112" s="45"/>
      <c r="J112" s="22"/>
      <c r="K112" s="22"/>
      <c r="L112" s="22" t="str">
        <f t="shared" si="9"/>
        <v/>
      </c>
      <c r="M112" s="55" t="str">
        <f t="shared" si="10"/>
        <v/>
      </c>
      <c r="O112" s="34">
        <f>IF($B112="",999999999,IF($D112="Installed",999999999,IF(NOT(ISNUMBER($E112)),999900000+108,$E112*10000+108)))</f>
        <v>999999999</v>
      </c>
      <c r="Q112" s="34">
        <f t="shared" si="11"/>
        <v>0</v>
      </c>
      <c r="R112" s="34" t="str">
        <f>IF($Q112=1,SUM($Q$5:$Q112),"")</f>
        <v/>
      </c>
    </row>
    <row r="113" spans="1:18" ht="15" customHeight="1" x14ac:dyDescent="0.25">
      <c r="A113" s="31"/>
      <c r="B113" s="45"/>
      <c r="C113" s="45"/>
      <c r="D113" s="22"/>
      <c r="E113" s="31"/>
      <c r="F113" s="22"/>
      <c r="G113" s="22"/>
      <c r="H113" s="22"/>
      <c r="I113" s="45"/>
      <c r="J113" s="22"/>
      <c r="K113" s="22"/>
      <c r="L113" s="22" t="str">
        <f t="shared" si="9"/>
        <v/>
      </c>
      <c r="M113" s="55" t="str">
        <f t="shared" si="10"/>
        <v/>
      </c>
      <c r="O113" s="34">
        <f>IF($B113="",999999999,IF($D113="Installed",999999999,IF(NOT(ISNUMBER($E113)),999900000+109,$E113*10000+109)))</f>
        <v>999999999</v>
      </c>
      <c r="Q113" s="34">
        <f t="shared" si="11"/>
        <v>0</v>
      </c>
      <c r="R113" s="34" t="str">
        <f>IF($Q113=1,SUM($Q$5:$Q113),"")</f>
        <v/>
      </c>
    </row>
    <row r="114" spans="1:18" ht="15" customHeight="1" x14ac:dyDescent="0.25">
      <c r="A114" s="31"/>
      <c r="B114" s="45"/>
      <c r="C114" s="45"/>
      <c r="D114" s="22"/>
      <c r="E114" s="31"/>
      <c r="F114" s="22"/>
      <c r="G114" s="22"/>
      <c r="H114" s="22"/>
      <c r="I114" s="45"/>
      <c r="J114" s="22"/>
      <c r="K114" s="22"/>
      <c r="L114" s="22" t="str">
        <f t="shared" si="9"/>
        <v/>
      </c>
      <c r="M114" s="55" t="str">
        <f t="shared" si="10"/>
        <v/>
      </c>
      <c r="O114" s="34">
        <f>IF($B114="",999999999,IF($D114="Installed",999999999,IF(NOT(ISNUMBER($E114)),999900000+110,$E114*10000+110)))</f>
        <v>999999999</v>
      </c>
      <c r="Q114" s="34">
        <f t="shared" si="11"/>
        <v>0</v>
      </c>
      <c r="R114" s="34" t="str">
        <f>IF($Q114=1,SUM($Q$5:$Q114),"")</f>
        <v/>
      </c>
    </row>
    <row r="115" spans="1:18" ht="15" customHeight="1" x14ac:dyDescent="0.25">
      <c r="A115" s="31"/>
      <c r="B115" s="45"/>
      <c r="C115" s="45"/>
      <c r="D115" s="22"/>
      <c r="E115" s="31"/>
      <c r="F115" s="22"/>
      <c r="G115" s="22"/>
      <c r="H115" s="22"/>
      <c r="I115" s="45"/>
      <c r="J115" s="22"/>
      <c r="K115" s="22"/>
      <c r="L115" s="22" t="str">
        <f t="shared" si="9"/>
        <v/>
      </c>
      <c r="M115" s="55" t="str">
        <f t="shared" si="10"/>
        <v/>
      </c>
      <c r="O115" s="34">
        <f>IF($B115="",999999999,IF($D115="Installed",999999999,IF(NOT(ISNUMBER($E115)),999900000+111,$E115*10000+111)))</f>
        <v>999999999</v>
      </c>
      <c r="Q115" s="34">
        <f t="shared" si="11"/>
        <v>0</v>
      </c>
      <c r="R115" s="34" t="str">
        <f>IF($Q115=1,SUM($Q$5:$Q115),"")</f>
        <v/>
      </c>
    </row>
    <row r="116" spans="1:18" ht="15" customHeight="1" x14ac:dyDescent="0.25">
      <c r="A116" s="31"/>
      <c r="B116" s="45"/>
      <c r="C116" s="45"/>
      <c r="D116" s="22"/>
      <c r="E116" s="31"/>
      <c r="F116" s="22"/>
      <c r="G116" s="22"/>
      <c r="H116" s="22"/>
      <c r="I116" s="45"/>
      <c r="J116" s="22"/>
      <c r="K116" s="22"/>
      <c r="L116" s="22" t="str">
        <f t="shared" si="9"/>
        <v/>
      </c>
      <c r="M116" s="55" t="str">
        <f t="shared" si="10"/>
        <v/>
      </c>
      <c r="O116" s="34">
        <f>IF($B116="",999999999,IF($D116="Installed",999999999,IF(NOT(ISNUMBER($E116)),999900000+112,$E116*10000+112)))</f>
        <v>999999999</v>
      </c>
      <c r="Q116" s="34">
        <f t="shared" si="11"/>
        <v>0</v>
      </c>
      <c r="R116" s="34" t="str">
        <f>IF($Q116=1,SUM($Q$5:$Q116),"")</f>
        <v/>
      </c>
    </row>
    <row r="117" spans="1:18" ht="15" customHeight="1" x14ac:dyDescent="0.25">
      <c r="A117" s="31"/>
      <c r="B117" s="45"/>
      <c r="C117" s="45"/>
      <c r="D117" s="22"/>
      <c r="E117" s="31"/>
      <c r="F117" s="22"/>
      <c r="G117" s="22"/>
      <c r="H117" s="22"/>
      <c r="I117" s="45"/>
      <c r="J117" s="22"/>
      <c r="K117" s="22"/>
      <c r="L117" s="22" t="str">
        <f t="shared" si="9"/>
        <v/>
      </c>
      <c r="M117" s="55" t="str">
        <f t="shared" si="10"/>
        <v/>
      </c>
      <c r="O117" s="34">
        <f>IF($B117="",999999999,IF($D117="Installed",999999999,IF(NOT(ISNUMBER($E117)),999900000+113,$E117*10000+113)))</f>
        <v>999999999</v>
      </c>
      <c r="Q117" s="34">
        <f t="shared" si="11"/>
        <v>0</v>
      </c>
      <c r="R117" s="34" t="str">
        <f>IF($Q117=1,SUM($Q$5:$Q117),"")</f>
        <v/>
      </c>
    </row>
    <row r="118" spans="1:18" ht="15" customHeight="1" x14ac:dyDescent="0.25">
      <c r="A118" s="31"/>
      <c r="B118" s="45"/>
      <c r="C118" s="45"/>
      <c r="D118" s="22"/>
      <c r="E118" s="31"/>
      <c r="F118" s="22"/>
      <c r="G118" s="22"/>
      <c r="H118" s="22"/>
      <c r="I118" s="45"/>
      <c r="J118" s="22"/>
      <c r="K118" s="22"/>
      <c r="L118" s="22" t="str">
        <f t="shared" si="9"/>
        <v/>
      </c>
      <c r="M118" s="55" t="str">
        <f t="shared" si="10"/>
        <v/>
      </c>
      <c r="O118" s="34">
        <f>IF($B118="",999999999,IF($D118="Installed",999999999,IF(NOT(ISNUMBER($E118)),999900000+114,$E118*10000+114)))</f>
        <v>999999999</v>
      </c>
      <c r="Q118" s="34">
        <f t="shared" si="11"/>
        <v>0</v>
      </c>
      <c r="R118" s="34" t="str">
        <f>IF($Q118=1,SUM($Q$5:$Q118),"")</f>
        <v/>
      </c>
    </row>
    <row r="119" spans="1:18" ht="15" customHeight="1" x14ac:dyDescent="0.25">
      <c r="A119" s="31"/>
      <c r="B119" s="45"/>
      <c r="C119" s="45"/>
      <c r="D119" s="22"/>
      <c r="E119" s="31"/>
      <c r="F119" s="22"/>
      <c r="G119" s="22"/>
      <c r="H119" s="22"/>
      <c r="I119" s="45"/>
      <c r="J119" s="22"/>
      <c r="K119" s="22"/>
      <c r="L119" s="22" t="str">
        <f t="shared" si="9"/>
        <v/>
      </c>
      <c r="M119" s="55" t="str">
        <f t="shared" si="10"/>
        <v/>
      </c>
      <c r="O119" s="34">
        <f>IF($B119="",999999999,IF($D119="Installed",999999999,IF(NOT(ISNUMBER($E119)),999900000+115,$E119*10000+115)))</f>
        <v>999999999</v>
      </c>
      <c r="Q119" s="34">
        <f t="shared" si="11"/>
        <v>0</v>
      </c>
      <c r="R119" s="34" t="str">
        <f>IF($Q119=1,SUM($Q$5:$Q119),"")</f>
        <v/>
      </c>
    </row>
    <row r="120" spans="1:18" ht="15" customHeight="1" x14ac:dyDescent="0.25">
      <c r="A120" s="31"/>
      <c r="B120" s="45"/>
      <c r="C120" s="45"/>
      <c r="D120" s="22"/>
      <c r="E120" s="31"/>
      <c r="F120" s="22"/>
      <c r="G120" s="22"/>
      <c r="H120" s="22"/>
      <c r="I120" s="45"/>
      <c r="J120" s="22"/>
      <c r="K120" s="22"/>
      <c r="L120" s="22" t="str">
        <f t="shared" si="9"/>
        <v/>
      </c>
      <c r="M120" s="55" t="str">
        <f t="shared" si="10"/>
        <v/>
      </c>
      <c r="O120" s="34">
        <f>IF($B120="",999999999,IF($D120="Installed",999999999,IF(NOT(ISNUMBER($E120)),999900000+116,$E120*10000+116)))</f>
        <v>999999999</v>
      </c>
      <c r="Q120" s="34">
        <f t="shared" si="11"/>
        <v>0</v>
      </c>
      <c r="R120" s="34" t="str">
        <f>IF($Q120=1,SUM($Q$5:$Q120),"")</f>
        <v/>
      </c>
    </row>
    <row r="121" spans="1:18" ht="15" customHeight="1" x14ac:dyDescent="0.25">
      <c r="A121" s="31"/>
      <c r="B121" s="45"/>
      <c r="C121" s="45"/>
      <c r="D121" s="22"/>
      <c r="E121" s="31"/>
      <c r="F121" s="22"/>
      <c r="G121" s="22"/>
      <c r="H121" s="22"/>
      <c r="I121" s="45"/>
      <c r="J121" s="22"/>
      <c r="K121" s="22"/>
      <c r="L121" s="22" t="str">
        <f t="shared" si="9"/>
        <v/>
      </c>
      <c r="M121" s="55" t="str">
        <f t="shared" si="10"/>
        <v/>
      </c>
      <c r="O121" s="34">
        <f>IF($B121="",999999999,IF($D121="Installed",999999999,IF(NOT(ISNUMBER($E121)),999900000+117,$E121*10000+117)))</f>
        <v>999999999</v>
      </c>
      <c r="Q121" s="34">
        <f t="shared" si="11"/>
        <v>0</v>
      </c>
      <c r="R121" s="34" t="str">
        <f>IF($Q121=1,SUM($Q$5:$Q121),"")</f>
        <v/>
      </c>
    </row>
    <row r="122" spans="1:18" ht="15" customHeight="1" x14ac:dyDescent="0.25">
      <c r="A122" s="31"/>
      <c r="B122" s="45"/>
      <c r="C122" s="45"/>
      <c r="D122" s="22"/>
      <c r="E122" s="31"/>
      <c r="F122" s="22"/>
      <c r="G122" s="22"/>
      <c r="H122" s="22"/>
      <c r="I122" s="45"/>
      <c r="J122" s="22"/>
      <c r="K122" s="22"/>
      <c r="L122" s="22" t="str">
        <f t="shared" si="9"/>
        <v/>
      </c>
      <c r="M122" s="55" t="str">
        <f t="shared" si="10"/>
        <v/>
      </c>
      <c r="O122" s="34">
        <f>IF($B122="",999999999,IF($D122="Installed",999999999,IF(NOT(ISNUMBER($E122)),999900000+118,$E122*10000+118)))</f>
        <v>999999999</v>
      </c>
      <c r="Q122" s="34">
        <f t="shared" si="11"/>
        <v>0</v>
      </c>
      <c r="R122" s="34" t="str">
        <f>IF($Q122=1,SUM($Q$5:$Q122),"")</f>
        <v/>
      </c>
    </row>
    <row r="123" spans="1:18" ht="15" customHeight="1" x14ac:dyDescent="0.25">
      <c r="A123" s="31"/>
      <c r="B123" s="45"/>
      <c r="C123" s="45"/>
      <c r="D123" s="22"/>
      <c r="E123" s="31"/>
      <c r="F123" s="22"/>
      <c r="G123" s="22"/>
      <c r="H123" s="22"/>
      <c r="I123" s="45"/>
      <c r="J123" s="22"/>
      <c r="K123" s="22"/>
      <c r="L123" s="22" t="str">
        <f t="shared" si="9"/>
        <v/>
      </c>
      <c r="M123" s="55" t="str">
        <f t="shared" si="10"/>
        <v/>
      </c>
      <c r="O123" s="34">
        <f>IF($B123="",999999999,IF($D123="Installed",999999999,IF(NOT(ISNUMBER($E123)),999900000+119,$E123*10000+119)))</f>
        <v>999999999</v>
      </c>
      <c r="Q123" s="34">
        <f t="shared" si="11"/>
        <v>0</v>
      </c>
      <c r="R123" s="34" t="str">
        <f>IF($Q123=1,SUM($Q$5:$Q123),"")</f>
        <v/>
      </c>
    </row>
    <row r="124" spans="1:18" ht="15" customHeight="1" x14ac:dyDescent="0.25">
      <c r="A124" s="31"/>
      <c r="B124" s="45"/>
      <c r="C124" s="45"/>
      <c r="D124" s="22"/>
      <c r="E124" s="31"/>
      <c r="F124" s="22"/>
      <c r="G124" s="22"/>
      <c r="H124" s="22"/>
      <c r="I124" s="45"/>
      <c r="J124" s="22"/>
      <c r="K124" s="22"/>
      <c r="L124" s="22" t="str">
        <f t="shared" si="9"/>
        <v/>
      </c>
      <c r="M124" s="55" t="str">
        <f t="shared" si="10"/>
        <v/>
      </c>
      <c r="O124" s="34">
        <f>IF($B124="",999999999,IF($D124="Installed",999999999,IF(NOT(ISNUMBER($E124)),999900000+120,$E124*10000+120)))</f>
        <v>999999999</v>
      </c>
      <c r="Q124" s="34">
        <f t="shared" si="11"/>
        <v>0</v>
      </c>
      <c r="R124" s="34" t="str">
        <f>IF($Q124=1,SUM($Q$5:$Q124),"")</f>
        <v/>
      </c>
    </row>
    <row r="125" spans="1:18" ht="15" customHeight="1" x14ac:dyDescent="0.25">
      <c r="A125" s="31"/>
      <c r="B125" s="45"/>
      <c r="C125" s="45"/>
      <c r="D125" s="22"/>
      <c r="E125" s="31"/>
      <c r="F125" s="22"/>
      <c r="G125" s="22"/>
      <c r="H125" s="22"/>
      <c r="I125" s="45"/>
      <c r="J125" s="22"/>
      <c r="K125" s="22"/>
      <c r="L125" s="22" t="str">
        <f t="shared" si="9"/>
        <v/>
      </c>
      <c r="M125" s="55" t="str">
        <f t="shared" si="10"/>
        <v/>
      </c>
      <c r="O125" s="34">
        <f>IF($B125="",999999999,IF($D125="Installed",999999999,IF(NOT(ISNUMBER($E125)),999900000+121,$E125*10000+121)))</f>
        <v>999999999</v>
      </c>
      <c r="Q125" s="34">
        <f t="shared" si="11"/>
        <v>0</v>
      </c>
      <c r="R125" s="34" t="str">
        <f>IF($Q125=1,SUM($Q$5:$Q125),"")</f>
        <v/>
      </c>
    </row>
    <row r="126" spans="1:18" ht="15" customHeight="1" x14ac:dyDescent="0.25">
      <c r="A126" s="31"/>
      <c r="B126" s="45"/>
      <c r="C126" s="45"/>
      <c r="D126" s="22"/>
      <c r="E126" s="31"/>
      <c r="F126" s="22"/>
      <c r="G126" s="22"/>
      <c r="H126" s="22"/>
      <c r="I126" s="45"/>
      <c r="J126" s="22"/>
      <c r="K126" s="22"/>
      <c r="L126" s="22" t="str">
        <f t="shared" si="9"/>
        <v/>
      </c>
      <c r="M126" s="55" t="str">
        <f t="shared" si="10"/>
        <v/>
      </c>
      <c r="O126" s="34">
        <f>IF($B126="",999999999,IF($D126="Installed",999999999,IF(NOT(ISNUMBER($E126)),999900000+122,$E126*10000+122)))</f>
        <v>999999999</v>
      </c>
      <c r="Q126" s="34">
        <f t="shared" si="11"/>
        <v>0</v>
      </c>
      <c r="R126" s="34" t="str">
        <f>IF($Q126=1,SUM($Q$5:$Q126),"")</f>
        <v/>
      </c>
    </row>
    <row r="127" spans="1:18" ht="15" customHeight="1" x14ac:dyDescent="0.25">
      <c r="A127" s="31"/>
      <c r="B127" s="45"/>
      <c r="C127" s="45"/>
      <c r="D127" s="22"/>
      <c r="E127" s="31"/>
      <c r="F127" s="22"/>
      <c r="G127" s="22"/>
      <c r="H127" s="22"/>
      <c r="I127" s="45"/>
      <c r="J127" s="22"/>
      <c r="K127" s="22"/>
      <c r="L127" s="22" t="str">
        <f t="shared" si="9"/>
        <v/>
      </c>
      <c r="M127" s="55" t="str">
        <f t="shared" si="10"/>
        <v/>
      </c>
      <c r="O127" s="34">
        <f>IF($B127="",999999999,IF($D127="Installed",999999999,IF(NOT(ISNUMBER($E127)),999900000+123,$E127*10000+123)))</f>
        <v>999999999</v>
      </c>
      <c r="Q127" s="34">
        <f t="shared" si="11"/>
        <v>0</v>
      </c>
      <c r="R127" s="34" t="str">
        <f>IF($Q127=1,SUM($Q$5:$Q127),"")</f>
        <v/>
      </c>
    </row>
    <row r="128" spans="1:18" ht="15" customHeight="1" x14ac:dyDescent="0.25">
      <c r="A128" s="31"/>
      <c r="B128" s="45"/>
      <c r="C128" s="45"/>
      <c r="D128" s="22"/>
      <c r="E128" s="31"/>
      <c r="F128" s="22"/>
      <c r="G128" s="22"/>
      <c r="H128" s="22"/>
      <c r="I128" s="45"/>
      <c r="J128" s="22"/>
      <c r="K128" s="22"/>
      <c r="L128" s="22" t="str">
        <f t="shared" si="9"/>
        <v/>
      </c>
      <c r="M128" s="55" t="str">
        <f t="shared" si="10"/>
        <v/>
      </c>
      <c r="O128" s="34">
        <f>IF($B128="",999999999,IF($D128="Installed",999999999,IF(NOT(ISNUMBER($E128)),999900000+124,$E128*10000+124)))</f>
        <v>999999999</v>
      </c>
      <c r="Q128" s="34">
        <f t="shared" si="11"/>
        <v>0</v>
      </c>
      <c r="R128" s="34" t="str">
        <f>IF($Q128=1,SUM($Q$5:$Q128),"")</f>
        <v/>
      </c>
    </row>
    <row r="129" spans="1:18" ht="15" customHeight="1" x14ac:dyDescent="0.25">
      <c r="A129" s="31"/>
      <c r="B129" s="45"/>
      <c r="C129" s="45"/>
      <c r="D129" s="22"/>
      <c r="E129" s="31"/>
      <c r="F129" s="22"/>
      <c r="G129" s="22"/>
      <c r="H129" s="22"/>
      <c r="I129" s="45"/>
      <c r="J129" s="22"/>
      <c r="K129" s="22"/>
      <c r="L129" s="22" t="str">
        <f t="shared" si="9"/>
        <v/>
      </c>
      <c r="M129" s="55" t="str">
        <f t="shared" si="10"/>
        <v/>
      </c>
      <c r="O129" s="34">
        <f>IF($B129="",999999999,IF($D129="Installed",999999999,IF(NOT(ISNUMBER($E129)),999900000+125,$E129*10000+125)))</f>
        <v>999999999</v>
      </c>
      <c r="Q129" s="34">
        <f t="shared" si="11"/>
        <v>0</v>
      </c>
      <c r="R129" s="34" t="str">
        <f>IF($Q129=1,SUM($Q$5:$Q129),"")</f>
        <v/>
      </c>
    </row>
    <row r="130" spans="1:18" ht="15" customHeight="1" x14ac:dyDescent="0.25">
      <c r="A130" s="31"/>
      <c r="B130" s="45"/>
      <c r="C130" s="45"/>
      <c r="D130" s="22"/>
      <c r="E130" s="31"/>
      <c r="F130" s="22"/>
      <c r="G130" s="22"/>
      <c r="H130" s="22"/>
      <c r="I130" s="45"/>
      <c r="J130" s="22"/>
      <c r="K130" s="22"/>
      <c r="L130" s="22" t="str">
        <f t="shared" si="9"/>
        <v/>
      </c>
      <c r="M130" s="55" t="str">
        <f t="shared" si="10"/>
        <v/>
      </c>
      <c r="O130" s="34">
        <f>IF($B130="",999999999,IF($D130="Installed",999999999,IF(NOT(ISNUMBER($E130)),999900000+126,$E130*10000+126)))</f>
        <v>999999999</v>
      </c>
      <c r="Q130" s="34">
        <f t="shared" si="11"/>
        <v>0</v>
      </c>
      <c r="R130" s="34" t="str">
        <f>IF($Q130=1,SUM($Q$5:$Q130),"")</f>
        <v/>
      </c>
    </row>
    <row r="131" spans="1:18" ht="15" customHeight="1" x14ac:dyDescent="0.25">
      <c r="A131" s="31"/>
      <c r="B131" s="45"/>
      <c r="C131" s="45"/>
      <c r="D131" s="22"/>
      <c r="E131" s="31"/>
      <c r="F131" s="22"/>
      <c r="G131" s="22"/>
      <c r="H131" s="22"/>
      <c r="I131" s="45"/>
      <c r="J131" s="22"/>
      <c r="K131" s="22"/>
      <c r="L131" s="22" t="str">
        <f t="shared" si="9"/>
        <v/>
      </c>
      <c r="M131" s="55" t="str">
        <f t="shared" si="10"/>
        <v/>
      </c>
      <c r="O131" s="34">
        <f>IF($B131="",999999999,IF($D131="Installed",999999999,IF(NOT(ISNUMBER($E131)),999900000+127,$E131*10000+127)))</f>
        <v>999999999</v>
      </c>
      <c r="Q131" s="34">
        <f t="shared" si="11"/>
        <v>0</v>
      </c>
      <c r="R131" s="34" t="str">
        <f>IF($Q131=1,SUM($Q$5:$Q131),"")</f>
        <v/>
      </c>
    </row>
    <row r="132" spans="1:18" ht="15" customHeight="1" x14ac:dyDescent="0.25">
      <c r="A132" s="31"/>
      <c r="B132" s="45"/>
      <c r="C132" s="45"/>
      <c r="D132" s="22"/>
      <c r="E132" s="31"/>
      <c r="F132" s="22"/>
      <c r="G132" s="22"/>
      <c r="H132" s="22"/>
      <c r="I132" s="45"/>
      <c r="J132" s="22"/>
      <c r="K132" s="22"/>
      <c r="L132" s="22" t="str">
        <f t="shared" si="9"/>
        <v/>
      </c>
      <c r="M132" s="55" t="str">
        <f t="shared" si="10"/>
        <v/>
      </c>
      <c r="O132" s="34">
        <f>IF($B132="",999999999,IF($D132="Installed",999999999,IF(NOT(ISNUMBER($E132)),999900000+128,$E132*10000+128)))</f>
        <v>999999999</v>
      </c>
      <c r="Q132" s="34">
        <f t="shared" si="11"/>
        <v>0</v>
      </c>
      <c r="R132" s="34" t="str">
        <f>IF($Q132=1,SUM($Q$5:$Q132),"")</f>
        <v/>
      </c>
    </row>
    <row r="133" spans="1:18" ht="15" customHeight="1" x14ac:dyDescent="0.25">
      <c r="A133" s="31"/>
      <c r="B133" s="45"/>
      <c r="C133" s="45"/>
      <c r="D133" s="22"/>
      <c r="E133" s="31"/>
      <c r="F133" s="22"/>
      <c r="G133" s="22"/>
      <c r="H133" s="22"/>
      <c r="I133" s="45"/>
      <c r="J133" s="22"/>
      <c r="K133" s="22"/>
      <c r="L133" s="22" t="str">
        <f t="shared" ref="L133:L159" si="12">IF($D133="Installed","✔","")</f>
        <v/>
      </c>
      <c r="M133" s="55" t="str">
        <f t="shared" ref="M133:M159" si="13">IF($B133="","",IF($D133="Installed","",IF(AND($D133="Not Ready",$E133&lt;&gt;"",NOT(ISNUMBER($E133))),"⚠ CHECK DATE",IF(AND($D133="Not Ready",ISNUMBER($E133),$E133&lt;$P$3),"⚠ PAST DUE - NOT READY",IF(AND($D133="Not Ready",ISNUMBER($E133),$E133&gt;=$P$3,$E133&lt;=$P$5),"⚠ EQUIP NOT READY",IF(AND($H133="Not Ready",ISNUMBER($E133),$E133&gt;=$P$3,$E133&lt;=$P$5),"⚠ CUSTOMER NOT READY",""))))))</f>
        <v/>
      </c>
      <c r="O133" s="34">
        <f>IF($B133="",999999999,IF($D133="Installed",999999999,IF(NOT(ISNUMBER($E133)),999900000+129,$E133*10000+129)))</f>
        <v>999999999</v>
      </c>
      <c r="Q133" s="34">
        <f t="shared" ref="Q133:Q159" si="14">IF(LEFT($M133,1)="⚠",1,0)</f>
        <v>0</v>
      </c>
      <c r="R133" s="34" t="str">
        <f>IF($Q133=1,SUM($Q$5:$Q133),"")</f>
        <v/>
      </c>
    </row>
    <row r="134" spans="1:18" ht="15" customHeight="1" x14ac:dyDescent="0.25">
      <c r="A134" s="31"/>
      <c r="B134" s="45"/>
      <c r="C134" s="45"/>
      <c r="D134" s="22"/>
      <c r="E134" s="31"/>
      <c r="F134" s="22"/>
      <c r="G134" s="22"/>
      <c r="H134" s="22"/>
      <c r="I134" s="45"/>
      <c r="J134" s="22"/>
      <c r="K134" s="22"/>
      <c r="L134" s="22" t="str">
        <f t="shared" si="12"/>
        <v/>
      </c>
      <c r="M134" s="55" t="str">
        <f t="shared" si="13"/>
        <v/>
      </c>
      <c r="O134" s="34">
        <f>IF($B134="",999999999,IF($D134="Installed",999999999,IF(NOT(ISNUMBER($E134)),999900000+130,$E134*10000+130)))</f>
        <v>999999999</v>
      </c>
      <c r="Q134" s="34">
        <f t="shared" si="14"/>
        <v>0</v>
      </c>
      <c r="R134" s="34" t="str">
        <f>IF($Q134=1,SUM($Q$5:$Q134),"")</f>
        <v/>
      </c>
    </row>
    <row r="135" spans="1:18" ht="15" customHeight="1" x14ac:dyDescent="0.25">
      <c r="A135" s="31"/>
      <c r="B135" s="45"/>
      <c r="C135" s="45"/>
      <c r="D135" s="22"/>
      <c r="E135" s="31"/>
      <c r="F135" s="22"/>
      <c r="G135" s="22"/>
      <c r="H135" s="22"/>
      <c r="I135" s="45"/>
      <c r="J135" s="22"/>
      <c r="K135" s="22"/>
      <c r="L135" s="22" t="str">
        <f t="shared" si="12"/>
        <v/>
      </c>
      <c r="M135" s="55" t="str">
        <f t="shared" si="13"/>
        <v/>
      </c>
      <c r="O135" s="34">
        <f>IF($B135="",999999999,IF($D135="Installed",999999999,IF(NOT(ISNUMBER($E135)),999900000+131,$E135*10000+131)))</f>
        <v>999999999</v>
      </c>
      <c r="Q135" s="34">
        <f t="shared" si="14"/>
        <v>0</v>
      </c>
      <c r="R135" s="34" t="str">
        <f>IF($Q135=1,SUM($Q$5:$Q135),"")</f>
        <v/>
      </c>
    </row>
    <row r="136" spans="1:18" ht="15" customHeight="1" x14ac:dyDescent="0.25">
      <c r="A136" s="31"/>
      <c r="B136" s="45"/>
      <c r="C136" s="45"/>
      <c r="D136" s="22"/>
      <c r="E136" s="31"/>
      <c r="F136" s="22"/>
      <c r="G136" s="22"/>
      <c r="H136" s="22"/>
      <c r="I136" s="45"/>
      <c r="J136" s="22"/>
      <c r="K136" s="22"/>
      <c r="L136" s="22" t="str">
        <f t="shared" si="12"/>
        <v/>
      </c>
      <c r="M136" s="55" t="str">
        <f t="shared" si="13"/>
        <v/>
      </c>
      <c r="O136" s="34">
        <f>IF($B136="",999999999,IF($D136="Installed",999999999,IF(NOT(ISNUMBER($E136)),999900000+132,$E136*10000+132)))</f>
        <v>999999999</v>
      </c>
      <c r="Q136" s="34">
        <f t="shared" si="14"/>
        <v>0</v>
      </c>
      <c r="R136" s="34" t="str">
        <f>IF($Q136=1,SUM($Q$5:$Q136),"")</f>
        <v/>
      </c>
    </row>
    <row r="137" spans="1:18" ht="15" customHeight="1" x14ac:dyDescent="0.25">
      <c r="A137" s="31"/>
      <c r="B137" s="45"/>
      <c r="C137" s="45"/>
      <c r="D137" s="22"/>
      <c r="E137" s="31"/>
      <c r="F137" s="22"/>
      <c r="G137" s="22"/>
      <c r="H137" s="22"/>
      <c r="I137" s="45"/>
      <c r="J137" s="22"/>
      <c r="K137" s="22"/>
      <c r="L137" s="22" t="str">
        <f t="shared" si="12"/>
        <v/>
      </c>
      <c r="M137" s="55" t="str">
        <f t="shared" si="13"/>
        <v/>
      </c>
      <c r="O137" s="34">
        <f>IF($B137="",999999999,IF($D137="Installed",999999999,IF(NOT(ISNUMBER($E137)),999900000+133,$E137*10000+133)))</f>
        <v>999999999</v>
      </c>
      <c r="Q137" s="34">
        <f t="shared" si="14"/>
        <v>0</v>
      </c>
      <c r="R137" s="34" t="str">
        <f>IF($Q137=1,SUM($Q$5:$Q137),"")</f>
        <v/>
      </c>
    </row>
    <row r="138" spans="1:18" ht="15" customHeight="1" x14ac:dyDescent="0.25">
      <c r="A138" s="31"/>
      <c r="B138" s="45"/>
      <c r="C138" s="45"/>
      <c r="D138" s="22"/>
      <c r="E138" s="31"/>
      <c r="F138" s="22"/>
      <c r="G138" s="22"/>
      <c r="H138" s="22"/>
      <c r="I138" s="45"/>
      <c r="J138" s="22"/>
      <c r="K138" s="22"/>
      <c r="L138" s="22" t="str">
        <f t="shared" si="12"/>
        <v/>
      </c>
      <c r="M138" s="55" t="str">
        <f t="shared" si="13"/>
        <v/>
      </c>
      <c r="O138" s="34">
        <f>IF($B138="",999999999,IF($D138="Installed",999999999,IF(NOT(ISNUMBER($E138)),999900000+134,$E138*10000+134)))</f>
        <v>999999999</v>
      </c>
      <c r="Q138" s="34">
        <f t="shared" si="14"/>
        <v>0</v>
      </c>
      <c r="R138" s="34" t="str">
        <f>IF($Q138=1,SUM($Q$5:$Q138),"")</f>
        <v/>
      </c>
    </row>
    <row r="139" spans="1:18" ht="15" customHeight="1" x14ac:dyDescent="0.25">
      <c r="A139" s="31"/>
      <c r="B139" s="45"/>
      <c r="C139" s="45"/>
      <c r="D139" s="22"/>
      <c r="E139" s="31"/>
      <c r="F139" s="22"/>
      <c r="G139" s="22"/>
      <c r="H139" s="22"/>
      <c r="I139" s="45"/>
      <c r="J139" s="22"/>
      <c r="K139" s="22"/>
      <c r="L139" s="22" t="str">
        <f t="shared" si="12"/>
        <v/>
      </c>
      <c r="M139" s="55" t="str">
        <f t="shared" si="13"/>
        <v/>
      </c>
      <c r="O139" s="34">
        <f>IF($B139="",999999999,IF($D139="Installed",999999999,IF(NOT(ISNUMBER($E139)),999900000+135,$E139*10000+135)))</f>
        <v>999999999</v>
      </c>
      <c r="Q139" s="34">
        <f t="shared" si="14"/>
        <v>0</v>
      </c>
      <c r="R139" s="34" t="str">
        <f>IF($Q139=1,SUM($Q$5:$Q139),"")</f>
        <v/>
      </c>
    </row>
    <row r="140" spans="1:18" ht="15" customHeight="1" x14ac:dyDescent="0.25">
      <c r="A140" s="31"/>
      <c r="B140" s="45"/>
      <c r="C140" s="45"/>
      <c r="D140" s="22"/>
      <c r="E140" s="31"/>
      <c r="F140" s="22"/>
      <c r="G140" s="22"/>
      <c r="H140" s="22"/>
      <c r="I140" s="45"/>
      <c r="J140" s="22"/>
      <c r="K140" s="22"/>
      <c r="L140" s="22" t="str">
        <f t="shared" si="12"/>
        <v/>
      </c>
      <c r="M140" s="55" t="str">
        <f t="shared" si="13"/>
        <v/>
      </c>
      <c r="O140" s="34">
        <f>IF($B140="",999999999,IF($D140="Installed",999999999,IF(NOT(ISNUMBER($E140)),999900000+136,$E140*10000+136)))</f>
        <v>999999999</v>
      </c>
      <c r="Q140" s="34">
        <f t="shared" si="14"/>
        <v>0</v>
      </c>
      <c r="R140" s="34" t="str">
        <f>IF($Q140=1,SUM($Q$5:$Q140),"")</f>
        <v/>
      </c>
    </row>
    <row r="141" spans="1:18" ht="15" customHeight="1" x14ac:dyDescent="0.25">
      <c r="A141" s="31"/>
      <c r="B141" s="45"/>
      <c r="C141" s="45"/>
      <c r="D141" s="22"/>
      <c r="E141" s="31"/>
      <c r="F141" s="22"/>
      <c r="G141" s="22"/>
      <c r="H141" s="22"/>
      <c r="I141" s="45"/>
      <c r="J141" s="22"/>
      <c r="K141" s="22"/>
      <c r="L141" s="22" t="str">
        <f t="shared" si="12"/>
        <v/>
      </c>
      <c r="M141" s="55" t="str">
        <f t="shared" si="13"/>
        <v/>
      </c>
      <c r="O141" s="34">
        <f>IF($B141="",999999999,IF($D141="Installed",999999999,IF(NOT(ISNUMBER($E141)),999900000+137,$E141*10000+137)))</f>
        <v>999999999</v>
      </c>
      <c r="Q141" s="34">
        <f t="shared" si="14"/>
        <v>0</v>
      </c>
      <c r="R141" s="34" t="str">
        <f>IF($Q141=1,SUM($Q$5:$Q141),"")</f>
        <v/>
      </c>
    </row>
    <row r="142" spans="1:18" ht="15" customHeight="1" x14ac:dyDescent="0.25">
      <c r="A142" s="31"/>
      <c r="B142" s="45"/>
      <c r="C142" s="45"/>
      <c r="D142" s="22"/>
      <c r="E142" s="31"/>
      <c r="F142" s="22"/>
      <c r="G142" s="22"/>
      <c r="H142" s="22"/>
      <c r="I142" s="45"/>
      <c r="J142" s="22"/>
      <c r="K142" s="22"/>
      <c r="L142" s="22" t="str">
        <f t="shared" si="12"/>
        <v/>
      </c>
      <c r="M142" s="55" t="str">
        <f t="shared" si="13"/>
        <v/>
      </c>
      <c r="O142" s="34">
        <f>IF($B142="",999999999,IF($D142="Installed",999999999,IF(NOT(ISNUMBER($E142)),999900000+138,$E142*10000+138)))</f>
        <v>999999999</v>
      </c>
      <c r="Q142" s="34">
        <f t="shared" si="14"/>
        <v>0</v>
      </c>
      <c r="R142" s="34" t="str">
        <f>IF($Q142=1,SUM($Q$5:$Q142),"")</f>
        <v/>
      </c>
    </row>
    <row r="143" spans="1:18" ht="15" customHeight="1" x14ac:dyDescent="0.25">
      <c r="A143" s="31"/>
      <c r="B143" s="45"/>
      <c r="C143" s="45"/>
      <c r="D143" s="22"/>
      <c r="E143" s="31"/>
      <c r="F143" s="22"/>
      <c r="G143" s="22"/>
      <c r="H143" s="22"/>
      <c r="I143" s="45"/>
      <c r="J143" s="22"/>
      <c r="K143" s="22"/>
      <c r="L143" s="22" t="str">
        <f t="shared" si="12"/>
        <v/>
      </c>
      <c r="M143" s="55" t="str">
        <f t="shared" si="13"/>
        <v/>
      </c>
      <c r="O143" s="34">
        <f>IF($B143="",999999999,IF($D143="Installed",999999999,IF(NOT(ISNUMBER($E143)),999900000+139,$E143*10000+139)))</f>
        <v>999999999</v>
      </c>
      <c r="Q143" s="34">
        <f t="shared" si="14"/>
        <v>0</v>
      </c>
      <c r="R143" s="34" t="str">
        <f>IF($Q143=1,SUM($Q$5:$Q143),"")</f>
        <v/>
      </c>
    </row>
    <row r="144" spans="1:18" ht="15" customHeight="1" x14ac:dyDescent="0.25">
      <c r="A144" s="31"/>
      <c r="B144" s="45"/>
      <c r="C144" s="45"/>
      <c r="D144" s="22"/>
      <c r="E144" s="31"/>
      <c r="F144" s="22"/>
      <c r="G144" s="22"/>
      <c r="H144" s="22"/>
      <c r="I144" s="45"/>
      <c r="J144" s="22"/>
      <c r="K144" s="22"/>
      <c r="L144" s="22" t="str">
        <f t="shared" si="12"/>
        <v/>
      </c>
      <c r="M144" s="55" t="str">
        <f t="shared" si="13"/>
        <v/>
      </c>
      <c r="O144" s="34">
        <f>IF($B144="",999999999,IF($D144="Installed",999999999,IF(NOT(ISNUMBER($E144)),999900000+140,$E144*10000+140)))</f>
        <v>999999999</v>
      </c>
      <c r="Q144" s="34">
        <f t="shared" si="14"/>
        <v>0</v>
      </c>
      <c r="R144" s="34" t="str">
        <f>IF($Q144=1,SUM($Q$5:$Q144),"")</f>
        <v/>
      </c>
    </row>
    <row r="145" spans="1:18" ht="15" customHeight="1" x14ac:dyDescent="0.25">
      <c r="A145" s="31"/>
      <c r="B145" s="45"/>
      <c r="C145" s="45"/>
      <c r="D145" s="22"/>
      <c r="E145" s="31"/>
      <c r="F145" s="22"/>
      <c r="G145" s="22"/>
      <c r="H145" s="22"/>
      <c r="I145" s="45"/>
      <c r="J145" s="22"/>
      <c r="K145" s="22"/>
      <c r="L145" s="22" t="str">
        <f t="shared" si="12"/>
        <v/>
      </c>
      <c r="M145" s="55" t="str">
        <f t="shared" si="13"/>
        <v/>
      </c>
      <c r="O145" s="34">
        <f>IF($B145="",999999999,IF($D145="Installed",999999999,IF(NOT(ISNUMBER($E145)),999900000+141,$E145*10000+141)))</f>
        <v>999999999</v>
      </c>
      <c r="Q145" s="34">
        <f t="shared" si="14"/>
        <v>0</v>
      </c>
      <c r="R145" s="34" t="str">
        <f>IF($Q145=1,SUM($Q$5:$Q145),"")</f>
        <v/>
      </c>
    </row>
    <row r="146" spans="1:18" ht="15" customHeight="1" x14ac:dyDescent="0.25">
      <c r="A146" s="31"/>
      <c r="B146" s="45"/>
      <c r="C146" s="45"/>
      <c r="D146" s="22"/>
      <c r="E146" s="31"/>
      <c r="F146" s="22"/>
      <c r="G146" s="22"/>
      <c r="H146" s="22"/>
      <c r="I146" s="45"/>
      <c r="J146" s="22"/>
      <c r="K146" s="22"/>
      <c r="L146" s="22" t="str">
        <f t="shared" si="12"/>
        <v/>
      </c>
      <c r="M146" s="55" t="str">
        <f t="shared" si="13"/>
        <v/>
      </c>
      <c r="O146" s="34">
        <f>IF($B146="",999999999,IF($D146="Installed",999999999,IF(NOT(ISNUMBER($E146)),999900000+142,$E146*10000+142)))</f>
        <v>999999999</v>
      </c>
      <c r="Q146" s="34">
        <f t="shared" si="14"/>
        <v>0</v>
      </c>
      <c r="R146" s="34" t="str">
        <f>IF($Q146=1,SUM($Q$5:$Q146),"")</f>
        <v/>
      </c>
    </row>
    <row r="147" spans="1:18" ht="15" customHeight="1" x14ac:dyDescent="0.25">
      <c r="A147" s="31"/>
      <c r="B147" s="45"/>
      <c r="C147" s="45"/>
      <c r="D147" s="22"/>
      <c r="E147" s="31"/>
      <c r="F147" s="22"/>
      <c r="G147" s="22"/>
      <c r="H147" s="22"/>
      <c r="I147" s="45"/>
      <c r="J147" s="22"/>
      <c r="K147" s="22"/>
      <c r="L147" s="22" t="str">
        <f t="shared" si="12"/>
        <v/>
      </c>
      <c r="M147" s="55" t="str">
        <f t="shared" si="13"/>
        <v/>
      </c>
      <c r="O147" s="34">
        <f>IF($B147="",999999999,IF($D147="Installed",999999999,IF(NOT(ISNUMBER($E147)),999900000+143,$E147*10000+143)))</f>
        <v>999999999</v>
      </c>
      <c r="Q147" s="34">
        <f t="shared" si="14"/>
        <v>0</v>
      </c>
      <c r="R147" s="34" t="str">
        <f>IF($Q147=1,SUM($Q$5:$Q147),"")</f>
        <v/>
      </c>
    </row>
    <row r="148" spans="1:18" ht="15" customHeight="1" x14ac:dyDescent="0.25">
      <c r="A148" s="31"/>
      <c r="B148" s="45"/>
      <c r="C148" s="45"/>
      <c r="D148" s="22"/>
      <c r="E148" s="31"/>
      <c r="F148" s="22"/>
      <c r="G148" s="22"/>
      <c r="H148" s="22"/>
      <c r="I148" s="45"/>
      <c r="J148" s="22"/>
      <c r="K148" s="22"/>
      <c r="L148" s="22" t="str">
        <f t="shared" si="12"/>
        <v/>
      </c>
      <c r="M148" s="55" t="str">
        <f t="shared" si="13"/>
        <v/>
      </c>
      <c r="O148" s="34">
        <f>IF($B148="",999999999,IF($D148="Installed",999999999,IF(NOT(ISNUMBER($E148)),999900000+144,$E148*10000+144)))</f>
        <v>999999999</v>
      </c>
      <c r="Q148" s="34">
        <f t="shared" si="14"/>
        <v>0</v>
      </c>
      <c r="R148" s="34" t="str">
        <f>IF($Q148=1,SUM($Q$5:$Q148),"")</f>
        <v/>
      </c>
    </row>
    <row r="149" spans="1:18" ht="15" customHeight="1" x14ac:dyDescent="0.25">
      <c r="A149" s="31"/>
      <c r="B149" s="45"/>
      <c r="C149" s="45"/>
      <c r="D149" s="22"/>
      <c r="E149" s="31"/>
      <c r="F149" s="22"/>
      <c r="G149" s="22"/>
      <c r="H149" s="22"/>
      <c r="I149" s="45"/>
      <c r="J149" s="22"/>
      <c r="K149" s="22"/>
      <c r="L149" s="22" t="str">
        <f t="shared" si="12"/>
        <v/>
      </c>
      <c r="M149" s="55" t="str">
        <f t="shared" si="13"/>
        <v/>
      </c>
      <c r="O149" s="34">
        <f>IF($B149="",999999999,IF($D149="Installed",999999999,IF(NOT(ISNUMBER($E149)),999900000+145,$E149*10000+145)))</f>
        <v>999999999</v>
      </c>
      <c r="Q149" s="34">
        <f t="shared" si="14"/>
        <v>0</v>
      </c>
      <c r="R149" s="34" t="str">
        <f>IF($Q149=1,SUM($Q$5:$Q149),"")</f>
        <v/>
      </c>
    </row>
    <row r="150" spans="1:18" ht="15" customHeight="1" x14ac:dyDescent="0.25">
      <c r="A150" s="31"/>
      <c r="B150" s="45"/>
      <c r="C150" s="45"/>
      <c r="D150" s="22"/>
      <c r="E150" s="31"/>
      <c r="F150" s="22"/>
      <c r="G150" s="22"/>
      <c r="H150" s="22"/>
      <c r="I150" s="45"/>
      <c r="J150" s="22"/>
      <c r="K150" s="22"/>
      <c r="L150" s="22" t="str">
        <f t="shared" si="12"/>
        <v/>
      </c>
      <c r="M150" s="55" t="str">
        <f t="shared" si="13"/>
        <v/>
      </c>
      <c r="O150" s="34">
        <f>IF($B150="",999999999,IF($D150="Installed",999999999,IF(NOT(ISNUMBER($E150)),999900000+146,$E150*10000+146)))</f>
        <v>999999999</v>
      </c>
      <c r="Q150" s="34">
        <f t="shared" si="14"/>
        <v>0</v>
      </c>
      <c r="R150" s="34" t="str">
        <f>IF($Q150=1,SUM($Q$5:$Q150),"")</f>
        <v/>
      </c>
    </row>
    <row r="151" spans="1:18" ht="15" customHeight="1" x14ac:dyDescent="0.25">
      <c r="A151" s="31"/>
      <c r="B151" s="45"/>
      <c r="C151" s="45"/>
      <c r="D151" s="22"/>
      <c r="E151" s="31"/>
      <c r="F151" s="22"/>
      <c r="G151" s="22"/>
      <c r="H151" s="22"/>
      <c r="I151" s="45"/>
      <c r="J151" s="22"/>
      <c r="K151" s="22"/>
      <c r="L151" s="22" t="str">
        <f t="shared" si="12"/>
        <v/>
      </c>
      <c r="M151" s="55" t="str">
        <f t="shared" si="13"/>
        <v/>
      </c>
      <c r="O151" s="34">
        <f>IF($B151="",999999999,IF($D151="Installed",999999999,IF(NOT(ISNUMBER($E151)),999900000+147,$E151*10000+147)))</f>
        <v>999999999</v>
      </c>
      <c r="Q151" s="34">
        <f t="shared" si="14"/>
        <v>0</v>
      </c>
      <c r="R151" s="34" t="str">
        <f>IF($Q151=1,SUM($Q$5:$Q151),"")</f>
        <v/>
      </c>
    </row>
    <row r="152" spans="1:18" ht="15" customHeight="1" x14ac:dyDescent="0.25">
      <c r="A152" s="31"/>
      <c r="B152" s="45"/>
      <c r="C152" s="45"/>
      <c r="D152" s="22"/>
      <c r="E152" s="31"/>
      <c r="F152" s="22"/>
      <c r="G152" s="22"/>
      <c r="H152" s="22"/>
      <c r="I152" s="45"/>
      <c r="J152" s="22"/>
      <c r="K152" s="22"/>
      <c r="L152" s="22" t="str">
        <f t="shared" si="12"/>
        <v/>
      </c>
      <c r="M152" s="55" t="str">
        <f t="shared" si="13"/>
        <v/>
      </c>
      <c r="O152" s="34">
        <f>IF($B152="",999999999,IF($D152="Installed",999999999,IF(NOT(ISNUMBER($E152)),999900000+148,$E152*10000+148)))</f>
        <v>999999999</v>
      </c>
      <c r="Q152" s="34">
        <f t="shared" si="14"/>
        <v>0</v>
      </c>
      <c r="R152" s="34" t="str">
        <f>IF($Q152=1,SUM($Q$5:$Q152),"")</f>
        <v/>
      </c>
    </row>
    <row r="153" spans="1:18" ht="15" customHeight="1" x14ac:dyDescent="0.25">
      <c r="A153" s="31"/>
      <c r="B153" s="45"/>
      <c r="C153" s="45"/>
      <c r="D153" s="22"/>
      <c r="E153" s="31"/>
      <c r="F153" s="22"/>
      <c r="G153" s="22"/>
      <c r="H153" s="22"/>
      <c r="I153" s="45"/>
      <c r="J153" s="22"/>
      <c r="K153" s="22"/>
      <c r="L153" s="22" t="str">
        <f t="shared" si="12"/>
        <v/>
      </c>
      <c r="M153" s="55" t="str">
        <f t="shared" si="13"/>
        <v/>
      </c>
      <c r="O153" s="34">
        <f>IF($B153="",999999999,IF($D153="Installed",999999999,IF(NOT(ISNUMBER($E153)),999900000+149,$E153*10000+149)))</f>
        <v>999999999</v>
      </c>
      <c r="Q153" s="34">
        <f t="shared" si="14"/>
        <v>0</v>
      </c>
      <c r="R153" s="34" t="str">
        <f>IF($Q153=1,SUM($Q$5:$Q153),"")</f>
        <v/>
      </c>
    </row>
    <row r="154" spans="1:18" ht="15" customHeight="1" x14ac:dyDescent="0.25">
      <c r="A154" s="31"/>
      <c r="B154" s="45"/>
      <c r="C154" s="45"/>
      <c r="D154" s="22"/>
      <c r="E154" s="31"/>
      <c r="F154" s="22"/>
      <c r="G154" s="22"/>
      <c r="H154" s="22"/>
      <c r="I154" s="45"/>
      <c r="J154" s="22"/>
      <c r="K154" s="22"/>
      <c r="L154" s="22" t="str">
        <f t="shared" si="12"/>
        <v/>
      </c>
      <c r="M154" s="55" t="str">
        <f t="shared" si="13"/>
        <v/>
      </c>
      <c r="O154" s="34">
        <f>IF($B154="",999999999,IF($D154="Installed",999999999,IF(NOT(ISNUMBER($E154)),999900000+150,$E154*10000+150)))</f>
        <v>999999999</v>
      </c>
      <c r="Q154" s="34">
        <f t="shared" si="14"/>
        <v>0</v>
      </c>
      <c r="R154" s="34" t="str">
        <f>IF($Q154=1,SUM($Q$5:$Q154),"")</f>
        <v/>
      </c>
    </row>
    <row r="155" spans="1:18" ht="15" customHeight="1" x14ac:dyDescent="0.25">
      <c r="A155" s="31"/>
      <c r="B155" s="45"/>
      <c r="C155" s="45"/>
      <c r="D155" s="22"/>
      <c r="E155" s="31"/>
      <c r="F155" s="22"/>
      <c r="G155" s="22"/>
      <c r="H155" s="22"/>
      <c r="I155" s="45"/>
      <c r="J155" s="22"/>
      <c r="K155" s="22"/>
      <c r="L155" s="22" t="str">
        <f t="shared" si="12"/>
        <v/>
      </c>
      <c r="M155" s="55" t="str">
        <f t="shared" si="13"/>
        <v/>
      </c>
      <c r="O155" s="34">
        <f>IF($B155="",999999999,IF($D155="Installed",999999999,IF(NOT(ISNUMBER($E155)),999900000+151,$E155*10000+151)))</f>
        <v>999999999</v>
      </c>
      <c r="Q155" s="34">
        <f t="shared" si="14"/>
        <v>0</v>
      </c>
      <c r="R155" s="34" t="str">
        <f>IF($Q155=1,SUM($Q$5:$Q155),"")</f>
        <v/>
      </c>
    </row>
    <row r="156" spans="1:18" ht="15" customHeight="1" x14ac:dyDescent="0.25">
      <c r="A156" s="31"/>
      <c r="B156" s="45"/>
      <c r="C156" s="45"/>
      <c r="D156" s="22"/>
      <c r="E156" s="31"/>
      <c r="F156" s="22"/>
      <c r="G156" s="22"/>
      <c r="H156" s="22"/>
      <c r="I156" s="45"/>
      <c r="J156" s="22"/>
      <c r="K156" s="22"/>
      <c r="L156" s="22" t="str">
        <f t="shared" si="12"/>
        <v/>
      </c>
      <c r="M156" s="55" t="str">
        <f t="shared" si="13"/>
        <v/>
      </c>
      <c r="O156" s="34">
        <f>IF($B156="",999999999,IF($D156="Installed",999999999,IF(NOT(ISNUMBER($E156)),999900000+152,$E156*10000+152)))</f>
        <v>999999999</v>
      </c>
      <c r="Q156" s="34">
        <f t="shared" si="14"/>
        <v>0</v>
      </c>
      <c r="R156" s="34" t="str">
        <f>IF($Q156=1,SUM($Q$5:$Q156),"")</f>
        <v/>
      </c>
    </row>
    <row r="157" spans="1:18" ht="15" customHeight="1" x14ac:dyDescent="0.25">
      <c r="A157" s="31"/>
      <c r="B157" s="45"/>
      <c r="C157" s="45"/>
      <c r="D157" s="22"/>
      <c r="E157" s="31"/>
      <c r="F157" s="22"/>
      <c r="G157" s="22"/>
      <c r="H157" s="22"/>
      <c r="I157" s="45"/>
      <c r="J157" s="22"/>
      <c r="K157" s="22"/>
      <c r="L157" s="22" t="str">
        <f t="shared" si="12"/>
        <v/>
      </c>
      <c r="M157" s="55" t="str">
        <f t="shared" si="13"/>
        <v/>
      </c>
      <c r="O157" s="34">
        <f>IF($B157="",999999999,IF($D157="Installed",999999999,IF(NOT(ISNUMBER($E157)),999900000+153,$E157*10000+153)))</f>
        <v>999999999</v>
      </c>
      <c r="Q157" s="34">
        <f t="shared" si="14"/>
        <v>0</v>
      </c>
      <c r="R157" s="34" t="str">
        <f>IF($Q157=1,SUM($Q$5:$Q157),"")</f>
        <v/>
      </c>
    </row>
    <row r="158" spans="1:18" ht="15" customHeight="1" x14ac:dyDescent="0.25">
      <c r="A158" s="31"/>
      <c r="B158" s="45"/>
      <c r="C158" s="45"/>
      <c r="D158" s="22"/>
      <c r="E158" s="31"/>
      <c r="F158" s="22"/>
      <c r="G158" s="22"/>
      <c r="H158" s="22"/>
      <c r="I158" s="45"/>
      <c r="J158" s="22"/>
      <c r="K158" s="22"/>
      <c r="L158" s="22" t="str">
        <f t="shared" si="12"/>
        <v/>
      </c>
      <c r="M158" s="55" t="str">
        <f t="shared" si="13"/>
        <v/>
      </c>
      <c r="O158" s="34">
        <f>IF($B158="",999999999,IF($D158="Installed",999999999,IF(NOT(ISNUMBER($E158)),999900000+154,$E158*10000+154)))</f>
        <v>999999999</v>
      </c>
      <c r="Q158" s="34">
        <f t="shared" si="14"/>
        <v>0</v>
      </c>
      <c r="R158" s="34" t="str">
        <f>IF($Q158=1,SUM($Q$5:$Q158),"")</f>
        <v/>
      </c>
    </row>
    <row r="159" spans="1:18" ht="15" customHeight="1" x14ac:dyDescent="0.25">
      <c r="A159" s="31"/>
      <c r="B159" s="45"/>
      <c r="C159" s="45"/>
      <c r="D159" s="22"/>
      <c r="E159" s="31"/>
      <c r="F159" s="22"/>
      <c r="G159" s="22"/>
      <c r="H159" s="22"/>
      <c r="I159" s="45"/>
      <c r="J159" s="22"/>
      <c r="K159" s="22"/>
      <c r="L159" s="22" t="str">
        <f t="shared" si="12"/>
        <v/>
      </c>
      <c r="M159" s="55" t="str">
        <f t="shared" si="13"/>
        <v/>
      </c>
      <c r="O159" s="34">
        <f>IF($B159="",999999999,IF($D159="Installed",999999999,IF(NOT(ISNUMBER($E159)),999900000+155,$E159*10000+155)))</f>
        <v>999999999</v>
      </c>
      <c r="Q159" s="34">
        <f t="shared" si="14"/>
        <v>0</v>
      </c>
      <c r="R159" s="34" t="str">
        <f>IF($Q159=1,SUM($Q$5:$Q159),"")</f>
        <v/>
      </c>
    </row>
    <row r="160" spans="1:18" ht="27.75" customHeight="1" x14ac:dyDescent="0.25">
      <c r="A160" s="63" t="s">
        <v>412</v>
      </c>
      <c r="B160" s="63"/>
      <c r="C160" s="63"/>
      <c r="D160" s="63"/>
      <c r="E160" s="63"/>
      <c r="F160" s="63"/>
      <c r="G160" s="63"/>
      <c r="H160" s="63"/>
      <c r="I160" s="63"/>
      <c r="J160" s="63"/>
      <c r="K160" s="63"/>
      <c r="L160" s="63"/>
      <c r="M160" s="63"/>
    </row>
    <row r="161" spans="1:18" ht="15" customHeight="1" x14ac:dyDescent="0.25">
      <c r="A161" s="56" t="str">
        <f>IF($N161="","",IFERROR(IF(INDEX('Projected Sales or Lease'!$D$1:$D$200,$N161)="","",INDEX('Projected Sales or Lease'!$D$1:$D$200,$N161)),""))</f>
        <v/>
      </c>
      <c r="B161" s="57" t="str">
        <f>IF($N161="","",IFERROR(IF(INDEX('Projected Sales or Lease'!$A$1:$A$200,$N161)="","",INDEX('Projected Sales or Lease'!$A$1:$A$200,$N161)),""))</f>
        <v>Truffle &amp; Rye</v>
      </c>
      <c r="C161" s="57" t="str">
        <f>IF($N161="","",IFERROR(IF(INDEX('Projected Sales or Lease'!$E$1:$E$200,$N161)="","",INDEX('Projected Sales or Lease'!$E$1:$E$200,$N161)),""))</f>
        <v>La Marz GS3, jay grinder</v>
      </c>
      <c r="D161" s="22"/>
      <c r="E161" s="31"/>
      <c r="F161" s="22"/>
      <c r="G161" s="22"/>
      <c r="H161" s="22"/>
      <c r="I161" s="45"/>
      <c r="J161" s="58" t="str">
        <f>IF($N161="","",IFERROR(INDEX(Lists!$V$2:$V$20,MATCH(INDEX('Projected Sales or Lease'!$B$1:$B$200,$N161),Lists!$U$2:$U$20,0)),""))</f>
        <v>AL</v>
      </c>
      <c r="K161" s="58" t="str">
        <f>IF($N161="","",IFERROR(IF(INDEX('Projected Sales or Lease'!$J$1:$J$200,$N161)="","",INDEX('Projected Sales or Lease'!$J$1:$J$200,$N161)),""))</f>
        <v>Paid in Full</v>
      </c>
      <c r="L161" s="22" t="str">
        <f t="shared" ref="L161:L200" si="15">IF($D161="Installed","✔","")</f>
        <v/>
      </c>
      <c r="M161" s="55" t="str">
        <f t="shared" ref="M161:M200" ca="1" si="16">IF($B161="","",IF($D161="Installed","",IF(AND($D161="Not Ready",$E161&lt;&gt;"",NOT(ISNUMBER($E161))),"⚠ CHECK DATE",IF(AND($D161="Not Ready",ISNUMBER($E161),$E161&lt;$P$3),"⚠ PAST DUE - NOT READY",IF(AND($D161="Not Ready",ISNUMBER($E161),$E161&gt;=$P$3,$E161&lt;=$P$5),"⚠ EQUIP NOT READY",IF(AND($H161="Not Ready",ISNUMBER($E161),$E161&gt;=$P$3,$E161&lt;=$P$5),"⚠ CUSTOMER NOT READY",""))))))</f>
        <v/>
      </c>
      <c r="N161">
        <f>IFERROR(MATCH(1,'Projected Sales or Lease'!$O$3:$O$200,0)+2,"")</f>
        <v>3</v>
      </c>
      <c r="O161" s="34">
        <f>IF($B161="",999999999,IF($D161="Installed",999999999,IF(NOT(ISNUMBER($E161)),999900000+157,$E161*10000+157)))</f>
        <v>999900157</v>
      </c>
      <c r="Q161" s="34">
        <f t="shared" ref="Q161:Q200" ca="1" si="17">IF(LEFT($M161,1)="⚠",1,0)</f>
        <v>0</v>
      </c>
      <c r="R161" s="34" t="str">
        <f ca="1">IF($Q161=1,SUM($Q$5:$Q161),"")</f>
        <v/>
      </c>
    </row>
    <row r="162" spans="1:18" ht="15" customHeight="1" x14ac:dyDescent="0.25">
      <c r="A162" s="56" t="str">
        <f>IF($N162="","",IFERROR(IF(INDEX('Projected Sales or Lease'!$D$1:$D$200,$N162)="","",INDEX('Projected Sales or Lease'!$D$1:$D$200,$N162)),""))</f>
        <v/>
      </c>
      <c r="B162" s="57" t="str">
        <f>IF($N162="","",IFERROR(IF(INDEX('Projected Sales or Lease'!$A$1:$A$200,$N162)="","",INDEX('Projected Sales or Lease'!$A$1:$A$200,$N162)),""))</f>
        <v>Jonathan's The Rub - Bridgeland</v>
      </c>
      <c r="C162" s="57" t="str">
        <f>IF($N162="","",IFERROR(IF(INDEX('Projected Sales or Lease'!$E$1:$E$200,$N162)="","",INDEX('Projected Sales or Lease'!$E$1:$E$200,$N162)),""))</f>
        <v>Cameo c'2s</v>
      </c>
      <c r="D162" s="22"/>
      <c r="E162" s="31"/>
      <c r="F162" s="22"/>
      <c r="G162" s="22"/>
      <c r="H162" s="22"/>
      <c r="I162" s="45"/>
      <c r="J162" s="58" t="str">
        <f>IF($N162="","",IFERROR(INDEX(Lists!$V$2:$V$20,MATCH(INDEX('Projected Sales or Lease'!$B$1:$B$200,$N162),Lists!$U$2:$U$20,0)),""))</f>
        <v>AL</v>
      </c>
      <c r="K162" s="58" t="str">
        <f>IF($N162="","",IFERROR(IF(INDEX('Projected Sales or Lease'!$J$1:$J$200,$N162)="","",INDEX('Projected Sales or Lease'!$J$1:$J$200,$N162)),""))</f>
        <v>Payment Plan</v>
      </c>
      <c r="L162" s="22" t="str">
        <f t="shared" si="15"/>
        <v/>
      </c>
      <c r="M162" s="55" t="str">
        <f t="shared" ca="1" si="16"/>
        <v/>
      </c>
      <c r="N162">
        <f>IFERROR(MATCH(2,'Projected Sales or Lease'!$O$3:$O$200,0)+2,"")</f>
        <v>4</v>
      </c>
      <c r="O162" s="34">
        <f>IF($B162="",999999999,IF($D162="Installed",999999999,IF(NOT(ISNUMBER($E162)),999900000+158,$E162*10000+158)))</f>
        <v>999900158</v>
      </c>
      <c r="Q162" s="34">
        <f t="shared" ca="1" si="17"/>
        <v>0</v>
      </c>
      <c r="R162" s="34" t="str">
        <f ca="1">IF($Q162=1,SUM($Q$5:$Q162),"")</f>
        <v/>
      </c>
    </row>
    <row r="163" spans="1:18" ht="15" customHeight="1" x14ac:dyDescent="0.25">
      <c r="A163" s="56" t="str">
        <f>IF($N163="","",IFERROR(IF(INDEX('Projected Sales or Lease'!$D$1:$D$200,$N163)="","",INDEX('Projected Sales or Lease'!$D$1:$D$200,$N163)),""))</f>
        <v/>
      </c>
      <c r="B163" s="57" t="str">
        <f>IF($N163="","",IFERROR(IF(INDEX('Projected Sales or Lease'!$A$1:$A$200,$N163)="","",INDEX('Projected Sales or Lease'!$A$1:$A$200,$N163)),""))</f>
        <v>Valentinas Coffee</v>
      </c>
      <c r="C163" s="57" t="str">
        <f>IF($N163="","",IFERROR(IF(INDEX('Projected Sales or Lease'!$E$1:$E$200,$N163)="","",INDEX('Projected Sales or Lease'!$E$1:$E$200,$N163)),""))</f>
        <v>La Marzocco Strada XT 2 Group, Mazzer ZM Filter Grinder - Black, Mazzer Robur S Electronic, Puqpress Q2 Automatic Tamper BLACK, Everpure EZ-RO 200/10 Gallon Hydropneumatic Tank, Blendtec Stealth 885, Blendtec Rapid Rinse Station</v>
      </c>
      <c r="D163" s="22"/>
      <c r="E163" s="31"/>
      <c r="F163" s="22"/>
      <c r="G163" s="22"/>
      <c r="H163" s="22"/>
      <c r="I163" s="45"/>
      <c r="J163" s="58" t="str">
        <f>IF($N163="","",IFERROR(INDEX(Lists!$V$2:$V$20,MATCH(INDEX('Projected Sales or Lease'!$B$1:$B$200,$N163),Lists!$U$2:$U$20,0)),""))</f>
        <v>LR</v>
      </c>
      <c r="K163" s="58" t="str">
        <f>IF($N163="","",IFERROR(IF(INDEX('Projected Sales or Lease'!$J$1:$J$200,$N163)="","",INDEX('Projected Sales or Lease'!$J$1:$J$200,$N163)),""))</f>
        <v>Paid in Full</v>
      </c>
      <c r="L163" s="22" t="str">
        <f t="shared" si="15"/>
        <v/>
      </c>
      <c r="M163" s="55" t="str">
        <f t="shared" ca="1" si="16"/>
        <v/>
      </c>
      <c r="N163">
        <f>IFERROR(MATCH(3,'Projected Sales or Lease'!$O$3:$O$200,0)+2,"")</f>
        <v>6</v>
      </c>
      <c r="O163" s="34">
        <f>IF($B163="",999999999,IF($D163="Installed",999999999,IF(NOT(ISNUMBER($E163)),999900000+159,$E163*10000+159)))</f>
        <v>999900159</v>
      </c>
      <c r="Q163" s="34">
        <f t="shared" ca="1" si="17"/>
        <v>0</v>
      </c>
      <c r="R163" s="34" t="str">
        <f ca="1">IF($Q163=1,SUM($Q$5:$Q163),"")</f>
        <v/>
      </c>
    </row>
    <row r="164" spans="1:18" ht="15" customHeight="1" x14ac:dyDescent="0.25">
      <c r="A164" s="56" t="str">
        <f>IF($N164="","",IFERROR(IF(INDEX('Projected Sales or Lease'!$D$1:$D$200,$N164)="","",INDEX('Projected Sales or Lease'!$D$1:$D$200,$N164)),""))</f>
        <v/>
      </c>
      <c r="B164" s="57" t="str">
        <f>IF($N164="","",IFERROR(IF(INDEX('Projected Sales or Lease'!$A$1:$A$200,$N164)="","",INDEX('Projected Sales or Lease'!$A$1:$A$200,$N164)),""))</f>
        <v>The Audrey Restaurant &amp; Bar Post Oak</v>
      </c>
      <c r="C164" s="57" t="str">
        <f>IF($N164="","",IFERROR(IF(INDEX('Projected Sales or Lease'!$E$1:$E$200,$N164)="","",INDEX('Projected Sales or Lease'!$E$1:$E$200,$N164)),""))</f>
        <v>Eversys Cameo c'2s</v>
      </c>
      <c r="D164" s="22"/>
      <c r="E164" s="31"/>
      <c r="F164" s="22"/>
      <c r="G164" s="22"/>
      <c r="H164" s="22"/>
      <c r="I164" s="45"/>
      <c r="J164" s="58" t="str">
        <f>IF($N164="","",IFERROR(INDEX(Lists!$V$2:$V$20,MATCH(INDEX('Projected Sales or Lease'!$B$1:$B$200,$N164),Lists!$U$2:$U$20,0)),""))</f>
        <v>LR</v>
      </c>
      <c r="K164" s="58" t="str">
        <f>IF($N164="","",IFERROR(IF(INDEX('Projected Sales or Lease'!$J$1:$J$200,$N164)="","",INDEX('Projected Sales or Lease'!$J$1:$J$200,$N164)),""))</f>
        <v>Lease</v>
      </c>
      <c r="L164" s="22" t="str">
        <f t="shared" si="15"/>
        <v/>
      </c>
      <c r="M164" s="55" t="str">
        <f t="shared" ca="1" si="16"/>
        <v/>
      </c>
      <c r="N164">
        <f>IFERROR(MATCH(4,'Projected Sales or Lease'!$O$3:$O$200,0)+2,"")</f>
        <v>14</v>
      </c>
      <c r="O164" s="34">
        <f>IF($B164="",999999999,IF($D164="Installed",999999999,IF(NOT(ISNUMBER($E164)),999900000+160,$E164*10000+160)))</f>
        <v>999900160</v>
      </c>
      <c r="Q164" s="34">
        <f t="shared" ca="1" si="17"/>
        <v>0</v>
      </c>
      <c r="R164" s="34" t="str">
        <f ca="1">IF($Q164=1,SUM($Q$5:$Q164),"")</f>
        <v/>
      </c>
    </row>
    <row r="165" spans="1:18" ht="15" customHeight="1" x14ac:dyDescent="0.25">
      <c r="A165" s="56" t="str">
        <f>IF($N165="","",IFERROR(IF(INDEX('Projected Sales or Lease'!$D$1:$D$200,$N165)="","",INDEX('Projected Sales or Lease'!$D$1:$D$200,$N165)),""))</f>
        <v/>
      </c>
      <c r="B165" s="57" t="str">
        <f>IF($N165="","",IFERROR(IF(INDEX('Projected Sales or Lease'!$A$1:$A$200,$N165)="","",INDEX('Projected Sales or Lease'!$A$1:$A$200,$N165)),""))</f>
        <v>Brews &amp; Books</v>
      </c>
      <c r="C165" s="57" t="str">
        <f>IF($N165="","",IFERROR(IF(INDEX('Projected Sales or Lease'!$E$1:$E$200,$N165)="","",INDEX('Projected Sales or Lease'!$E$1:$E$200,$N165)),""))</f>
        <v>Eversys Cameo c'2s</v>
      </c>
      <c r="D165" s="22"/>
      <c r="E165" s="31"/>
      <c r="F165" s="22"/>
      <c r="G165" s="22"/>
      <c r="H165" s="22"/>
      <c r="I165" s="45"/>
      <c r="J165" s="58" t="str">
        <f>IF($N165="","",IFERROR(INDEX(Lists!$V$2:$V$20,MATCH(INDEX('Projected Sales or Lease'!$B$1:$B$200,$N165),Lists!$U$2:$U$20,0)),""))</f>
        <v>LO</v>
      </c>
      <c r="K165" s="58" t="str">
        <f>IF($N165="","",IFERROR(IF(INDEX('Projected Sales or Lease'!$J$1:$J$200,$N165)="","",INDEX('Projected Sales or Lease'!$J$1:$J$200,$N165)),""))</f>
        <v>Paid in Full</v>
      </c>
      <c r="L165" s="22" t="str">
        <f t="shared" si="15"/>
        <v/>
      </c>
      <c r="M165" s="55" t="str">
        <f t="shared" ca="1" si="16"/>
        <v/>
      </c>
      <c r="N165">
        <f>IFERROR(MATCH(5,'Projected Sales or Lease'!$O$3:$O$200,0)+2,"")</f>
        <v>24</v>
      </c>
      <c r="O165" s="34">
        <f>IF($B165="",999999999,IF($D165="Installed",999999999,IF(NOT(ISNUMBER($E165)),999900000+161,$E165*10000+161)))</f>
        <v>999900161</v>
      </c>
      <c r="Q165" s="34">
        <f t="shared" ca="1" si="17"/>
        <v>0</v>
      </c>
      <c r="R165" s="34" t="str">
        <f ca="1">IF($Q165=1,SUM($Q$5:$Q165),"")</f>
        <v/>
      </c>
    </row>
    <row r="166" spans="1:18" ht="15" customHeight="1" x14ac:dyDescent="0.25">
      <c r="A166" s="56" t="str">
        <f>IF($N166="","",IFERROR(IF(INDEX('Projected Sales or Lease'!$D$1:$D$200,$N166)="","",INDEX('Projected Sales or Lease'!$D$1:$D$200,$N166)),""))</f>
        <v/>
      </c>
      <c r="B166" s="57" t="str">
        <f>IF($N166="","",IFERROR(IF(INDEX('Projected Sales or Lease'!$A$1:$A$200,$N166)="","",INDEX('Projected Sales or Lease'!$A$1:$A$200,$N166)),""))</f>
        <v/>
      </c>
      <c r="C166" s="57" t="str">
        <f>IF($N166="","",IFERROR(IF(INDEX('Projected Sales or Lease'!$E$1:$E$200,$N166)="","",INDEX('Projected Sales or Lease'!$E$1:$E$200,$N166)),""))</f>
        <v/>
      </c>
      <c r="D166" s="22"/>
      <c r="E166" s="31"/>
      <c r="F166" s="22"/>
      <c r="G166" s="22"/>
      <c r="H166" s="22"/>
      <c r="I166" s="45"/>
      <c r="J166" s="58" t="str">
        <f>IF($N166="","",IFERROR(INDEX(Lists!$V$2:$V$20,MATCH(INDEX('Projected Sales or Lease'!$B$1:$B$200,$N166),Lists!$U$2:$U$20,0)),""))</f>
        <v/>
      </c>
      <c r="K166" s="58" t="str">
        <f>IF($N166="","",IFERROR(IF(INDEX('Projected Sales or Lease'!$J$1:$J$200,$N166)="","",INDEX('Projected Sales or Lease'!$J$1:$J$200,$N166)),""))</f>
        <v/>
      </c>
      <c r="L166" s="22" t="str">
        <f t="shared" si="15"/>
        <v/>
      </c>
      <c r="M166" s="55" t="str">
        <f t="shared" si="16"/>
        <v/>
      </c>
      <c r="N166" t="str">
        <f>IFERROR(MATCH(6,'Projected Sales or Lease'!$O$3:$O$200,0)+2,"")</f>
        <v/>
      </c>
      <c r="O166" s="34">
        <f>IF($B166="",999999999,IF($D166="Installed",999999999,IF(NOT(ISNUMBER($E166)),999900000+162,$E166*10000+162)))</f>
        <v>999999999</v>
      </c>
      <c r="Q166" s="34">
        <f t="shared" si="17"/>
        <v>0</v>
      </c>
      <c r="R166" s="34" t="str">
        <f>IF($Q166=1,SUM($Q$5:$Q166),"")</f>
        <v/>
      </c>
    </row>
    <row r="167" spans="1:18" ht="15" customHeight="1" x14ac:dyDescent="0.25">
      <c r="A167" s="56" t="str">
        <f>IF($N167="","",IFERROR(IF(INDEX('Projected Sales or Lease'!$D$1:$D$200,$N167)="","",INDEX('Projected Sales or Lease'!$D$1:$D$200,$N167)),""))</f>
        <v/>
      </c>
      <c r="B167" s="57" t="str">
        <f>IF($N167="","",IFERROR(IF(INDEX('Projected Sales or Lease'!$A$1:$A$200,$N167)="","",INDEX('Projected Sales or Lease'!$A$1:$A$200,$N167)),""))</f>
        <v/>
      </c>
      <c r="C167" s="57" t="str">
        <f>IF($N167="","",IFERROR(IF(INDEX('Projected Sales or Lease'!$E$1:$E$200,$N167)="","",INDEX('Projected Sales or Lease'!$E$1:$E$200,$N167)),""))</f>
        <v/>
      </c>
      <c r="D167" s="22"/>
      <c r="E167" s="31"/>
      <c r="F167" s="22"/>
      <c r="G167" s="22"/>
      <c r="H167" s="22"/>
      <c r="I167" s="45"/>
      <c r="J167" s="58" t="str">
        <f>IF($N167="","",IFERROR(INDEX(Lists!$V$2:$V$20,MATCH(INDEX('Projected Sales or Lease'!$B$1:$B$200,$N167),Lists!$U$2:$U$20,0)),""))</f>
        <v/>
      </c>
      <c r="K167" s="58" t="str">
        <f>IF($N167="","",IFERROR(IF(INDEX('Projected Sales or Lease'!$J$1:$J$200,$N167)="","",INDEX('Projected Sales or Lease'!$J$1:$J$200,$N167)),""))</f>
        <v/>
      </c>
      <c r="L167" s="22" t="str">
        <f t="shared" si="15"/>
        <v/>
      </c>
      <c r="M167" s="55" t="str">
        <f t="shared" si="16"/>
        <v/>
      </c>
      <c r="N167" t="str">
        <f>IFERROR(MATCH(7,'Projected Sales or Lease'!$O$3:$O$200,0)+2,"")</f>
        <v/>
      </c>
      <c r="O167" s="34">
        <f>IF($B167="",999999999,IF($D167="Installed",999999999,IF(NOT(ISNUMBER($E167)),999900000+163,$E167*10000+163)))</f>
        <v>999999999</v>
      </c>
      <c r="Q167" s="34">
        <f t="shared" si="17"/>
        <v>0</v>
      </c>
      <c r="R167" s="34" t="str">
        <f>IF($Q167=1,SUM($Q$5:$Q167),"")</f>
        <v/>
      </c>
    </row>
    <row r="168" spans="1:18" ht="15" customHeight="1" x14ac:dyDescent="0.25">
      <c r="A168" s="56" t="str">
        <f>IF($N168="","",IFERROR(IF(INDEX('Projected Sales or Lease'!$D$1:$D$200,$N168)="","",INDEX('Projected Sales or Lease'!$D$1:$D$200,$N168)),""))</f>
        <v/>
      </c>
      <c r="B168" s="57" t="str">
        <f>IF($N168="","",IFERROR(IF(INDEX('Projected Sales or Lease'!$A$1:$A$200,$N168)="","",INDEX('Projected Sales or Lease'!$A$1:$A$200,$N168)),""))</f>
        <v/>
      </c>
      <c r="C168" s="57" t="str">
        <f>IF($N168="","",IFERROR(IF(INDEX('Projected Sales or Lease'!$E$1:$E$200,$N168)="","",INDEX('Projected Sales or Lease'!$E$1:$E$200,$N168)),""))</f>
        <v/>
      </c>
      <c r="D168" s="22"/>
      <c r="E168" s="31"/>
      <c r="F168" s="22"/>
      <c r="G168" s="22"/>
      <c r="H168" s="22"/>
      <c r="I168" s="45"/>
      <c r="J168" s="58" t="str">
        <f>IF($N168="","",IFERROR(INDEX(Lists!$V$2:$V$20,MATCH(INDEX('Projected Sales or Lease'!$B$1:$B$200,$N168),Lists!$U$2:$U$20,0)),""))</f>
        <v/>
      </c>
      <c r="K168" s="58" t="str">
        <f>IF($N168="","",IFERROR(IF(INDEX('Projected Sales or Lease'!$J$1:$J$200,$N168)="","",INDEX('Projected Sales or Lease'!$J$1:$J$200,$N168)),""))</f>
        <v/>
      </c>
      <c r="L168" s="22" t="str">
        <f t="shared" si="15"/>
        <v/>
      </c>
      <c r="M168" s="55" t="str">
        <f t="shared" si="16"/>
        <v/>
      </c>
      <c r="N168" t="str">
        <f>IFERROR(MATCH(8,'Projected Sales or Lease'!$O$3:$O$200,0)+2,"")</f>
        <v/>
      </c>
      <c r="O168" s="34">
        <f>IF($B168="",999999999,IF($D168="Installed",999999999,IF(NOT(ISNUMBER($E168)),999900000+164,$E168*10000+164)))</f>
        <v>999999999</v>
      </c>
      <c r="Q168" s="34">
        <f t="shared" si="17"/>
        <v>0</v>
      </c>
      <c r="R168" s="34" t="str">
        <f>IF($Q168=1,SUM($Q$5:$Q168),"")</f>
        <v/>
      </c>
    </row>
    <row r="169" spans="1:18" ht="15" customHeight="1" x14ac:dyDescent="0.25">
      <c r="A169" s="56" t="str">
        <f>IF($N169="","",IFERROR(IF(INDEX('Projected Sales or Lease'!$D$1:$D$200,$N169)="","",INDEX('Projected Sales or Lease'!$D$1:$D$200,$N169)),""))</f>
        <v/>
      </c>
      <c r="B169" s="57" t="str">
        <f>IF($N169="","",IFERROR(IF(INDEX('Projected Sales or Lease'!$A$1:$A$200,$N169)="","",INDEX('Projected Sales or Lease'!$A$1:$A$200,$N169)),""))</f>
        <v/>
      </c>
      <c r="C169" s="57" t="str">
        <f>IF($N169="","",IFERROR(IF(INDEX('Projected Sales or Lease'!$E$1:$E$200,$N169)="","",INDEX('Projected Sales or Lease'!$E$1:$E$200,$N169)),""))</f>
        <v/>
      </c>
      <c r="D169" s="22"/>
      <c r="E169" s="31"/>
      <c r="F169" s="22"/>
      <c r="G169" s="22"/>
      <c r="H169" s="22"/>
      <c r="I169" s="45"/>
      <c r="J169" s="58" t="str">
        <f>IF($N169="","",IFERROR(INDEX(Lists!$V$2:$V$20,MATCH(INDEX('Projected Sales or Lease'!$B$1:$B$200,$N169),Lists!$U$2:$U$20,0)),""))</f>
        <v/>
      </c>
      <c r="K169" s="58" t="str">
        <f>IF($N169="","",IFERROR(IF(INDEX('Projected Sales or Lease'!$J$1:$J$200,$N169)="","",INDEX('Projected Sales or Lease'!$J$1:$J$200,$N169)),""))</f>
        <v/>
      </c>
      <c r="L169" s="22" t="str">
        <f t="shared" si="15"/>
        <v/>
      </c>
      <c r="M169" s="55" t="str">
        <f t="shared" si="16"/>
        <v/>
      </c>
      <c r="N169" t="str">
        <f>IFERROR(MATCH(9,'Projected Sales or Lease'!$O$3:$O$200,0)+2,"")</f>
        <v/>
      </c>
      <c r="O169" s="34">
        <f>IF($B169="",999999999,IF($D169="Installed",999999999,IF(NOT(ISNUMBER($E169)),999900000+165,$E169*10000+165)))</f>
        <v>999999999</v>
      </c>
      <c r="Q169" s="34">
        <f t="shared" si="17"/>
        <v>0</v>
      </c>
      <c r="R169" s="34" t="str">
        <f>IF($Q169=1,SUM($Q$5:$Q169),"")</f>
        <v/>
      </c>
    </row>
    <row r="170" spans="1:18" ht="15" customHeight="1" x14ac:dyDescent="0.25">
      <c r="A170" s="56" t="str">
        <f>IF($N170="","",IFERROR(IF(INDEX('Projected Sales or Lease'!$D$1:$D$200,$N170)="","",INDEX('Projected Sales or Lease'!$D$1:$D$200,$N170)),""))</f>
        <v/>
      </c>
      <c r="B170" s="57" t="str">
        <f>IF($N170="","",IFERROR(IF(INDEX('Projected Sales or Lease'!$A$1:$A$200,$N170)="","",INDEX('Projected Sales or Lease'!$A$1:$A$200,$N170)),""))</f>
        <v/>
      </c>
      <c r="C170" s="57" t="str">
        <f>IF($N170="","",IFERROR(IF(INDEX('Projected Sales or Lease'!$E$1:$E$200,$N170)="","",INDEX('Projected Sales or Lease'!$E$1:$E$200,$N170)),""))</f>
        <v/>
      </c>
      <c r="D170" s="22"/>
      <c r="E170" s="31"/>
      <c r="F170" s="22"/>
      <c r="G170" s="22"/>
      <c r="H170" s="22"/>
      <c r="I170" s="45"/>
      <c r="J170" s="58" t="str">
        <f>IF($N170="","",IFERROR(INDEX(Lists!$V$2:$V$20,MATCH(INDEX('Projected Sales or Lease'!$B$1:$B$200,$N170),Lists!$U$2:$U$20,0)),""))</f>
        <v/>
      </c>
      <c r="K170" s="58" t="str">
        <f>IF($N170="","",IFERROR(IF(INDEX('Projected Sales or Lease'!$J$1:$J$200,$N170)="","",INDEX('Projected Sales or Lease'!$J$1:$J$200,$N170)),""))</f>
        <v/>
      </c>
      <c r="L170" s="22" t="str">
        <f t="shared" si="15"/>
        <v/>
      </c>
      <c r="M170" s="55" t="str">
        <f t="shared" si="16"/>
        <v/>
      </c>
      <c r="N170" t="str">
        <f>IFERROR(MATCH(10,'Projected Sales or Lease'!$O$3:$O$200,0)+2,"")</f>
        <v/>
      </c>
      <c r="O170" s="34">
        <f>IF($B170="",999999999,IF($D170="Installed",999999999,IF(NOT(ISNUMBER($E170)),999900000+166,$E170*10000+166)))</f>
        <v>999999999</v>
      </c>
      <c r="Q170" s="34">
        <f t="shared" si="17"/>
        <v>0</v>
      </c>
      <c r="R170" s="34" t="str">
        <f>IF($Q170=1,SUM($Q$5:$Q170),"")</f>
        <v/>
      </c>
    </row>
    <row r="171" spans="1:18" ht="15" customHeight="1" x14ac:dyDescent="0.25">
      <c r="A171" s="56" t="str">
        <f>IF($N171="","",IFERROR(IF(INDEX('Projected Sales or Lease'!$D$1:$D$200,$N171)="","",INDEX('Projected Sales or Lease'!$D$1:$D$200,$N171)),""))</f>
        <v/>
      </c>
      <c r="B171" s="57" t="str">
        <f>IF($N171="","",IFERROR(IF(INDEX('Projected Sales or Lease'!$A$1:$A$200,$N171)="","",INDEX('Projected Sales or Lease'!$A$1:$A$200,$N171)),""))</f>
        <v/>
      </c>
      <c r="C171" s="57" t="str">
        <f>IF($N171="","",IFERROR(IF(INDEX('Projected Sales or Lease'!$E$1:$E$200,$N171)="","",INDEX('Projected Sales or Lease'!$E$1:$E$200,$N171)),""))</f>
        <v/>
      </c>
      <c r="D171" s="22"/>
      <c r="E171" s="31"/>
      <c r="F171" s="22"/>
      <c r="G171" s="22"/>
      <c r="H171" s="22"/>
      <c r="I171" s="45"/>
      <c r="J171" s="58" t="str">
        <f>IF($N171="","",IFERROR(INDEX(Lists!$V$2:$V$20,MATCH(INDEX('Projected Sales or Lease'!$B$1:$B$200,$N171),Lists!$U$2:$U$20,0)),""))</f>
        <v/>
      </c>
      <c r="K171" s="58" t="str">
        <f>IF($N171="","",IFERROR(IF(INDEX('Projected Sales or Lease'!$J$1:$J$200,$N171)="","",INDEX('Projected Sales or Lease'!$J$1:$J$200,$N171)),""))</f>
        <v/>
      </c>
      <c r="L171" s="22" t="str">
        <f t="shared" si="15"/>
        <v/>
      </c>
      <c r="M171" s="55" t="str">
        <f t="shared" si="16"/>
        <v/>
      </c>
      <c r="N171" t="str">
        <f>IFERROR(MATCH(11,'Projected Sales or Lease'!$O$3:$O$200,0)+2,"")</f>
        <v/>
      </c>
      <c r="O171" s="34">
        <f>IF($B171="",999999999,IF($D171="Installed",999999999,IF(NOT(ISNUMBER($E171)),999900000+167,$E171*10000+167)))</f>
        <v>999999999</v>
      </c>
      <c r="Q171" s="34">
        <f t="shared" si="17"/>
        <v>0</v>
      </c>
      <c r="R171" s="34" t="str">
        <f>IF($Q171=1,SUM($Q$5:$Q171),"")</f>
        <v/>
      </c>
    </row>
    <row r="172" spans="1:18" ht="15" customHeight="1" x14ac:dyDescent="0.25">
      <c r="A172" s="56" t="str">
        <f>IF($N172="","",IFERROR(IF(INDEX('Projected Sales or Lease'!$D$1:$D$200,$N172)="","",INDEX('Projected Sales or Lease'!$D$1:$D$200,$N172)),""))</f>
        <v/>
      </c>
      <c r="B172" s="57" t="str">
        <f>IF($N172="","",IFERROR(IF(INDEX('Projected Sales or Lease'!$A$1:$A$200,$N172)="","",INDEX('Projected Sales or Lease'!$A$1:$A$200,$N172)),""))</f>
        <v/>
      </c>
      <c r="C172" s="57" t="str">
        <f>IF($N172="","",IFERROR(IF(INDEX('Projected Sales or Lease'!$E$1:$E$200,$N172)="","",INDEX('Projected Sales or Lease'!$E$1:$E$200,$N172)),""))</f>
        <v/>
      </c>
      <c r="D172" s="22"/>
      <c r="E172" s="31"/>
      <c r="F172" s="22"/>
      <c r="G172" s="22"/>
      <c r="H172" s="22"/>
      <c r="I172" s="45"/>
      <c r="J172" s="58" t="str">
        <f>IF($N172="","",IFERROR(INDEX(Lists!$V$2:$V$20,MATCH(INDEX('Projected Sales or Lease'!$B$1:$B$200,$N172),Lists!$U$2:$U$20,0)),""))</f>
        <v/>
      </c>
      <c r="K172" s="58" t="str">
        <f>IF($N172="","",IFERROR(IF(INDEX('Projected Sales or Lease'!$J$1:$J$200,$N172)="","",INDEX('Projected Sales or Lease'!$J$1:$J$200,$N172)),""))</f>
        <v/>
      </c>
      <c r="L172" s="22" t="str">
        <f t="shared" si="15"/>
        <v/>
      </c>
      <c r="M172" s="55" t="str">
        <f t="shared" si="16"/>
        <v/>
      </c>
      <c r="N172" t="str">
        <f>IFERROR(MATCH(12,'Projected Sales or Lease'!$O$3:$O$200,0)+2,"")</f>
        <v/>
      </c>
      <c r="O172" s="34">
        <f>IF($B172="",999999999,IF($D172="Installed",999999999,IF(NOT(ISNUMBER($E172)),999900000+168,$E172*10000+168)))</f>
        <v>999999999</v>
      </c>
      <c r="Q172" s="34">
        <f t="shared" si="17"/>
        <v>0</v>
      </c>
      <c r="R172" s="34" t="str">
        <f>IF($Q172=1,SUM($Q$5:$Q172),"")</f>
        <v/>
      </c>
    </row>
    <row r="173" spans="1:18" ht="15" customHeight="1" x14ac:dyDescent="0.25">
      <c r="A173" s="56" t="str">
        <f>IF($N173="","",IFERROR(IF(INDEX('Projected Sales or Lease'!$D$1:$D$200,$N173)="","",INDEX('Projected Sales or Lease'!$D$1:$D$200,$N173)),""))</f>
        <v/>
      </c>
      <c r="B173" s="57" t="str">
        <f>IF($N173="","",IFERROR(IF(INDEX('Projected Sales or Lease'!$A$1:$A$200,$N173)="","",INDEX('Projected Sales or Lease'!$A$1:$A$200,$N173)),""))</f>
        <v/>
      </c>
      <c r="C173" s="57" t="str">
        <f>IF($N173="","",IFERROR(IF(INDEX('Projected Sales or Lease'!$E$1:$E$200,$N173)="","",INDEX('Projected Sales or Lease'!$E$1:$E$200,$N173)),""))</f>
        <v/>
      </c>
      <c r="D173" s="22"/>
      <c r="E173" s="31"/>
      <c r="F173" s="22"/>
      <c r="G173" s="22"/>
      <c r="H173" s="22"/>
      <c r="I173" s="45"/>
      <c r="J173" s="58" t="str">
        <f>IF($N173="","",IFERROR(INDEX(Lists!$V$2:$V$20,MATCH(INDEX('Projected Sales or Lease'!$B$1:$B$200,$N173),Lists!$U$2:$U$20,0)),""))</f>
        <v/>
      </c>
      <c r="K173" s="58" t="str">
        <f>IF($N173="","",IFERROR(IF(INDEX('Projected Sales or Lease'!$J$1:$J$200,$N173)="","",INDEX('Projected Sales or Lease'!$J$1:$J$200,$N173)),""))</f>
        <v/>
      </c>
      <c r="L173" s="22" t="str">
        <f t="shared" si="15"/>
        <v/>
      </c>
      <c r="M173" s="55" t="str">
        <f t="shared" si="16"/>
        <v/>
      </c>
      <c r="N173" t="str">
        <f>IFERROR(MATCH(13,'Projected Sales or Lease'!$O$3:$O$200,0)+2,"")</f>
        <v/>
      </c>
      <c r="O173" s="34">
        <f>IF($B173="",999999999,IF($D173="Installed",999999999,IF(NOT(ISNUMBER($E173)),999900000+169,$E173*10000+169)))</f>
        <v>999999999</v>
      </c>
      <c r="Q173" s="34">
        <f t="shared" si="17"/>
        <v>0</v>
      </c>
      <c r="R173" s="34" t="str">
        <f>IF($Q173=1,SUM($Q$5:$Q173),"")</f>
        <v/>
      </c>
    </row>
    <row r="174" spans="1:18" ht="15" customHeight="1" x14ac:dyDescent="0.25">
      <c r="A174" s="56" t="str">
        <f>IF($N174="","",IFERROR(IF(INDEX('Projected Sales or Lease'!$D$1:$D$200,$N174)="","",INDEX('Projected Sales or Lease'!$D$1:$D$200,$N174)),""))</f>
        <v/>
      </c>
      <c r="B174" s="57" t="str">
        <f>IF($N174="","",IFERROR(IF(INDEX('Projected Sales or Lease'!$A$1:$A$200,$N174)="","",INDEX('Projected Sales or Lease'!$A$1:$A$200,$N174)),""))</f>
        <v/>
      </c>
      <c r="C174" s="57" t="str">
        <f>IF($N174="","",IFERROR(IF(INDEX('Projected Sales or Lease'!$E$1:$E$200,$N174)="","",INDEX('Projected Sales or Lease'!$E$1:$E$200,$N174)),""))</f>
        <v/>
      </c>
      <c r="D174" s="22"/>
      <c r="E174" s="31"/>
      <c r="F174" s="22"/>
      <c r="G174" s="22"/>
      <c r="H174" s="22"/>
      <c r="I174" s="45"/>
      <c r="J174" s="58" t="str">
        <f>IF($N174="","",IFERROR(INDEX(Lists!$V$2:$V$20,MATCH(INDEX('Projected Sales or Lease'!$B$1:$B$200,$N174),Lists!$U$2:$U$20,0)),""))</f>
        <v/>
      </c>
      <c r="K174" s="58" t="str">
        <f>IF($N174="","",IFERROR(IF(INDEX('Projected Sales or Lease'!$J$1:$J$200,$N174)="","",INDEX('Projected Sales or Lease'!$J$1:$J$200,$N174)),""))</f>
        <v/>
      </c>
      <c r="L174" s="22" t="str">
        <f t="shared" si="15"/>
        <v/>
      </c>
      <c r="M174" s="55" t="str">
        <f t="shared" si="16"/>
        <v/>
      </c>
      <c r="N174" t="str">
        <f>IFERROR(MATCH(14,'Projected Sales or Lease'!$O$3:$O$200,0)+2,"")</f>
        <v/>
      </c>
      <c r="O174" s="34">
        <f>IF($B174="",999999999,IF($D174="Installed",999999999,IF(NOT(ISNUMBER($E174)),999900000+170,$E174*10000+170)))</f>
        <v>999999999</v>
      </c>
      <c r="Q174" s="34">
        <f t="shared" si="17"/>
        <v>0</v>
      </c>
      <c r="R174" s="34" t="str">
        <f>IF($Q174=1,SUM($Q$5:$Q174),"")</f>
        <v/>
      </c>
    </row>
    <row r="175" spans="1:18" ht="15" customHeight="1" x14ac:dyDescent="0.25">
      <c r="A175" s="56" t="str">
        <f>IF($N175="","",IFERROR(IF(INDEX('Projected Sales or Lease'!$D$1:$D$200,$N175)="","",INDEX('Projected Sales or Lease'!$D$1:$D$200,$N175)),""))</f>
        <v/>
      </c>
      <c r="B175" s="57" t="str">
        <f>IF($N175="","",IFERROR(IF(INDEX('Projected Sales or Lease'!$A$1:$A$200,$N175)="","",INDEX('Projected Sales or Lease'!$A$1:$A$200,$N175)),""))</f>
        <v/>
      </c>
      <c r="C175" s="57" t="str">
        <f>IF($N175="","",IFERROR(IF(INDEX('Projected Sales or Lease'!$E$1:$E$200,$N175)="","",INDEX('Projected Sales or Lease'!$E$1:$E$200,$N175)),""))</f>
        <v/>
      </c>
      <c r="D175" s="22"/>
      <c r="E175" s="31"/>
      <c r="F175" s="22"/>
      <c r="G175" s="22"/>
      <c r="H175" s="22"/>
      <c r="I175" s="45"/>
      <c r="J175" s="58" t="str">
        <f>IF($N175="","",IFERROR(INDEX(Lists!$V$2:$V$20,MATCH(INDEX('Projected Sales or Lease'!$B$1:$B$200,$N175),Lists!$U$2:$U$20,0)),""))</f>
        <v/>
      </c>
      <c r="K175" s="58" t="str">
        <f>IF($N175="","",IFERROR(IF(INDEX('Projected Sales or Lease'!$J$1:$J$200,$N175)="","",INDEX('Projected Sales or Lease'!$J$1:$J$200,$N175)),""))</f>
        <v/>
      </c>
      <c r="L175" s="22" t="str">
        <f t="shared" si="15"/>
        <v/>
      </c>
      <c r="M175" s="55" t="str">
        <f t="shared" si="16"/>
        <v/>
      </c>
      <c r="N175" t="str">
        <f>IFERROR(MATCH(15,'Projected Sales or Lease'!$O$3:$O$200,0)+2,"")</f>
        <v/>
      </c>
      <c r="O175" s="34">
        <f>IF($B175="",999999999,IF($D175="Installed",999999999,IF(NOT(ISNUMBER($E175)),999900000+171,$E175*10000+171)))</f>
        <v>999999999</v>
      </c>
      <c r="Q175" s="34">
        <f t="shared" si="17"/>
        <v>0</v>
      </c>
      <c r="R175" s="34" t="str">
        <f>IF($Q175=1,SUM($Q$5:$Q175),"")</f>
        <v/>
      </c>
    </row>
    <row r="176" spans="1:18" ht="15" customHeight="1" x14ac:dyDescent="0.25">
      <c r="A176" s="56" t="str">
        <f>IF($N176="","",IFERROR(IF(INDEX('Projected Sales or Lease'!$D$1:$D$200,$N176)="","",INDEX('Projected Sales or Lease'!$D$1:$D$200,$N176)),""))</f>
        <v/>
      </c>
      <c r="B176" s="57" t="str">
        <f>IF($N176="","",IFERROR(IF(INDEX('Projected Sales or Lease'!$A$1:$A$200,$N176)="","",INDEX('Projected Sales or Lease'!$A$1:$A$200,$N176)),""))</f>
        <v/>
      </c>
      <c r="C176" s="57" t="str">
        <f>IF($N176="","",IFERROR(IF(INDEX('Projected Sales or Lease'!$E$1:$E$200,$N176)="","",INDEX('Projected Sales or Lease'!$E$1:$E$200,$N176)),""))</f>
        <v/>
      </c>
      <c r="D176" s="22"/>
      <c r="E176" s="31"/>
      <c r="F176" s="22"/>
      <c r="G176" s="22"/>
      <c r="H176" s="22"/>
      <c r="I176" s="45"/>
      <c r="J176" s="58" t="str">
        <f>IF($N176="","",IFERROR(INDEX(Lists!$V$2:$V$20,MATCH(INDEX('Projected Sales or Lease'!$B$1:$B$200,$N176),Lists!$U$2:$U$20,0)),""))</f>
        <v/>
      </c>
      <c r="K176" s="58" t="str">
        <f>IF($N176="","",IFERROR(IF(INDEX('Projected Sales or Lease'!$J$1:$J$200,$N176)="","",INDEX('Projected Sales or Lease'!$J$1:$J$200,$N176)),""))</f>
        <v/>
      </c>
      <c r="L176" s="22" t="str">
        <f t="shared" si="15"/>
        <v/>
      </c>
      <c r="M176" s="55" t="str">
        <f t="shared" si="16"/>
        <v/>
      </c>
      <c r="N176" t="str">
        <f>IFERROR(MATCH(16,'Projected Sales or Lease'!$O$3:$O$200,0)+2,"")</f>
        <v/>
      </c>
      <c r="O176" s="34">
        <f>IF($B176="",999999999,IF($D176="Installed",999999999,IF(NOT(ISNUMBER($E176)),999900000+172,$E176*10000+172)))</f>
        <v>999999999</v>
      </c>
      <c r="Q176" s="34">
        <f t="shared" si="17"/>
        <v>0</v>
      </c>
      <c r="R176" s="34" t="str">
        <f>IF($Q176=1,SUM($Q$5:$Q176),"")</f>
        <v/>
      </c>
    </row>
    <row r="177" spans="1:18" ht="15" customHeight="1" x14ac:dyDescent="0.25">
      <c r="A177" s="56" t="str">
        <f>IF($N177="","",IFERROR(IF(INDEX('Projected Sales or Lease'!$D$1:$D$200,$N177)="","",INDEX('Projected Sales or Lease'!$D$1:$D$200,$N177)),""))</f>
        <v/>
      </c>
      <c r="B177" s="57" t="str">
        <f>IF($N177="","",IFERROR(IF(INDEX('Projected Sales or Lease'!$A$1:$A$200,$N177)="","",INDEX('Projected Sales or Lease'!$A$1:$A$200,$N177)),""))</f>
        <v/>
      </c>
      <c r="C177" s="57" t="str">
        <f>IF($N177="","",IFERROR(IF(INDEX('Projected Sales or Lease'!$E$1:$E$200,$N177)="","",INDEX('Projected Sales or Lease'!$E$1:$E$200,$N177)),""))</f>
        <v/>
      </c>
      <c r="D177" s="22"/>
      <c r="E177" s="31"/>
      <c r="F177" s="22"/>
      <c r="G177" s="22"/>
      <c r="H177" s="22"/>
      <c r="I177" s="45"/>
      <c r="J177" s="58" t="str">
        <f>IF($N177="","",IFERROR(INDEX(Lists!$V$2:$V$20,MATCH(INDEX('Projected Sales or Lease'!$B$1:$B$200,$N177),Lists!$U$2:$U$20,0)),""))</f>
        <v/>
      </c>
      <c r="K177" s="58" t="str">
        <f>IF($N177="","",IFERROR(IF(INDEX('Projected Sales or Lease'!$J$1:$J$200,$N177)="","",INDEX('Projected Sales or Lease'!$J$1:$J$200,$N177)),""))</f>
        <v/>
      </c>
      <c r="L177" s="22" t="str">
        <f t="shared" si="15"/>
        <v/>
      </c>
      <c r="M177" s="55" t="str">
        <f t="shared" si="16"/>
        <v/>
      </c>
      <c r="N177" t="str">
        <f>IFERROR(MATCH(17,'Projected Sales or Lease'!$O$3:$O$200,0)+2,"")</f>
        <v/>
      </c>
      <c r="O177" s="34">
        <f>IF($B177="",999999999,IF($D177="Installed",999999999,IF(NOT(ISNUMBER($E177)),999900000+173,$E177*10000+173)))</f>
        <v>999999999</v>
      </c>
      <c r="Q177" s="34">
        <f t="shared" si="17"/>
        <v>0</v>
      </c>
      <c r="R177" s="34" t="str">
        <f>IF($Q177=1,SUM($Q$5:$Q177),"")</f>
        <v/>
      </c>
    </row>
    <row r="178" spans="1:18" ht="15" customHeight="1" x14ac:dyDescent="0.25">
      <c r="A178" s="56" t="str">
        <f>IF($N178="","",IFERROR(IF(INDEX('Projected Sales or Lease'!$D$1:$D$200,$N178)="","",INDEX('Projected Sales or Lease'!$D$1:$D$200,$N178)),""))</f>
        <v/>
      </c>
      <c r="B178" s="57" t="str">
        <f>IF($N178="","",IFERROR(IF(INDEX('Projected Sales or Lease'!$A$1:$A$200,$N178)="","",INDEX('Projected Sales or Lease'!$A$1:$A$200,$N178)),""))</f>
        <v/>
      </c>
      <c r="C178" s="57" t="str">
        <f>IF($N178="","",IFERROR(IF(INDEX('Projected Sales or Lease'!$E$1:$E$200,$N178)="","",INDEX('Projected Sales or Lease'!$E$1:$E$200,$N178)),""))</f>
        <v/>
      </c>
      <c r="D178" s="22"/>
      <c r="E178" s="31"/>
      <c r="F178" s="22"/>
      <c r="G178" s="22"/>
      <c r="H178" s="22"/>
      <c r="I178" s="45"/>
      <c r="J178" s="58" t="str">
        <f>IF($N178="","",IFERROR(INDEX(Lists!$V$2:$V$20,MATCH(INDEX('Projected Sales or Lease'!$B$1:$B$200,$N178),Lists!$U$2:$U$20,0)),""))</f>
        <v/>
      </c>
      <c r="K178" s="58" t="str">
        <f>IF($N178="","",IFERROR(IF(INDEX('Projected Sales or Lease'!$J$1:$J$200,$N178)="","",INDEX('Projected Sales or Lease'!$J$1:$J$200,$N178)),""))</f>
        <v/>
      </c>
      <c r="L178" s="22" t="str">
        <f t="shared" si="15"/>
        <v/>
      </c>
      <c r="M178" s="55" t="str">
        <f t="shared" si="16"/>
        <v/>
      </c>
      <c r="N178" t="str">
        <f>IFERROR(MATCH(18,'Projected Sales or Lease'!$O$3:$O$200,0)+2,"")</f>
        <v/>
      </c>
      <c r="O178" s="34">
        <f>IF($B178="",999999999,IF($D178="Installed",999999999,IF(NOT(ISNUMBER($E178)),999900000+174,$E178*10000+174)))</f>
        <v>999999999</v>
      </c>
      <c r="Q178" s="34">
        <f t="shared" si="17"/>
        <v>0</v>
      </c>
      <c r="R178" s="34" t="str">
        <f>IF($Q178=1,SUM($Q$5:$Q178),"")</f>
        <v/>
      </c>
    </row>
    <row r="179" spans="1:18" ht="15" customHeight="1" x14ac:dyDescent="0.25">
      <c r="A179" s="56" t="str">
        <f>IF($N179="","",IFERROR(IF(INDEX('Projected Sales or Lease'!$D$1:$D$200,$N179)="","",INDEX('Projected Sales or Lease'!$D$1:$D$200,$N179)),""))</f>
        <v/>
      </c>
      <c r="B179" s="57" t="str">
        <f>IF($N179="","",IFERROR(IF(INDEX('Projected Sales or Lease'!$A$1:$A$200,$N179)="","",INDEX('Projected Sales or Lease'!$A$1:$A$200,$N179)),""))</f>
        <v/>
      </c>
      <c r="C179" s="57" t="str">
        <f>IF($N179="","",IFERROR(IF(INDEX('Projected Sales or Lease'!$E$1:$E$200,$N179)="","",INDEX('Projected Sales or Lease'!$E$1:$E$200,$N179)),""))</f>
        <v/>
      </c>
      <c r="D179" s="22"/>
      <c r="E179" s="31"/>
      <c r="F179" s="22"/>
      <c r="G179" s="22"/>
      <c r="H179" s="22"/>
      <c r="I179" s="45"/>
      <c r="J179" s="58" t="str">
        <f>IF($N179="","",IFERROR(INDEX(Lists!$V$2:$V$20,MATCH(INDEX('Projected Sales or Lease'!$B$1:$B$200,$N179),Lists!$U$2:$U$20,0)),""))</f>
        <v/>
      </c>
      <c r="K179" s="58" t="str">
        <f>IF($N179="","",IFERROR(IF(INDEX('Projected Sales or Lease'!$J$1:$J$200,$N179)="","",INDEX('Projected Sales or Lease'!$J$1:$J$200,$N179)),""))</f>
        <v/>
      </c>
      <c r="L179" s="22" t="str">
        <f t="shared" si="15"/>
        <v/>
      </c>
      <c r="M179" s="55" t="str">
        <f t="shared" si="16"/>
        <v/>
      </c>
      <c r="N179" t="str">
        <f>IFERROR(MATCH(19,'Projected Sales or Lease'!$O$3:$O$200,0)+2,"")</f>
        <v/>
      </c>
      <c r="O179" s="34">
        <f>IF($B179="",999999999,IF($D179="Installed",999999999,IF(NOT(ISNUMBER($E179)),999900000+175,$E179*10000+175)))</f>
        <v>999999999</v>
      </c>
      <c r="Q179" s="34">
        <f t="shared" si="17"/>
        <v>0</v>
      </c>
      <c r="R179" s="34" t="str">
        <f>IF($Q179=1,SUM($Q$5:$Q179),"")</f>
        <v/>
      </c>
    </row>
    <row r="180" spans="1:18" ht="15" customHeight="1" x14ac:dyDescent="0.25">
      <c r="A180" s="56" t="str">
        <f>IF($N180="","",IFERROR(IF(INDEX('Projected Sales or Lease'!$D$1:$D$200,$N180)="","",INDEX('Projected Sales or Lease'!$D$1:$D$200,$N180)),""))</f>
        <v/>
      </c>
      <c r="B180" s="57" t="str">
        <f>IF($N180="","",IFERROR(IF(INDEX('Projected Sales or Lease'!$A$1:$A$200,$N180)="","",INDEX('Projected Sales or Lease'!$A$1:$A$200,$N180)),""))</f>
        <v/>
      </c>
      <c r="C180" s="57" t="str">
        <f>IF($N180="","",IFERROR(IF(INDEX('Projected Sales or Lease'!$E$1:$E$200,$N180)="","",INDEX('Projected Sales or Lease'!$E$1:$E$200,$N180)),""))</f>
        <v/>
      </c>
      <c r="D180" s="22"/>
      <c r="E180" s="31"/>
      <c r="F180" s="22"/>
      <c r="G180" s="22"/>
      <c r="H180" s="22"/>
      <c r="I180" s="45"/>
      <c r="J180" s="58" t="str">
        <f>IF($N180="","",IFERROR(INDEX(Lists!$V$2:$V$20,MATCH(INDEX('Projected Sales or Lease'!$B$1:$B$200,$N180),Lists!$U$2:$U$20,0)),""))</f>
        <v/>
      </c>
      <c r="K180" s="58" t="str">
        <f>IF($N180="","",IFERROR(IF(INDEX('Projected Sales or Lease'!$J$1:$J$200,$N180)="","",INDEX('Projected Sales or Lease'!$J$1:$J$200,$N180)),""))</f>
        <v/>
      </c>
      <c r="L180" s="22" t="str">
        <f t="shared" si="15"/>
        <v/>
      </c>
      <c r="M180" s="55" t="str">
        <f t="shared" si="16"/>
        <v/>
      </c>
      <c r="N180" t="str">
        <f>IFERROR(MATCH(20,'Projected Sales or Lease'!$O$3:$O$200,0)+2,"")</f>
        <v/>
      </c>
      <c r="O180" s="34">
        <f>IF($B180="",999999999,IF($D180="Installed",999999999,IF(NOT(ISNUMBER($E180)),999900000+176,$E180*10000+176)))</f>
        <v>999999999</v>
      </c>
      <c r="Q180" s="34">
        <f t="shared" si="17"/>
        <v>0</v>
      </c>
      <c r="R180" s="34" t="str">
        <f>IF($Q180=1,SUM($Q$5:$Q180),"")</f>
        <v/>
      </c>
    </row>
    <row r="181" spans="1:18" ht="15" customHeight="1" x14ac:dyDescent="0.25">
      <c r="A181" s="56" t="str">
        <f>IF($N181="","",IFERROR(IF(INDEX('Projected Sales or Lease'!$D$1:$D$200,$N181)="","",INDEX('Projected Sales or Lease'!$D$1:$D$200,$N181)),""))</f>
        <v/>
      </c>
      <c r="B181" s="57" t="str">
        <f>IF($N181="","",IFERROR(IF(INDEX('Projected Sales or Lease'!$A$1:$A$200,$N181)="","",INDEX('Projected Sales or Lease'!$A$1:$A$200,$N181)),""))</f>
        <v/>
      </c>
      <c r="C181" s="57" t="str">
        <f>IF($N181="","",IFERROR(IF(INDEX('Projected Sales or Lease'!$E$1:$E$200,$N181)="","",INDEX('Projected Sales or Lease'!$E$1:$E$200,$N181)),""))</f>
        <v/>
      </c>
      <c r="D181" s="22"/>
      <c r="E181" s="31"/>
      <c r="F181" s="22"/>
      <c r="G181" s="22"/>
      <c r="H181" s="22"/>
      <c r="I181" s="45"/>
      <c r="J181" s="58" t="str">
        <f>IF($N181="","",IFERROR(INDEX(Lists!$V$2:$V$20,MATCH(INDEX('Projected Sales or Lease'!$B$1:$B$200,$N181),Lists!$U$2:$U$20,0)),""))</f>
        <v/>
      </c>
      <c r="K181" s="58" t="str">
        <f>IF($N181="","",IFERROR(IF(INDEX('Projected Sales or Lease'!$J$1:$J$200,$N181)="","",INDEX('Projected Sales or Lease'!$J$1:$J$200,$N181)),""))</f>
        <v/>
      </c>
      <c r="L181" s="22" t="str">
        <f t="shared" si="15"/>
        <v/>
      </c>
      <c r="M181" s="55" t="str">
        <f t="shared" si="16"/>
        <v/>
      </c>
      <c r="N181" t="str">
        <f>IFERROR(MATCH(21,'Projected Sales or Lease'!$O$3:$O$200,0)+2,"")</f>
        <v/>
      </c>
      <c r="O181" s="34">
        <f>IF($B181="",999999999,IF($D181="Installed",999999999,IF(NOT(ISNUMBER($E181)),999900000+177,$E181*10000+177)))</f>
        <v>999999999</v>
      </c>
      <c r="Q181" s="34">
        <f t="shared" si="17"/>
        <v>0</v>
      </c>
      <c r="R181" s="34" t="str">
        <f>IF($Q181=1,SUM($Q$5:$Q181),"")</f>
        <v/>
      </c>
    </row>
    <row r="182" spans="1:18" ht="15" customHeight="1" x14ac:dyDescent="0.25">
      <c r="A182" s="56" t="str">
        <f>IF($N182="","",IFERROR(IF(INDEX('Projected Sales or Lease'!$D$1:$D$200,$N182)="","",INDEX('Projected Sales or Lease'!$D$1:$D$200,$N182)),""))</f>
        <v/>
      </c>
      <c r="B182" s="57" t="str">
        <f>IF($N182="","",IFERROR(IF(INDEX('Projected Sales or Lease'!$A$1:$A$200,$N182)="","",INDEX('Projected Sales or Lease'!$A$1:$A$200,$N182)),""))</f>
        <v/>
      </c>
      <c r="C182" s="57" t="str">
        <f>IF($N182="","",IFERROR(IF(INDEX('Projected Sales or Lease'!$E$1:$E$200,$N182)="","",INDEX('Projected Sales or Lease'!$E$1:$E$200,$N182)),""))</f>
        <v/>
      </c>
      <c r="D182" s="22"/>
      <c r="E182" s="31"/>
      <c r="F182" s="22"/>
      <c r="G182" s="22"/>
      <c r="H182" s="22"/>
      <c r="I182" s="45"/>
      <c r="J182" s="58" t="str">
        <f>IF($N182="","",IFERROR(INDEX(Lists!$V$2:$V$20,MATCH(INDEX('Projected Sales or Lease'!$B$1:$B$200,$N182),Lists!$U$2:$U$20,0)),""))</f>
        <v/>
      </c>
      <c r="K182" s="58" t="str">
        <f>IF($N182="","",IFERROR(IF(INDEX('Projected Sales or Lease'!$J$1:$J$200,$N182)="","",INDEX('Projected Sales or Lease'!$J$1:$J$200,$N182)),""))</f>
        <v/>
      </c>
      <c r="L182" s="22" t="str">
        <f t="shared" si="15"/>
        <v/>
      </c>
      <c r="M182" s="55" t="str">
        <f t="shared" si="16"/>
        <v/>
      </c>
      <c r="N182" t="str">
        <f>IFERROR(MATCH(22,'Projected Sales or Lease'!$O$3:$O$200,0)+2,"")</f>
        <v/>
      </c>
      <c r="O182" s="34">
        <f>IF($B182="",999999999,IF($D182="Installed",999999999,IF(NOT(ISNUMBER($E182)),999900000+178,$E182*10000+178)))</f>
        <v>999999999</v>
      </c>
      <c r="Q182" s="34">
        <f t="shared" si="17"/>
        <v>0</v>
      </c>
      <c r="R182" s="34" t="str">
        <f>IF($Q182=1,SUM($Q$5:$Q182),"")</f>
        <v/>
      </c>
    </row>
    <row r="183" spans="1:18" ht="15" customHeight="1" x14ac:dyDescent="0.25">
      <c r="A183" s="56" t="str">
        <f>IF($N183="","",IFERROR(IF(INDEX('Projected Sales or Lease'!$D$1:$D$200,$N183)="","",INDEX('Projected Sales or Lease'!$D$1:$D$200,$N183)),""))</f>
        <v/>
      </c>
      <c r="B183" s="57" t="str">
        <f>IF($N183="","",IFERROR(IF(INDEX('Projected Sales or Lease'!$A$1:$A$200,$N183)="","",INDEX('Projected Sales or Lease'!$A$1:$A$200,$N183)),""))</f>
        <v/>
      </c>
      <c r="C183" s="57" t="str">
        <f>IF($N183="","",IFERROR(IF(INDEX('Projected Sales or Lease'!$E$1:$E$200,$N183)="","",INDEX('Projected Sales or Lease'!$E$1:$E$200,$N183)),""))</f>
        <v/>
      </c>
      <c r="D183" s="22"/>
      <c r="E183" s="31"/>
      <c r="F183" s="22"/>
      <c r="G183" s="22"/>
      <c r="H183" s="22"/>
      <c r="I183" s="45"/>
      <c r="J183" s="58" t="str">
        <f>IF($N183="","",IFERROR(INDEX(Lists!$V$2:$V$20,MATCH(INDEX('Projected Sales or Lease'!$B$1:$B$200,$N183),Lists!$U$2:$U$20,0)),""))</f>
        <v/>
      </c>
      <c r="K183" s="58" t="str">
        <f>IF($N183="","",IFERROR(IF(INDEX('Projected Sales or Lease'!$J$1:$J$200,$N183)="","",INDEX('Projected Sales or Lease'!$J$1:$J$200,$N183)),""))</f>
        <v/>
      </c>
      <c r="L183" s="22" t="str">
        <f t="shared" si="15"/>
        <v/>
      </c>
      <c r="M183" s="55" t="str">
        <f t="shared" si="16"/>
        <v/>
      </c>
      <c r="N183" t="str">
        <f>IFERROR(MATCH(23,'Projected Sales or Lease'!$O$3:$O$200,0)+2,"")</f>
        <v/>
      </c>
      <c r="O183" s="34">
        <f>IF($B183="",999999999,IF($D183="Installed",999999999,IF(NOT(ISNUMBER($E183)),999900000+179,$E183*10000+179)))</f>
        <v>999999999</v>
      </c>
      <c r="Q183" s="34">
        <f t="shared" si="17"/>
        <v>0</v>
      </c>
      <c r="R183" s="34" t="str">
        <f>IF($Q183=1,SUM($Q$5:$Q183),"")</f>
        <v/>
      </c>
    </row>
    <row r="184" spans="1:18" ht="15" customHeight="1" x14ac:dyDescent="0.25">
      <c r="A184" s="56" t="str">
        <f>IF($N184="","",IFERROR(IF(INDEX('Projected Sales or Lease'!$D$1:$D$200,$N184)="","",INDEX('Projected Sales or Lease'!$D$1:$D$200,$N184)),""))</f>
        <v/>
      </c>
      <c r="B184" s="57" t="str">
        <f>IF($N184="","",IFERROR(IF(INDEX('Projected Sales or Lease'!$A$1:$A$200,$N184)="","",INDEX('Projected Sales or Lease'!$A$1:$A$200,$N184)),""))</f>
        <v/>
      </c>
      <c r="C184" s="57" t="str">
        <f>IF($N184="","",IFERROR(IF(INDEX('Projected Sales or Lease'!$E$1:$E$200,$N184)="","",INDEX('Projected Sales or Lease'!$E$1:$E$200,$N184)),""))</f>
        <v/>
      </c>
      <c r="D184" s="22"/>
      <c r="E184" s="31"/>
      <c r="F184" s="22"/>
      <c r="G184" s="22"/>
      <c r="H184" s="22"/>
      <c r="I184" s="45"/>
      <c r="J184" s="58" t="str">
        <f>IF($N184="","",IFERROR(INDEX(Lists!$V$2:$V$20,MATCH(INDEX('Projected Sales or Lease'!$B$1:$B$200,$N184),Lists!$U$2:$U$20,0)),""))</f>
        <v/>
      </c>
      <c r="K184" s="58" t="str">
        <f>IF($N184="","",IFERROR(IF(INDEX('Projected Sales or Lease'!$J$1:$J$200,$N184)="","",INDEX('Projected Sales or Lease'!$J$1:$J$200,$N184)),""))</f>
        <v/>
      </c>
      <c r="L184" s="22" t="str">
        <f t="shared" si="15"/>
        <v/>
      </c>
      <c r="M184" s="55" t="str">
        <f t="shared" si="16"/>
        <v/>
      </c>
      <c r="N184" t="str">
        <f>IFERROR(MATCH(24,'Projected Sales or Lease'!$O$3:$O$200,0)+2,"")</f>
        <v/>
      </c>
      <c r="O184" s="34">
        <f>IF($B184="",999999999,IF($D184="Installed",999999999,IF(NOT(ISNUMBER($E184)),999900000+180,$E184*10000+180)))</f>
        <v>999999999</v>
      </c>
      <c r="Q184" s="34">
        <f t="shared" si="17"/>
        <v>0</v>
      </c>
      <c r="R184" s="34" t="str">
        <f>IF($Q184=1,SUM($Q$5:$Q184),"")</f>
        <v/>
      </c>
    </row>
    <row r="185" spans="1:18" ht="15" customHeight="1" x14ac:dyDescent="0.25">
      <c r="A185" s="56" t="str">
        <f>IF($N185="","",IFERROR(IF(INDEX('Projected Sales or Lease'!$D$1:$D$200,$N185)="","",INDEX('Projected Sales or Lease'!$D$1:$D$200,$N185)),""))</f>
        <v/>
      </c>
      <c r="B185" s="57" t="str">
        <f>IF($N185="","",IFERROR(IF(INDEX('Projected Sales or Lease'!$A$1:$A$200,$N185)="","",INDEX('Projected Sales or Lease'!$A$1:$A$200,$N185)),""))</f>
        <v/>
      </c>
      <c r="C185" s="57" t="str">
        <f>IF($N185="","",IFERROR(IF(INDEX('Projected Sales or Lease'!$E$1:$E$200,$N185)="","",INDEX('Projected Sales or Lease'!$E$1:$E$200,$N185)),""))</f>
        <v/>
      </c>
      <c r="D185" s="22"/>
      <c r="E185" s="31"/>
      <c r="F185" s="22"/>
      <c r="G185" s="22"/>
      <c r="H185" s="22"/>
      <c r="I185" s="45"/>
      <c r="J185" s="58" t="str">
        <f>IF($N185="","",IFERROR(INDEX(Lists!$V$2:$V$20,MATCH(INDEX('Projected Sales or Lease'!$B$1:$B$200,$N185),Lists!$U$2:$U$20,0)),""))</f>
        <v/>
      </c>
      <c r="K185" s="58" t="str">
        <f>IF($N185="","",IFERROR(IF(INDEX('Projected Sales or Lease'!$J$1:$J$200,$N185)="","",INDEX('Projected Sales or Lease'!$J$1:$J$200,$N185)),""))</f>
        <v/>
      </c>
      <c r="L185" s="22" t="str">
        <f t="shared" si="15"/>
        <v/>
      </c>
      <c r="M185" s="55" t="str">
        <f t="shared" si="16"/>
        <v/>
      </c>
      <c r="N185" t="str">
        <f>IFERROR(MATCH(25,'Projected Sales or Lease'!$O$3:$O$200,0)+2,"")</f>
        <v/>
      </c>
      <c r="O185" s="34">
        <f>IF($B185="",999999999,IF($D185="Installed",999999999,IF(NOT(ISNUMBER($E185)),999900000+181,$E185*10000+181)))</f>
        <v>999999999</v>
      </c>
      <c r="Q185" s="34">
        <f t="shared" si="17"/>
        <v>0</v>
      </c>
      <c r="R185" s="34" t="str">
        <f>IF($Q185=1,SUM($Q$5:$Q185),"")</f>
        <v/>
      </c>
    </row>
    <row r="186" spans="1:18" ht="15" customHeight="1" x14ac:dyDescent="0.25">
      <c r="A186" s="56" t="str">
        <f>IF($N186="","",IFERROR(IF(INDEX('Projected Sales or Lease'!$D$1:$D$200,$N186)="","",INDEX('Projected Sales or Lease'!$D$1:$D$200,$N186)),""))</f>
        <v/>
      </c>
      <c r="B186" s="57" t="str">
        <f>IF($N186="","",IFERROR(IF(INDEX('Projected Sales or Lease'!$A$1:$A$200,$N186)="","",INDEX('Projected Sales or Lease'!$A$1:$A$200,$N186)),""))</f>
        <v/>
      </c>
      <c r="C186" s="57" t="str">
        <f>IF($N186="","",IFERROR(IF(INDEX('Projected Sales or Lease'!$E$1:$E$200,$N186)="","",INDEX('Projected Sales or Lease'!$E$1:$E$200,$N186)),""))</f>
        <v/>
      </c>
      <c r="D186" s="22"/>
      <c r="E186" s="31"/>
      <c r="F186" s="22"/>
      <c r="G186" s="22"/>
      <c r="H186" s="22"/>
      <c r="I186" s="45"/>
      <c r="J186" s="58" t="str">
        <f>IF($N186="","",IFERROR(INDEX(Lists!$V$2:$V$20,MATCH(INDEX('Projected Sales or Lease'!$B$1:$B$200,$N186),Lists!$U$2:$U$20,0)),""))</f>
        <v/>
      </c>
      <c r="K186" s="58" t="str">
        <f>IF($N186="","",IFERROR(IF(INDEX('Projected Sales or Lease'!$J$1:$J$200,$N186)="","",INDEX('Projected Sales or Lease'!$J$1:$J$200,$N186)),""))</f>
        <v/>
      </c>
      <c r="L186" s="22" t="str">
        <f t="shared" si="15"/>
        <v/>
      </c>
      <c r="M186" s="55" t="str">
        <f t="shared" si="16"/>
        <v/>
      </c>
      <c r="N186" t="str">
        <f>IFERROR(MATCH(26,'Projected Sales or Lease'!$O$3:$O$200,0)+2,"")</f>
        <v/>
      </c>
      <c r="O186" s="34">
        <f>IF($B186="",999999999,IF($D186="Installed",999999999,IF(NOT(ISNUMBER($E186)),999900000+182,$E186*10000+182)))</f>
        <v>999999999</v>
      </c>
      <c r="Q186" s="34">
        <f t="shared" si="17"/>
        <v>0</v>
      </c>
      <c r="R186" s="34" t="str">
        <f>IF($Q186=1,SUM($Q$5:$Q186),"")</f>
        <v/>
      </c>
    </row>
    <row r="187" spans="1:18" ht="15" customHeight="1" x14ac:dyDescent="0.25">
      <c r="A187" s="56" t="str">
        <f>IF($N187="","",IFERROR(IF(INDEX('Projected Sales or Lease'!$D$1:$D$200,$N187)="","",INDEX('Projected Sales or Lease'!$D$1:$D$200,$N187)),""))</f>
        <v/>
      </c>
      <c r="B187" s="57" t="str">
        <f>IF($N187="","",IFERROR(IF(INDEX('Projected Sales or Lease'!$A$1:$A$200,$N187)="","",INDEX('Projected Sales or Lease'!$A$1:$A$200,$N187)),""))</f>
        <v/>
      </c>
      <c r="C187" s="57" t="str">
        <f>IF($N187="","",IFERROR(IF(INDEX('Projected Sales or Lease'!$E$1:$E$200,$N187)="","",INDEX('Projected Sales or Lease'!$E$1:$E$200,$N187)),""))</f>
        <v/>
      </c>
      <c r="D187" s="22"/>
      <c r="E187" s="31"/>
      <c r="F187" s="22"/>
      <c r="G187" s="22"/>
      <c r="H187" s="22"/>
      <c r="I187" s="45"/>
      <c r="J187" s="58" t="str">
        <f>IF($N187="","",IFERROR(INDEX(Lists!$V$2:$V$20,MATCH(INDEX('Projected Sales or Lease'!$B$1:$B$200,$N187),Lists!$U$2:$U$20,0)),""))</f>
        <v/>
      </c>
      <c r="K187" s="58" t="str">
        <f>IF($N187="","",IFERROR(IF(INDEX('Projected Sales or Lease'!$J$1:$J$200,$N187)="","",INDEX('Projected Sales or Lease'!$J$1:$J$200,$N187)),""))</f>
        <v/>
      </c>
      <c r="L187" s="22" t="str">
        <f t="shared" si="15"/>
        <v/>
      </c>
      <c r="M187" s="55" t="str">
        <f t="shared" si="16"/>
        <v/>
      </c>
      <c r="N187" t="str">
        <f>IFERROR(MATCH(27,'Projected Sales or Lease'!$O$3:$O$200,0)+2,"")</f>
        <v/>
      </c>
      <c r="O187" s="34">
        <f>IF($B187="",999999999,IF($D187="Installed",999999999,IF(NOT(ISNUMBER($E187)),999900000+183,$E187*10000+183)))</f>
        <v>999999999</v>
      </c>
      <c r="Q187" s="34">
        <f t="shared" si="17"/>
        <v>0</v>
      </c>
      <c r="R187" s="34" t="str">
        <f>IF($Q187=1,SUM($Q$5:$Q187),"")</f>
        <v/>
      </c>
    </row>
    <row r="188" spans="1:18" ht="15" customHeight="1" x14ac:dyDescent="0.25">
      <c r="A188" s="56" t="str">
        <f>IF($N188="","",IFERROR(IF(INDEX('Projected Sales or Lease'!$D$1:$D$200,$N188)="","",INDEX('Projected Sales or Lease'!$D$1:$D$200,$N188)),""))</f>
        <v/>
      </c>
      <c r="B188" s="57" t="str">
        <f>IF($N188="","",IFERROR(IF(INDEX('Projected Sales or Lease'!$A$1:$A$200,$N188)="","",INDEX('Projected Sales or Lease'!$A$1:$A$200,$N188)),""))</f>
        <v/>
      </c>
      <c r="C188" s="57" t="str">
        <f>IF($N188="","",IFERROR(IF(INDEX('Projected Sales or Lease'!$E$1:$E$200,$N188)="","",INDEX('Projected Sales or Lease'!$E$1:$E$200,$N188)),""))</f>
        <v/>
      </c>
      <c r="D188" s="22"/>
      <c r="E188" s="31"/>
      <c r="F188" s="22"/>
      <c r="G188" s="22"/>
      <c r="H188" s="22"/>
      <c r="I188" s="45"/>
      <c r="J188" s="58" t="str">
        <f>IF($N188="","",IFERROR(INDEX(Lists!$V$2:$V$20,MATCH(INDEX('Projected Sales or Lease'!$B$1:$B$200,$N188),Lists!$U$2:$U$20,0)),""))</f>
        <v/>
      </c>
      <c r="K188" s="58" t="str">
        <f>IF($N188="","",IFERROR(IF(INDEX('Projected Sales or Lease'!$J$1:$J$200,$N188)="","",INDEX('Projected Sales or Lease'!$J$1:$J$200,$N188)),""))</f>
        <v/>
      </c>
      <c r="L188" s="22" t="str">
        <f t="shared" si="15"/>
        <v/>
      </c>
      <c r="M188" s="55" t="str">
        <f t="shared" si="16"/>
        <v/>
      </c>
      <c r="N188" t="str">
        <f>IFERROR(MATCH(28,'Projected Sales or Lease'!$O$3:$O$200,0)+2,"")</f>
        <v/>
      </c>
      <c r="O188" s="34">
        <f>IF($B188="",999999999,IF($D188="Installed",999999999,IF(NOT(ISNUMBER($E188)),999900000+184,$E188*10000+184)))</f>
        <v>999999999</v>
      </c>
      <c r="Q188" s="34">
        <f t="shared" si="17"/>
        <v>0</v>
      </c>
      <c r="R188" s="34" t="str">
        <f>IF($Q188=1,SUM($Q$5:$Q188),"")</f>
        <v/>
      </c>
    </row>
    <row r="189" spans="1:18" ht="15" customHeight="1" x14ac:dyDescent="0.25">
      <c r="A189" s="56" t="str">
        <f>IF($N189="","",IFERROR(IF(INDEX('Projected Sales or Lease'!$D$1:$D$200,$N189)="","",INDEX('Projected Sales or Lease'!$D$1:$D$200,$N189)),""))</f>
        <v/>
      </c>
      <c r="B189" s="57" t="str">
        <f>IF($N189="","",IFERROR(IF(INDEX('Projected Sales or Lease'!$A$1:$A$200,$N189)="","",INDEX('Projected Sales or Lease'!$A$1:$A$200,$N189)),""))</f>
        <v/>
      </c>
      <c r="C189" s="57" t="str">
        <f>IF($N189="","",IFERROR(IF(INDEX('Projected Sales or Lease'!$E$1:$E$200,$N189)="","",INDEX('Projected Sales or Lease'!$E$1:$E$200,$N189)),""))</f>
        <v/>
      </c>
      <c r="D189" s="22"/>
      <c r="E189" s="31"/>
      <c r="F189" s="22"/>
      <c r="G189" s="22"/>
      <c r="H189" s="22"/>
      <c r="I189" s="45"/>
      <c r="J189" s="58" t="str">
        <f>IF($N189="","",IFERROR(INDEX(Lists!$V$2:$V$20,MATCH(INDEX('Projected Sales or Lease'!$B$1:$B$200,$N189),Lists!$U$2:$U$20,0)),""))</f>
        <v/>
      </c>
      <c r="K189" s="58" t="str">
        <f>IF($N189="","",IFERROR(IF(INDEX('Projected Sales or Lease'!$J$1:$J$200,$N189)="","",INDEX('Projected Sales or Lease'!$J$1:$J$200,$N189)),""))</f>
        <v/>
      </c>
      <c r="L189" s="22" t="str">
        <f t="shared" si="15"/>
        <v/>
      </c>
      <c r="M189" s="55" t="str">
        <f t="shared" si="16"/>
        <v/>
      </c>
      <c r="N189" t="str">
        <f>IFERROR(MATCH(29,'Projected Sales or Lease'!$O$3:$O$200,0)+2,"")</f>
        <v/>
      </c>
      <c r="O189" s="34">
        <f>IF($B189="",999999999,IF($D189="Installed",999999999,IF(NOT(ISNUMBER($E189)),999900000+185,$E189*10000+185)))</f>
        <v>999999999</v>
      </c>
      <c r="Q189" s="34">
        <f t="shared" si="17"/>
        <v>0</v>
      </c>
      <c r="R189" s="34" t="str">
        <f>IF($Q189=1,SUM($Q$5:$Q189),"")</f>
        <v/>
      </c>
    </row>
    <row r="190" spans="1:18" ht="15" customHeight="1" x14ac:dyDescent="0.25">
      <c r="A190" s="56" t="str">
        <f>IF($N190="","",IFERROR(IF(INDEX('Projected Sales or Lease'!$D$1:$D$200,$N190)="","",INDEX('Projected Sales or Lease'!$D$1:$D$200,$N190)),""))</f>
        <v/>
      </c>
      <c r="B190" s="57" t="str">
        <f>IF($N190="","",IFERROR(IF(INDEX('Projected Sales or Lease'!$A$1:$A$200,$N190)="","",INDEX('Projected Sales or Lease'!$A$1:$A$200,$N190)),""))</f>
        <v/>
      </c>
      <c r="C190" s="57" t="str">
        <f>IF($N190="","",IFERROR(IF(INDEX('Projected Sales or Lease'!$E$1:$E$200,$N190)="","",INDEX('Projected Sales or Lease'!$E$1:$E$200,$N190)),""))</f>
        <v/>
      </c>
      <c r="D190" s="22"/>
      <c r="E190" s="31"/>
      <c r="F190" s="22"/>
      <c r="G190" s="22"/>
      <c r="H190" s="22"/>
      <c r="I190" s="45"/>
      <c r="J190" s="58" t="str">
        <f>IF($N190="","",IFERROR(INDEX(Lists!$V$2:$V$20,MATCH(INDEX('Projected Sales or Lease'!$B$1:$B$200,$N190),Lists!$U$2:$U$20,0)),""))</f>
        <v/>
      </c>
      <c r="K190" s="58" t="str">
        <f>IF($N190="","",IFERROR(IF(INDEX('Projected Sales or Lease'!$J$1:$J$200,$N190)="","",INDEX('Projected Sales or Lease'!$J$1:$J$200,$N190)),""))</f>
        <v/>
      </c>
      <c r="L190" s="22" t="str">
        <f t="shared" si="15"/>
        <v/>
      </c>
      <c r="M190" s="55" t="str">
        <f t="shared" si="16"/>
        <v/>
      </c>
      <c r="N190" t="str">
        <f>IFERROR(MATCH(30,'Projected Sales or Lease'!$O$3:$O$200,0)+2,"")</f>
        <v/>
      </c>
      <c r="O190" s="34">
        <f>IF($B190="",999999999,IF($D190="Installed",999999999,IF(NOT(ISNUMBER($E190)),999900000+186,$E190*10000+186)))</f>
        <v>999999999</v>
      </c>
      <c r="Q190" s="34">
        <f t="shared" si="17"/>
        <v>0</v>
      </c>
      <c r="R190" s="34" t="str">
        <f>IF($Q190=1,SUM($Q$5:$Q190),"")</f>
        <v/>
      </c>
    </row>
    <row r="191" spans="1:18" ht="15" customHeight="1" x14ac:dyDescent="0.25">
      <c r="A191" s="56" t="str">
        <f>IF($N191="","",IFERROR(IF(INDEX('Projected Sales or Lease'!$D$1:$D$200,$N191)="","",INDEX('Projected Sales or Lease'!$D$1:$D$200,$N191)),""))</f>
        <v/>
      </c>
      <c r="B191" s="57" t="str">
        <f>IF($N191="","",IFERROR(IF(INDEX('Projected Sales or Lease'!$A$1:$A$200,$N191)="","",INDEX('Projected Sales or Lease'!$A$1:$A$200,$N191)),""))</f>
        <v/>
      </c>
      <c r="C191" s="57" t="str">
        <f>IF($N191="","",IFERROR(IF(INDEX('Projected Sales or Lease'!$E$1:$E$200,$N191)="","",INDEX('Projected Sales or Lease'!$E$1:$E$200,$N191)),""))</f>
        <v/>
      </c>
      <c r="D191" s="22"/>
      <c r="E191" s="31"/>
      <c r="F191" s="22"/>
      <c r="G191" s="22"/>
      <c r="H191" s="22"/>
      <c r="I191" s="45"/>
      <c r="J191" s="58" t="str">
        <f>IF($N191="","",IFERROR(INDEX(Lists!$V$2:$V$20,MATCH(INDEX('Projected Sales or Lease'!$B$1:$B$200,$N191),Lists!$U$2:$U$20,0)),""))</f>
        <v/>
      </c>
      <c r="K191" s="58" t="str">
        <f>IF($N191="","",IFERROR(IF(INDEX('Projected Sales or Lease'!$J$1:$J$200,$N191)="","",INDEX('Projected Sales or Lease'!$J$1:$J$200,$N191)),""))</f>
        <v/>
      </c>
      <c r="L191" s="22" t="str">
        <f t="shared" si="15"/>
        <v/>
      </c>
      <c r="M191" s="55" t="str">
        <f t="shared" si="16"/>
        <v/>
      </c>
      <c r="N191" t="str">
        <f>IFERROR(MATCH(31,'Projected Sales or Lease'!$O$3:$O$200,0)+2,"")</f>
        <v/>
      </c>
      <c r="O191" s="34">
        <f>IF($B191="",999999999,IF($D191="Installed",999999999,IF(NOT(ISNUMBER($E191)),999900000+187,$E191*10000+187)))</f>
        <v>999999999</v>
      </c>
      <c r="Q191" s="34">
        <f t="shared" si="17"/>
        <v>0</v>
      </c>
      <c r="R191" s="34" t="str">
        <f>IF($Q191=1,SUM($Q$5:$Q191),"")</f>
        <v/>
      </c>
    </row>
    <row r="192" spans="1:18" ht="15" customHeight="1" x14ac:dyDescent="0.25">
      <c r="A192" s="56" t="str">
        <f>IF($N192="","",IFERROR(IF(INDEX('Projected Sales or Lease'!$D$1:$D$200,$N192)="","",INDEX('Projected Sales or Lease'!$D$1:$D$200,$N192)),""))</f>
        <v/>
      </c>
      <c r="B192" s="57" t="str">
        <f>IF($N192="","",IFERROR(IF(INDEX('Projected Sales or Lease'!$A$1:$A$200,$N192)="","",INDEX('Projected Sales or Lease'!$A$1:$A$200,$N192)),""))</f>
        <v/>
      </c>
      <c r="C192" s="57" t="str">
        <f>IF($N192="","",IFERROR(IF(INDEX('Projected Sales or Lease'!$E$1:$E$200,$N192)="","",INDEX('Projected Sales or Lease'!$E$1:$E$200,$N192)),""))</f>
        <v/>
      </c>
      <c r="D192" s="22"/>
      <c r="E192" s="31"/>
      <c r="F192" s="22"/>
      <c r="G192" s="22"/>
      <c r="H192" s="22"/>
      <c r="I192" s="45"/>
      <c r="J192" s="58" t="str">
        <f>IF($N192="","",IFERROR(INDEX(Lists!$V$2:$V$20,MATCH(INDEX('Projected Sales or Lease'!$B$1:$B$200,$N192),Lists!$U$2:$U$20,0)),""))</f>
        <v/>
      </c>
      <c r="K192" s="58" t="str">
        <f>IF($N192="","",IFERROR(IF(INDEX('Projected Sales or Lease'!$J$1:$J$200,$N192)="","",INDEX('Projected Sales or Lease'!$J$1:$J$200,$N192)),""))</f>
        <v/>
      </c>
      <c r="L192" s="22" t="str">
        <f t="shared" si="15"/>
        <v/>
      </c>
      <c r="M192" s="55" t="str">
        <f t="shared" si="16"/>
        <v/>
      </c>
      <c r="N192" t="str">
        <f>IFERROR(MATCH(32,'Projected Sales or Lease'!$O$3:$O$200,0)+2,"")</f>
        <v/>
      </c>
      <c r="O192" s="34">
        <f>IF($B192="",999999999,IF($D192="Installed",999999999,IF(NOT(ISNUMBER($E192)),999900000+188,$E192*10000+188)))</f>
        <v>999999999</v>
      </c>
      <c r="Q192" s="34">
        <f t="shared" si="17"/>
        <v>0</v>
      </c>
      <c r="R192" s="34" t="str">
        <f>IF($Q192=1,SUM($Q$5:$Q192),"")</f>
        <v/>
      </c>
    </row>
    <row r="193" spans="1:18" ht="15" customHeight="1" x14ac:dyDescent="0.25">
      <c r="A193" s="56" t="str">
        <f>IF($N193="","",IFERROR(IF(INDEX('Projected Sales or Lease'!$D$1:$D$200,$N193)="","",INDEX('Projected Sales or Lease'!$D$1:$D$200,$N193)),""))</f>
        <v/>
      </c>
      <c r="B193" s="57" t="str">
        <f>IF($N193="","",IFERROR(IF(INDEX('Projected Sales or Lease'!$A$1:$A$200,$N193)="","",INDEX('Projected Sales or Lease'!$A$1:$A$200,$N193)),""))</f>
        <v/>
      </c>
      <c r="C193" s="57" t="str">
        <f>IF($N193="","",IFERROR(IF(INDEX('Projected Sales or Lease'!$E$1:$E$200,$N193)="","",INDEX('Projected Sales or Lease'!$E$1:$E$200,$N193)),""))</f>
        <v/>
      </c>
      <c r="D193" s="22"/>
      <c r="E193" s="31"/>
      <c r="F193" s="22"/>
      <c r="G193" s="22"/>
      <c r="H193" s="22"/>
      <c r="I193" s="45"/>
      <c r="J193" s="58" t="str">
        <f>IF($N193="","",IFERROR(INDEX(Lists!$V$2:$V$20,MATCH(INDEX('Projected Sales or Lease'!$B$1:$B$200,$N193),Lists!$U$2:$U$20,0)),""))</f>
        <v/>
      </c>
      <c r="K193" s="58" t="str">
        <f>IF($N193="","",IFERROR(IF(INDEX('Projected Sales or Lease'!$J$1:$J$200,$N193)="","",INDEX('Projected Sales or Lease'!$J$1:$J$200,$N193)),""))</f>
        <v/>
      </c>
      <c r="L193" s="22" t="str">
        <f t="shared" si="15"/>
        <v/>
      </c>
      <c r="M193" s="55" t="str">
        <f t="shared" si="16"/>
        <v/>
      </c>
      <c r="N193" t="str">
        <f>IFERROR(MATCH(33,'Projected Sales or Lease'!$O$3:$O$200,0)+2,"")</f>
        <v/>
      </c>
      <c r="O193" s="34">
        <f>IF($B193="",999999999,IF($D193="Installed",999999999,IF(NOT(ISNUMBER($E193)),999900000+189,$E193*10000+189)))</f>
        <v>999999999</v>
      </c>
      <c r="Q193" s="34">
        <f t="shared" si="17"/>
        <v>0</v>
      </c>
      <c r="R193" s="34" t="str">
        <f>IF($Q193=1,SUM($Q$5:$Q193),"")</f>
        <v/>
      </c>
    </row>
    <row r="194" spans="1:18" ht="15" customHeight="1" x14ac:dyDescent="0.25">
      <c r="A194" s="56" t="str">
        <f>IF($N194="","",IFERROR(IF(INDEX('Projected Sales or Lease'!$D$1:$D$200,$N194)="","",INDEX('Projected Sales or Lease'!$D$1:$D$200,$N194)),""))</f>
        <v/>
      </c>
      <c r="B194" s="57" t="str">
        <f>IF($N194="","",IFERROR(IF(INDEX('Projected Sales or Lease'!$A$1:$A$200,$N194)="","",INDEX('Projected Sales or Lease'!$A$1:$A$200,$N194)),""))</f>
        <v/>
      </c>
      <c r="C194" s="57" t="str">
        <f>IF($N194="","",IFERROR(IF(INDEX('Projected Sales or Lease'!$E$1:$E$200,$N194)="","",INDEX('Projected Sales or Lease'!$E$1:$E$200,$N194)),""))</f>
        <v/>
      </c>
      <c r="D194" s="22"/>
      <c r="E194" s="31"/>
      <c r="F194" s="22"/>
      <c r="G194" s="22"/>
      <c r="H194" s="22"/>
      <c r="I194" s="45"/>
      <c r="J194" s="58" t="str">
        <f>IF($N194="","",IFERROR(INDEX(Lists!$V$2:$V$20,MATCH(INDEX('Projected Sales or Lease'!$B$1:$B$200,$N194),Lists!$U$2:$U$20,0)),""))</f>
        <v/>
      </c>
      <c r="K194" s="58" t="str">
        <f>IF($N194="","",IFERROR(IF(INDEX('Projected Sales or Lease'!$J$1:$J$200,$N194)="","",INDEX('Projected Sales or Lease'!$J$1:$J$200,$N194)),""))</f>
        <v/>
      </c>
      <c r="L194" s="22" t="str">
        <f t="shared" si="15"/>
        <v/>
      </c>
      <c r="M194" s="55" t="str">
        <f t="shared" si="16"/>
        <v/>
      </c>
      <c r="N194" t="str">
        <f>IFERROR(MATCH(34,'Projected Sales or Lease'!$O$3:$O$200,0)+2,"")</f>
        <v/>
      </c>
      <c r="O194" s="34">
        <f>IF($B194="",999999999,IF($D194="Installed",999999999,IF(NOT(ISNUMBER($E194)),999900000+190,$E194*10000+190)))</f>
        <v>999999999</v>
      </c>
      <c r="Q194" s="34">
        <f t="shared" si="17"/>
        <v>0</v>
      </c>
      <c r="R194" s="34" t="str">
        <f>IF($Q194=1,SUM($Q$5:$Q194),"")</f>
        <v/>
      </c>
    </row>
    <row r="195" spans="1:18" ht="15" customHeight="1" x14ac:dyDescent="0.25">
      <c r="A195" s="56" t="str">
        <f>IF($N195="","",IFERROR(IF(INDEX('Projected Sales or Lease'!$D$1:$D$200,$N195)="","",INDEX('Projected Sales or Lease'!$D$1:$D$200,$N195)),""))</f>
        <v/>
      </c>
      <c r="B195" s="57" t="str">
        <f>IF($N195="","",IFERROR(IF(INDEX('Projected Sales or Lease'!$A$1:$A$200,$N195)="","",INDEX('Projected Sales or Lease'!$A$1:$A$200,$N195)),""))</f>
        <v/>
      </c>
      <c r="C195" s="57" t="str">
        <f>IF($N195="","",IFERROR(IF(INDEX('Projected Sales or Lease'!$E$1:$E$200,$N195)="","",INDEX('Projected Sales or Lease'!$E$1:$E$200,$N195)),""))</f>
        <v/>
      </c>
      <c r="D195" s="22"/>
      <c r="E195" s="31"/>
      <c r="F195" s="22"/>
      <c r="G195" s="22"/>
      <c r="H195" s="22"/>
      <c r="I195" s="45"/>
      <c r="J195" s="58" t="str">
        <f>IF($N195="","",IFERROR(INDEX(Lists!$V$2:$V$20,MATCH(INDEX('Projected Sales or Lease'!$B$1:$B$200,$N195),Lists!$U$2:$U$20,0)),""))</f>
        <v/>
      </c>
      <c r="K195" s="58" t="str">
        <f>IF($N195="","",IFERROR(IF(INDEX('Projected Sales or Lease'!$J$1:$J$200,$N195)="","",INDEX('Projected Sales or Lease'!$J$1:$J$200,$N195)),""))</f>
        <v/>
      </c>
      <c r="L195" s="22" t="str">
        <f t="shared" si="15"/>
        <v/>
      </c>
      <c r="M195" s="55" t="str">
        <f t="shared" si="16"/>
        <v/>
      </c>
      <c r="N195" t="str">
        <f>IFERROR(MATCH(35,'Projected Sales or Lease'!$O$3:$O$200,0)+2,"")</f>
        <v/>
      </c>
      <c r="O195" s="34">
        <f>IF($B195="",999999999,IF($D195="Installed",999999999,IF(NOT(ISNUMBER($E195)),999900000+191,$E195*10000+191)))</f>
        <v>999999999</v>
      </c>
      <c r="Q195" s="34">
        <f t="shared" si="17"/>
        <v>0</v>
      </c>
      <c r="R195" s="34" t="str">
        <f>IF($Q195=1,SUM($Q$5:$Q195),"")</f>
        <v/>
      </c>
    </row>
    <row r="196" spans="1:18" ht="15" customHeight="1" x14ac:dyDescent="0.25">
      <c r="A196" s="56" t="str">
        <f>IF($N196="","",IFERROR(IF(INDEX('Projected Sales or Lease'!$D$1:$D$200,$N196)="","",INDEX('Projected Sales or Lease'!$D$1:$D$200,$N196)),""))</f>
        <v/>
      </c>
      <c r="B196" s="57" t="str">
        <f>IF($N196="","",IFERROR(IF(INDEX('Projected Sales or Lease'!$A$1:$A$200,$N196)="","",INDEX('Projected Sales or Lease'!$A$1:$A$200,$N196)),""))</f>
        <v/>
      </c>
      <c r="C196" s="57" t="str">
        <f>IF($N196="","",IFERROR(IF(INDEX('Projected Sales or Lease'!$E$1:$E$200,$N196)="","",INDEX('Projected Sales or Lease'!$E$1:$E$200,$N196)),""))</f>
        <v/>
      </c>
      <c r="D196" s="22"/>
      <c r="E196" s="31"/>
      <c r="F196" s="22"/>
      <c r="G196" s="22"/>
      <c r="H196" s="22"/>
      <c r="I196" s="45"/>
      <c r="J196" s="58" t="str">
        <f>IF($N196="","",IFERROR(INDEX(Lists!$V$2:$V$20,MATCH(INDEX('Projected Sales or Lease'!$B$1:$B$200,$N196),Lists!$U$2:$U$20,0)),""))</f>
        <v/>
      </c>
      <c r="K196" s="58" t="str">
        <f>IF($N196="","",IFERROR(IF(INDEX('Projected Sales or Lease'!$J$1:$J$200,$N196)="","",INDEX('Projected Sales or Lease'!$J$1:$J$200,$N196)),""))</f>
        <v/>
      </c>
      <c r="L196" s="22" t="str">
        <f t="shared" si="15"/>
        <v/>
      </c>
      <c r="M196" s="55" t="str">
        <f t="shared" si="16"/>
        <v/>
      </c>
      <c r="N196" t="str">
        <f>IFERROR(MATCH(36,'Projected Sales or Lease'!$O$3:$O$200,0)+2,"")</f>
        <v/>
      </c>
      <c r="O196" s="34">
        <f>IF($B196="",999999999,IF($D196="Installed",999999999,IF(NOT(ISNUMBER($E196)),999900000+192,$E196*10000+192)))</f>
        <v>999999999</v>
      </c>
      <c r="Q196" s="34">
        <f t="shared" si="17"/>
        <v>0</v>
      </c>
      <c r="R196" s="34" t="str">
        <f>IF($Q196=1,SUM($Q$5:$Q196),"")</f>
        <v/>
      </c>
    </row>
    <row r="197" spans="1:18" ht="15" customHeight="1" x14ac:dyDescent="0.25">
      <c r="A197" s="56" t="str">
        <f>IF($N197="","",IFERROR(IF(INDEX('Projected Sales or Lease'!$D$1:$D$200,$N197)="","",INDEX('Projected Sales or Lease'!$D$1:$D$200,$N197)),""))</f>
        <v/>
      </c>
      <c r="B197" s="57" t="str">
        <f>IF($N197="","",IFERROR(IF(INDEX('Projected Sales or Lease'!$A$1:$A$200,$N197)="","",INDEX('Projected Sales or Lease'!$A$1:$A$200,$N197)),""))</f>
        <v/>
      </c>
      <c r="C197" s="57" t="str">
        <f>IF($N197="","",IFERROR(IF(INDEX('Projected Sales or Lease'!$E$1:$E$200,$N197)="","",INDEX('Projected Sales or Lease'!$E$1:$E$200,$N197)),""))</f>
        <v/>
      </c>
      <c r="D197" s="22"/>
      <c r="E197" s="31"/>
      <c r="F197" s="22"/>
      <c r="G197" s="22"/>
      <c r="H197" s="22"/>
      <c r="I197" s="45"/>
      <c r="J197" s="58" t="str">
        <f>IF($N197="","",IFERROR(INDEX(Lists!$V$2:$V$20,MATCH(INDEX('Projected Sales or Lease'!$B$1:$B$200,$N197),Lists!$U$2:$U$20,0)),""))</f>
        <v/>
      </c>
      <c r="K197" s="58" t="str">
        <f>IF($N197="","",IFERROR(IF(INDEX('Projected Sales or Lease'!$J$1:$J$200,$N197)="","",INDEX('Projected Sales or Lease'!$J$1:$J$200,$N197)),""))</f>
        <v/>
      </c>
      <c r="L197" s="22" t="str">
        <f t="shared" si="15"/>
        <v/>
      </c>
      <c r="M197" s="55" t="str">
        <f t="shared" si="16"/>
        <v/>
      </c>
      <c r="N197" t="str">
        <f>IFERROR(MATCH(37,'Projected Sales or Lease'!$O$3:$O$200,0)+2,"")</f>
        <v/>
      </c>
      <c r="O197" s="34">
        <f>IF($B197="",999999999,IF($D197="Installed",999999999,IF(NOT(ISNUMBER($E197)),999900000+193,$E197*10000+193)))</f>
        <v>999999999</v>
      </c>
      <c r="Q197" s="34">
        <f t="shared" si="17"/>
        <v>0</v>
      </c>
      <c r="R197" s="34" t="str">
        <f>IF($Q197=1,SUM($Q$5:$Q197),"")</f>
        <v/>
      </c>
    </row>
    <row r="198" spans="1:18" ht="15" customHeight="1" x14ac:dyDescent="0.25">
      <c r="A198" s="56" t="str">
        <f>IF($N198="","",IFERROR(IF(INDEX('Projected Sales or Lease'!$D$1:$D$200,$N198)="","",INDEX('Projected Sales or Lease'!$D$1:$D$200,$N198)),""))</f>
        <v/>
      </c>
      <c r="B198" s="57" t="str">
        <f>IF($N198="","",IFERROR(IF(INDEX('Projected Sales or Lease'!$A$1:$A$200,$N198)="","",INDEX('Projected Sales or Lease'!$A$1:$A$200,$N198)),""))</f>
        <v/>
      </c>
      <c r="C198" s="57" t="str">
        <f>IF($N198="","",IFERROR(IF(INDEX('Projected Sales or Lease'!$E$1:$E$200,$N198)="","",INDEX('Projected Sales or Lease'!$E$1:$E$200,$N198)),""))</f>
        <v/>
      </c>
      <c r="D198" s="22"/>
      <c r="E198" s="31"/>
      <c r="F198" s="22"/>
      <c r="G198" s="22"/>
      <c r="H198" s="22"/>
      <c r="I198" s="45"/>
      <c r="J198" s="58" t="str">
        <f>IF($N198="","",IFERROR(INDEX(Lists!$V$2:$V$20,MATCH(INDEX('Projected Sales or Lease'!$B$1:$B$200,$N198),Lists!$U$2:$U$20,0)),""))</f>
        <v/>
      </c>
      <c r="K198" s="58" t="str">
        <f>IF($N198="","",IFERROR(IF(INDEX('Projected Sales or Lease'!$J$1:$J$200,$N198)="","",INDEX('Projected Sales or Lease'!$J$1:$J$200,$N198)),""))</f>
        <v/>
      </c>
      <c r="L198" s="22" t="str">
        <f t="shared" si="15"/>
        <v/>
      </c>
      <c r="M198" s="55" t="str">
        <f t="shared" si="16"/>
        <v/>
      </c>
      <c r="N198" t="str">
        <f>IFERROR(MATCH(38,'Projected Sales or Lease'!$O$3:$O$200,0)+2,"")</f>
        <v/>
      </c>
      <c r="O198" s="34">
        <f>IF($B198="",999999999,IF($D198="Installed",999999999,IF(NOT(ISNUMBER($E198)),999900000+194,$E198*10000+194)))</f>
        <v>999999999</v>
      </c>
      <c r="Q198" s="34">
        <f t="shared" si="17"/>
        <v>0</v>
      </c>
      <c r="R198" s="34" t="str">
        <f>IF($Q198=1,SUM($Q$5:$Q198),"")</f>
        <v/>
      </c>
    </row>
    <row r="199" spans="1:18" ht="15" customHeight="1" x14ac:dyDescent="0.25">
      <c r="A199" s="56" t="str">
        <f>IF($N199="","",IFERROR(IF(INDEX('Projected Sales or Lease'!$D$1:$D$200,$N199)="","",INDEX('Projected Sales or Lease'!$D$1:$D$200,$N199)),""))</f>
        <v/>
      </c>
      <c r="B199" s="57" t="str">
        <f>IF($N199="","",IFERROR(IF(INDEX('Projected Sales or Lease'!$A$1:$A$200,$N199)="","",INDEX('Projected Sales or Lease'!$A$1:$A$200,$N199)),""))</f>
        <v/>
      </c>
      <c r="C199" s="57" t="str">
        <f>IF($N199="","",IFERROR(IF(INDEX('Projected Sales or Lease'!$E$1:$E$200,$N199)="","",INDEX('Projected Sales or Lease'!$E$1:$E$200,$N199)),""))</f>
        <v/>
      </c>
      <c r="D199" s="22"/>
      <c r="E199" s="31"/>
      <c r="F199" s="22"/>
      <c r="G199" s="22"/>
      <c r="H199" s="22"/>
      <c r="I199" s="45"/>
      <c r="J199" s="58" t="str">
        <f>IF($N199="","",IFERROR(INDEX(Lists!$V$2:$V$20,MATCH(INDEX('Projected Sales or Lease'!$B$1:$B$200,$N199),Lists!$U$2:$U$20,0)),""))</f>
        <v/>
      </c>
      <c r="K199" s="58" t="str">
        <f>IF($N199="","",IFERROR(IF(INDEX('Projected Sales or Lease'!$J$1:$J$200,$N199)="","",INDEX('Projected Sales or Lease'!$J$1:$J$200,$N199)),""))</f>
        <v/>
      </c>
      <c r="L199" s="22" t="str">
        <f t="shared" si="15"/>
        <v/>
      </c>
      <c r="M199" s="55" t="str">
        <f t="shared" si="16"/>
        <v/>
      </c>
      <c r="N199" t="str">
        <f>IFERROR(MATCH(39,'Projected Sales or Lease'!$O$3:$O$200,0)+2,"")</f>
        <v/>
      </c>
      <c r="O199" s="34">
        <f>IF($B199="",999999999,IF($D199="Installed",999999999,IF(NOT(ISNUMBER($E199)),999900000+195,$E199*10000+195)))</f>
        <v>999999999</v>
      </c>
      <c r="Q199" s="34">
        <f t="shared" si="17"/>
        <v>0</v>
      </c>
      <c r="R199" s="34" t="str">
        <f>IF($Q199=1,SUM($Q$5:$Q199),"")</f>
        <v/>
      </c>
    </row>
    <row r="200" spans="1:18" ht="15" customHeight="1" x14ac:dyDescent="0.25">
      <c r="A200" s="56" t="str">
        <f>IF($N200="","",IFERROR(IF(INDEX('Projected Sales or Lease'!$D$1:$D$200,$N200)="","",INDEX('Projected Sales or Lease'!$D$1:$D$200,$N200)),""))</f>
        <v/>
      </c>
      <c r="B200" s="57" t="str">
        <f>IF($N200="","",IFERROR(IF(INDEX('Projected Sales or Lease'!$A$1:$A$200,$N200)="","",INDEX('Projected Sales or Lease'!$A$1:$A$200,$N200)),""))</f>
        <v/>
      </c>
      <c r="C200" s="57" t="str">
        <f>IF($N200="","",IFERROR(IF(INDEX('Projected Sales or Lease'!$E$1:$E$200,$N200)="","",INDEX('Projected Sales or Lease'!$E$1:$E$200,$N200)),""))</f>
        <v/>
      </c>
      <c r="D200" s="22"/>
      <c r="E200" s="31"/>
      <c r="F200" s="22"/>
      <c r="G200" s="22"/>
      <c r="H200" s="22"/>
      <c r="I200" s="45"/>
      <c r="J200" s="58" t="str">
        <f>IF($N200="","",IFERROR(INDEX(Lists!$V$2:$V$20,MATCH(INDEX('Projected Sales or Lease'!$B$1:$B$200,$N200),Lists!$U$2:$U$20,0)),""))</f>
        <v/>
      </c>
      <c r="K200" s="58" t="str">
        <f>IF($N200="","",IFERROR(IF(INDEX('Projected Sales or Lease'!$J$1:$J$200,$N200)="","",INDEX('Projected Sales or Lease'!$J$1:$J$200,$N200)),""))</f>
        <v/>
      </c>
      <c r="L200" s="22" t="str">
        <f t="shared" si="15"/>
        <v/>
      </c>
      <c r="M200" s="55" t="str">
        <f t="shared" si="16"/>
        <v/>
      </c>
      <c r="N200" t="str">
        <f>IFERROR(MATCH(40,'Projected Sales or Lease'!$O$3:$O$200,0)+2,"")</f>
        <v/>
      </c>
      <c r="O200" s="34">
        <f>IF($B200="",999999999,IF($D200="Installed",999999999,IF(NOT(ISNUMBER($E200)),999900000+196,$E200*10000+196)))</f>
        <v>999999999</v>
      </c>
      <c r="Q200" s="34">
        <f t="shared" si="17"/>
        <v>0</v>
      </c>
      <c r="R200" s="34" t="str">
        <f>IF($Q200=1,SUM($Q$5:$Q200),"")</f>
        <v/>
      </c>
    </row>
  </sheetData>
  <autoFilter ref="A4:M159" xr:uid="{00000000-0009-0000-0000-000004000000}"/>
  <mergeCells count="2">
    <mergeCell ref="I2:M3"/>
    <mergeCell ref="A160:M160"/>
  </mergeCells>
  <conditionalFormatting sqref="A5:M159">
    <cfRule type="expression" dxfId="9" priority="1" stopIfTrue="1">
      <formula>LEFT($M5,1)="⚠"</formula>
    </cfRule>
    <cfRule type="expression" dxfId="8" priority="2" stopIfTrue="1">
      <formula>$D5="Installed"</formula>
    </cfRule>
    <cfRule type="expression" dxfId="7" priority="3" stopIfTrue="1">
      <formula>$D5="Not Ready"</formula>
    </cfRule>
    <cfRule type="expression" dxfId="6" priority="4" stopIfTrue="1">
      <formula>$D5="Ready"</formula>
    </cfRule>
    <cfRule type="expression" dxfId="5" priority="5">
      <formula>MOD(ROW(),2)=0</formula>
    </cfRule>
  </conditionalFormatting>
  <conditionalFormatting sqref="A161:M200">
    <cfRule type="expression" dxfId="4" priority="28" stopIfTrue="1">
      <formula>LEFT($M161,1)="⚠"</formula>
    </cfRule>
    <cfRule type="expression" dxfId="3" priority="29" stopIfTrue="1">
      <formula>$D161="Installed"</formula>
    </cfRule>
    <cfRule type="expression" dxfId="2" priority="30" stopIfTrue="1">
      <formula>$D161="Not Ready"</formula>
    </cfRule>
    <cfRule type="expression" dxfId="1" priority="31" stopIfTrue="1">
      <formula>$D161="Ready"</formula>
    </cfRule>
    <cfRule type="expression" dxfId="0" priority="32">
      <formula>MOD(ROW(),2)=0</formula>
    </cfRule>
  </conditionalFormatting>
  <dataValidations count="7">
    <dataValidation type="list" allowBlank="1" showErrorMessage="1" errorTitle="Not on the list" error="Please pick a value from the dropdown list." sqref="D5:D159 D161:D200" xr:uid="{00000000-0002-0000-0400-000000000000}">
      <formula1>EquipStatusList</formula1>
      <formula2>0</formula2>
    </dataValidation>
    <dataValidation type="list" allowBlank="1" showErrorMessage="1" errorTitle="Not on the list" error="Please pick a value from the dropdown list." sqref="F5:F159 F161:F200" xr:uid="{00000000-0002-0000-0400-000001000000}">
      <formula1>TechList</formula1>
      <formula2>0</formula2>
    </dataValidation>
    <dataValidation type="list" allowBlank="1" showErrorMessage="1" errorTitle="Not on the list" error="Please pick a value from the dropdown list." sqref="H5:H159 H161:H200" xr:uid="{00000000-0002-0000-0400-000002000000}">
      <formula1>RequirementsList</formula1>
      <formula2>0</formula2>
    </dataValidation>
    <dataValidation type="list" allowBlank="1" showErrorMessage="1" errorTitle="Not on the list" error="Please pick a value from the dropdown list." sqref="J5:J159 J161:J200" xr:uid="{00000000-0002-0000-0400-000003000000}">
      <formula1>RepList</formula1>
      <formula2>0</formula2>
    </dataValidation>
    <dataValidation type="list" allowBlank="1" showErrorMessage="1" errorTitle="Not on the list" error="Please pick a value from the dropdown list." sqref="K5:K159 K161:K200" xr:uid="{00000000-0002-0000-0400-000004000000}">
      <formula1>PaymentStatusList</formula1>
      <formula2>0</formula2>
    </dataValidation>
    <dataValidation type="date" allowBlank="1" showInputMessage="1" showErrorMessage="1" errorTitle="Dates only" error="This cell only accepts a real calendar date (e.g. 7/27/2026)._x000a__x000a_If you only know the week, enter the Monday of that week and put the detail in Notes." promptTitle="Date Received" prompt="Enter a calendar date, e.g. 7/27/2026._x000a_Type the date or use Ctrl+; for today._x000a_Text like &quot;week of 7/27&quot; is not accepted — it cannot be scheduled." sqref="A5:A159" xr:uid="{00000000-0002-0000-0400-000005000000}">
      <formula1>DATE(2020,1,1)</formula1>
      <formula2>DATE(2035,12,31)</formula2>
    </dataValidation>
    <dataValidation type="date" allowBlank="1" showInputMessage="1" showErrorMessage="1" errorTitle="Dates only" error="This cell only accepts a real calendar date (e.g. 7/27/2026)._x000a__x000a_If you only know the week, enter the Monday of that week and put the detail in Notes." promptTitle="Install Date" prompt="Enter a calendar date, e.g. 7/27/2026._x000a_Type the date or use Ctrl+; for today._x000a_Text like &quot;week of 7/27&quot; is not accepted — it cannot be scheduled." sqref="E5:E159" xr:uid="{00000000-0002-0000-0400-000006000000}">
      <formula1>DATE(2020,1,1)</formula1>
      <formula2>DATE(2035,12,31)</formula2>
    </dataValidation>
  </dataValidations>
  <hyperlinks>
    <hyperlink ref="C1" location="'Install Clock'!A1" display="⏱  Open the Install Clock  →" xr:uid="{00000000-0004-0000-0400-000000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1"/>
  <sheetViews>
    <sheetView zoomScaleNormal="100" workbookViewId="0"/>
  </sheetViews>
  <sheetFormatPr defaultColWidth="8.5703125" defaultRowHeight="15" x14ac:dyDescent="0.25"/>
  <cols>
    <col min="1" max="9" width="20" customWidth="1"/>
    <col min="12" max="12" width="16" customWidth="1"/>
    <col min="13" max="13" width="20" customWidth="1"/>
    <col min="14" max="14" width="28" customWidth="1"/>
    <col min="15" max="15" width="14" customWidth="1"/>
    <col min="16" max="16" width="34" customWidth="1"/>
    <col min="17" max="17" width="14" customWidth="1"/>
    <col min="18" max="18" width="38" customWidth="1"/>
    <col min="19" max="19" width="12" customWidth="1"/>
    <col min="20" max="20" width="16" customWidth="1"/>
    <col min="21" max="21" width="14" customWidth="1"/>
    <col min="22" max="22" width="8" customWidth="1"/>
    <col min="23" max="23" width="20" customWidth="1"/>
  </cols>
  <sheetData>
    <row r="1" spans="1:23" ht="15" customHeight="1" x14ac:dyDescent="0.25">
      <c r="A1" s="59" t="s">
        <v>413</v>
      </c>
      <c r="B1" s="59" t="s">
        <v>414</v>
      </c>
      <c r="C1" s="59" t="s">
        <v>415</v>
      </c>
      <c r="D1" s="59" t="s">
        <v>416</v>
      </c>
      <c r="E1" s="59" t="s">
        <v>221</v>
      </c>
      <c r="F1" s="59" t="s">
        <v>417</v>
      </c>
      <c r="G1" s="59" t="s">
        <v>418</v>
      </c>
      <c r="H1" s="59" t="s">
        <v>419</v>
      </c>
      <c r="I1" s="59" t="s">
        <v>420</v>
      </c>
      <c r="J1" s="59" t="s">
        <v>421</v>
      </c>
      <c r="K1" s="60" t="s">
        <v>422</v>
      </c>
      <c r="L1" s="59" t="s">
        <v>423</v>
      </c>
      <c r="M1" s="59" t="s">
        <v>424</v>
      </c>
      <c r="N1" s="59" t="s">
        <v>425</v>
      </c>
      <c r="O1" s="59" t="s">
        <v>426</v>
      </c>
      <c r="P1" s="59" t="s">
        <v>237</v>
      </c>
      <c r="Q1" s="4" t="s">
        <v>427</v>
      </c>
      <c r="R1" s="4" t="s">
        <v>107</v>
      </c>
      <c r="S1" s="4" t="s">
        <v>428</v>
      </c>
      <c r="T1" s="4" t="s">
        <v>117</v>
      </c>
      <c r="U1" s="4" t="s">
        <v>429</v>
      </c>
      <c r="V1" s="4" t="s">
        <v>430</v>
      </c>
      <c r="W1" s="4" t="s">
        <v>235</v>
      </c>
    </row>
    <row r="2" spans="1:23" ht="15" customHeight="1" x14ac:dyDescent="0.25">
      <c r="A2" s="8" t="s">
        <v>242</v>
      </c>
      <c r="B2" s="61" t="s">
        <v>431</v>
      </c>
      <c r="C2" s="61" t="s">
        <v>432</v>
      </c>
      <c r="D2" s="61" t="s">
        <v>433</v>
      </c>
      <c r="E2" s="61" t="s">
        <v>244</v>
      </c>
      <c r="F2" s="61" t="s">
        <v>434</v>
      </c>
      <c r="G2" s="61" t="s">
        <v>435</v>
      </c>
      <c r="H2" s="61" t="s">
        <v>436</v>
      </c>
      <c r="I2" s="61" t="s">
        <v>246</v>
      </c>
      <c r="J2" s="61" t="s">
        <v>130</v>
      </c>
      <c r="L2" s="61" t="s">
        <v>437</v>
      </c>
      <c r="M2" s="61" t="s">
        <v>438</v>
      </c>
      <c r="N2" s="61" t="s">
        <v>439</v>
      </c>
      <c r="O2" s="61" t="s">
        <v>281</v>
      </c>
      <c r="P2" s="61" t="s">
        <v>278</v>
      </c>
      <c r="Q2" s="8" t="s">
        <v>265</v>
      </c>
      <c r="R2" s="8" t="s">
        <v>138</v>
      </c>
      <c r="S2" s="8" t="s">
        <v>130</v>
      </c>
      <c r="T2" s="8" t="s">
        <v>135</v>
      </c>
      <c r="U2" s="8" t="s">
        <v>265</v>
      </c>
      <c r="V2" s="8" t="s">
        <v>356</v>
      </c>
      <c r="W2" s="8" t="s">
        <v>244</v>
      </c>
    </row>
    <row r="3" spans="1:23" ht="15" customHeight="1" x14ac:dyDescent="0.25">
      <c r="A3" s="8" t="s">
        <v>255</v>
      </c>
      <c r="B3" s="61" t="s">
        <v>440</v>
      </c>
      <c r="C3" s="61" t="s">
        <v>441</v>
      </c>
      <c r="D3" s="61" t="s">
        <v>442</v>
      </c>
      <c r="E3" s="61" t="s">
        <v>381</v>
      </c>
      <c r="F3" s="61" t="s">
        <v>443</v>
      </c>
      <c r="G3" s="61" t="s">
        <v>444</v>
      </c>
      <c r="H3" s="61" t="s">
        <v>445</v>
      </c>
      <c r="I3" s="61" t="s">
        <v>251</v>
      </c>
      <c r="L3" s="61" t="s">
        <v>446</v>
      </c>
      <c r="M3" s="61" t="s">
        <v>447</v>
      </c>
      <c r="N3" s="61" t="s">
        <v>448</v>
      </c>
      <c r="O3" s="61" t="s">
        <v>273</v>
      </c>
      <c r="P3" s="61" t="s">
        <v>132</v>
      </c>
      <c r="Q3" s="8" t="s">
        <v>187</v>
      </c>
      <c r="R3" s="8" t="s">
        <v>155</v>
      </c>
      <c r="S3" s="8" t="s">
        <v>176</v>
      </c>
      <c r="T3" s="8" t="s">
        <v>449</v>
      </c>
      <c r="U3" s="8" t="s">
        <v>187</v>
      </c>
      <c r="V3" s="8" t="s">
        <v>251</v>
      </c>
      <c r="W3" s="8" t="s">
        <v>381</v>
      </c>
    </row>
    <row r="4" spans="1:23" ht="15" customHeight="1" x14ac:dyDescent="0.25">
      <c r="A4" s="8" t="s">
        <v>366</v>
      </c>
      <c r="B4" s="61" t="s">
        <v>450</v>
      </c>
      <c r="C4" s="61" t="s">
        <v>451</v>
      </c>
      <c r="E4" s="61" t="s">
        <v>137</v>
      </c>
      <c r="F4" s="61" t="s">
        <v>452</v>
      </c>
      <c r="G4" s="61" t="s">
        <v>453</v>
      </c>
      <c r="H4" s="61" t="s">
        <v>454</v>
      </c>
      <c r="I4" s="61" t="s">
        <v>262</v>
      </c>
      <c r="L4" s="61" t="s">
        <v>335</v>
      </c>
      <c r="M4" s="61" t="s">
        <v>455</v>
      </c>
      <c r="N4" s="61" t="s">
        <v>456</v>
      </c>
      <c r="O4" s="61" t="s">
        <v>255</v>
      </c>
      <c r="P4" s="61" t="s">
        <v>164</v>
      </c>
      <c r="Q4" s="8" t="s">
        <v>175</v>
      </c>
      <c r="R4" s="8" t="s">
        <v>164</v>
      </c>
      <c r="S4" s="8"/>
      <c r="T4" s="8"/>
      <c r="U4" s="8" t="s">
        <v>175</v>
      </c>
      <c r="V4" s="8" t="s">
        <v>369</v>
      </c>
    </row>
    <row r="5" spans="1:23" ht="15" customHeight="1" x14ac:dyDescent="0.25">
      <c r="A5" s="8" t="s">
        <v>273</v>
      </c>
      <c r="B5" s="61" t="s">
        <v>448</v>
      </c>
      <c r="F5" s="61" t="s">
        <v>457</v>
      </c>
      <c r="G5" s="61" t="s">
        <v>458</v>
      </c>
      <c r="H5" s="61" t="s">
        <v>459</v>
      </c>
      <c r="I5" s="61" t="s">
        <v>291</v>
      </c>
      <c r="M5" s="61" t="s">
        <v>460</v>
      </c>
      <c r="N5" s="61" t="s">
        <v>244</v>
      </c>
      <c r="O5" s="61" t="s">
        <v>242</v>
      </c>
      <c r="P5" s="61" t="s">
        <v>247</v>
      </c>
      <c r="Q5" s="8" t="s">
        <v>184</v>
      </c>
      <c r="R5" s="8" t="s">
        <v>132</v>
      </c>
      <c r="S5" s="8"/>
      <c r="T5" s="8"/>
      <c r="U5" s="8" t="s">
        <v>184</v>
      </c>
      <c r="V5" s="8" t="s">
        <v>287</v>
      </c>
    </row>
    <row r="6" spans="1:23" ht="15" customHeight="1" x14ac:dyDescent="0.25">
      <c r="A6" s="8" t="s">
        <v>281</v>
      </c>
      <c r="B6" s="61" t="s">
        <v>461</v>
      </c>
      <c r="F6" s="61"/>
      <c r="G6" s="61" t="s">
        <v>462</v>
      </c>
      <c r="H6" s="61" t="s">
        <v>448</v>
      </c>
      <c r="I6" s="61" t="s">
        <v>287</v>
      </c>
      <c r="M6" s="61" t="s">
        <v>463</v>
      </c>
      <c r="N6" s="61" t="s">
        <v>464</v>
      </c>
      <c r="O6" s="61" t="s">
        <v>366</v>
      </c>
      <c r="P6" s="61" t="s">
        <v>138</v>
      </c>
      <c r="Q6" s="8" t="s">
        <v>140</v>
      </c>
      <c r="R6" s="8"/>
      <c r="S6" s="8"/>
      <c r="T6" s="8"/>
      <c r="U6" s="8" t="s">
        <v>140</v>
      </c>
      <c r="V6" s="8" t="s">
        <v>262</v>
      </c>
    </row>
    <row r="7" spans="1:23" ht="15" customHeight="1" x14ac:dyDescent="0.25">
      <c r="A7" s="8" t="s">
        <v>265</v>
      </c>
      <c r="B7" s="61" t="s">
        <v>465</v>
      </c>
      <c r="F7" s="61"/>
      <c r="H7" s="61" t="s">
        <v>461</v>
      </c>
      <c r="I7" s="61" t="s">
        <v>369</v>
      </c>
      <c r="M7" s="61" t="s">
        <v>466</v>
      </c>
      <c r="N7" s="61" t="s">
        <v>467</v>
      </c>
      <c r="O7" s="61" t="s">
        <v>265</v>
      </c>
      <c r="Q7" s="8" t="s">
        <v>128</v>
      </c>
      <c r="R7" s="8"/>
      <c r="S7" s="8"/>
      <c r="T7" s="8"/>
      <c r="U7" s="8" t="s">
        <v>128</v>
      </c>
      <c r="V7" s="8" t="s">
        <v>246</v>
      </c>
    </row>
    <row r="8" spans="1:23" ht="15" customHeight="1" x14ac:dyDescent="0.25">
      <c r="A8" s="8" t="s">
        <v>187</v>
      </c>
      <c r="B8" s="61" t="s">
        <v>468</v>
      </c>
      <c r="H8" s="61" t="s">
        <v>468</v>
      </c>
      <c r="I8" s="61" t="s">
        <v>469</v>
      </c>
      <c r="M8" s="61" t="s">
        <v>470</v>
      </c>
      <c r="N8" s="61" t="s">
        <v>471</v>
      </c>
      <c r="O8" s="61" t="s">
        <v>187</v>
      </c>
      <c r="Q8" s="8" t="s">
        <v>472</v>
      </c>
      <c r="R8" s="8"/>
      <c r="S8" s="8"/>
      <c r="T8" s="8"/>
      <c r="U8" s="8" t="s">
        <v>472</v>
      </c>
      <c r="V8" s="8" t="s">
        <v>291</v>
      </c>
    </row>
    <row r="9" spans="1:23" ht="15" customHeight="1" x14ac:dyDescent="0.25">
      <c r="A9" s="8" t="s">
        <v>383</v>
      </c>
      <c r="I9" s="8" t="s">
        <v>356</v>
      </c>
      <c r="M9" s="61" t="s">
        <v>473</v>
      </c>
      <c r="N9" s="61" t="s">
        <v>474</v>
      </c>
      <c r="Q9" s="8"/>
      <c r="R9" s="8"/>
      <c r="S9" s="8"/>
      <c r="T9" s="8"/>
      <c r="U9" s="8"/>
      <c r="V9" s="8"/>
    </row>
    <row r="10" spans="1:23" ht="15" customHeight="1" x14ac:dyDescent="0.25">
      <c r="M10" s="61" t="s">
        <v>475</v>
      </c>
      <c r="Q10" s="8"/>
      <c r="R10" s="8"/>
      <c r="S10" s="8"/>
    </row>
    <row r="11" spans="1:23" ht="15" customHeight="1" x14ac:dyDescent="0.25">
      <c r="M11" s="61" t="s">
        <v>476</v>
      </c>
      <c r="Q11" s="8"/>
      <c r="R11" s="8"/>
      <c r="S11" s="8"/>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23</vt:i4>
      </vt:variant>
    </vt:vector>
  </HeadingPairs>
  <TitlesOfParts>
    <vt:vector size="29" baseType="lpstr">
      <vt:lpstr>SOP</vt:lpstr>
      <vt:lpstr>Dashboard</vt:lpstr>
      <vt:lpstr>Projected Sales or Lease</vt:lpstr>
      <vt:lpstr>Install Clock</vt:lpstr>
      <vt:lpstr>Installs</vt:lpstr>
      <vt:lpstr>Lists</vt:lpstr>
      <vt:lpstr>AccountTypeList</vt:lpstr>
      <vt:lpstr>CallStatusList</vt:lpstr>
      <vt:lpstr>CallTypeList</vt:lpstr>
      <vt:lpstr>CheckNo</vt:lpstr>
      <vt:lpstr>CheckYes</vt:lpstr>
      <vt:lpstr>CompletionList</vt:lpstr>
      <vt:lpstr>EquipStatusList</vt:lpstr>
      <vt:lpstr>InstWeek2End</vt:lpstr>
      <vt:lpstr>InstWeekEnd</vt:lpstr>
      <vt:lpstr>InstWeekStart</vt:lpstr>
      <vt:lpstr>InternalTechList</vt:lpstr>
      <vt:lpstr>ModulePlatformList</vt:lpstr>
      <vt:lpstr>ModuleStatusList</vt:lpstr>
      <vt:lpstr>ModuleTypeList</vt:lpstr>
      <vt:lpstr>PartsStatusList</vt:lpstr>
      <vt:lpstr>PaymentStatusList</vt:lpstr>
      <vt:lpstr>PaymentTermsList</vt:lpstr>
      <vt:lpstr>PMStatusList</vt:lpstr>
      <vt:lpstr>PMStyleList</vt:lpstr>
      <vt:lpstr>RepList</vt:lpstr>
      <vt:lpstr>RequirementsList</vt:lpstr>
      <vt:lpstr>TechList</vt:lpstr>
      <vt:lpstr>YesNoList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Jesus Garcia</dc:creator>
  <cp:keywords/>
  <dc:description/>
  <cp:lastModifiedBy>Jesus - Katz Coffee</cp:lastModifiedBy>
  <cp:revision>0</cp:revision>
  <dcterms:created xsi:type="dcterms:W3CDTF">2026-04-24T14:58:16Z</dcterms:created>
  <dcterms:modified xsi:type="dcterms:W3CDTF">2026-08-20T13:16:53Z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0x01010068EF825750BB7D43B0EB22E7E55697FA</vt:lpwstr>
  </property>
</Properties>
</file>