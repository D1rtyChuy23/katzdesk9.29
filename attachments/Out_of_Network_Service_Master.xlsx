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atzco-my.sharepoint.com/personal/jesus_katzcoffee_com/Documents/Documents/"/>
    </mc:Choice>
  </mc:AlternateContent>
  <xr:revisionPtr revIDLastSave="251" documentId="13_ncr:1_{C46316DC-B32F-4751-B31F-95A7B90348BB}" xr6:coauthVersionLast="47" xr6:coauthVersionMax="47" xr10:uidLastSave="{ED30C981-75B8-41A6-9006-EC6CDE45FB2F}"/>
  <bookViews>
    <workbookView xWindow="-120" yWindow="-120" windowWidth="29040" windowHeight="15720" tabRatio="500" activeTab="2" xr2:uid="{00000000-000D-0000-FFFF-FFFF00000000}"/>
  </bookViews>
  <sheets>
    <sheet name="Dashboard" sheetId="1" r:id="rId1"/>
    <sheet name="Service_Providers" sheetId="2" r:id="rId2"/>
    <sheet name="Accounts" sheetId="3" r:id="rId3"/>
    <sheet name="How_To_Update" sheetId="4" r:id="rId4"/>
  </sheets>
  <definedNames>
    <definedName name="_xlnm._FilterDatabase" localSheetId="2" hidden="1">Accounts!$A$1:$P$299</definedName>
    <definedName name="_xlnm._FilterDatabase" localSheetId="1" hidden="1">Service_Providers!$A$1:$Q$42</definedName>
    <definedName name="ProviderList">OFFSET(Service_Providers!$A$2,0,0,MAX(1,COUNTA(Service_Providers!$A$2:$A$104)),1)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99" i="3" l="1"/>
  <c r="L299" i="3"/>
  <c r="N298" i="3"/>
  <c r="L298" i="3"/>
  <c r="N297" i="3"/>
  <c r="L297" i="3"/>
  <c r="N296" i="3"/>
  <c r="L296" i="3"/>
  <c r="N295" i="3"/>
  <c r="L295" i="3"/>
  <c r="N294" i="3"/>
  <c r="L294" i="3"/>
  <c r="N293" i="3"/>
  <c r="L293" i="3"/>
  <c r="N292" i="3"/>
  <c r="L292" i="3"/>
  <c r="N291" i="3"/>
  <c r="L291" i="3"/>
  <c r="N290" i="3"/>
  <c r="L290" i="3"/>
  <c r="N289" i="3"/>
  <c r="L289" i="3"/>
  <c r="N288" i="3"/>
  <c r="L288" i="3"/>
  <c r="N287" i="3"/>
  <c r="L287" i="3"/>
  <c r="N286" i="3"/>
  <c r="L286" i="3"/>
  <c r="N285" i="3"/>
  <c r="L285" i="3"/>
  <c r="N284" i="3"/>
  <c r="L284" i="3"/>
  <c r="N283" i="3"/>
  <c r="L283" i="3"/>
  <c r="N282" i="3"/>
  <c r="L282" i="3"/>
  <c r="N281" i="3"/>
  <c r="L281" i="3"/>
  <c r="N280" i="3"/>
  <c r="L280" i="3"/>
  <c r="N279" i="3"/>
  <c r="L279" i="3"/>
  <c r="N278" i="3"/>
  <c r="L278" i="3"/>
  <c r="N277" i="3"/>
  <c r="L277" i="3"/>
  <c r="N276" i="3"/>
  <c r="L276" i="3"/>
  <c r="N275" i="3"/>
  <c r="L275" i="3"/>
  <c r="N274" i="3"/>
  <c r="L274" i="3"/>
  <c r="N273" i="3"/>
  <c r="L273" i="3"/>
  <c r="N272" i="3"/>
  <c r="L272" i="3"/>
  <c r="N271" i="3"/>
  <c r="L271" i="3"/>
  <c r="N270" i="3"/>
  <c r="L270" i="3"/>
  <c r="N269" i="3"/>
  <c r="L269" i="3"/>
  <c r="N268" i="3"/>
  <c r="L268" i="3"/>
  <c r="N267" i="3"/>
  <c r="L267" i="3"/>
  <c r="N266" i="3"/>
  <c r="L266" i="3"/>
  <c r="N265" i="3"/>
  <c r="L265" i="3"/>
  <c r="N264" i="3"/>
  <c r="L264" i="3"/>
  <c r="N263" i="3"/>
  <c r="L263" i="3"/>
  <c r="N262" i="3"/>
  <c r="L262" i="3"/>
  <c r="N261" i="3"/>
  <c r="L261" i="3"/>
  <c r="N260" i="3"/>
  <c r="L260" i="3"/>
  <c r="N259" i="3"/>
  <c r="L259" i="3"/>
  <c r="N258" i="3"/>
  <c r="L258" i="3"/>
  <c r="N257" i="3"/>
  <c r="L257" i="3"/>
  <c r="N256" i="3"/>
  <c r="L256" i="3"/>
  <c r="N255" i="3"/>
  <c r="L255" i="3"/>
  <c r="N254" i="3"/>
  <c r="L254" i="3"/>
  <c r="N253" i="3"/>
  <c r="L253" i="3"/>
  <c r="N252" i="3"/>
  <c r="L252" i="3"/>
  <c r="N251" i="3"/>
  <c r="L251" i="3"/>
  <c r="N250" i="3"/>
  <c r="L250" i="3"/>
  <c r="N249" i="3"/>
  <c r="L249" i="3"/>
  <c r="N248" i="3"/>
  <c r="L248" i="3"/>
  <c r="N247" i="3"/>
  <c r="L247" i="3"/>
  <c r="N246" i="3"/>
  <c r="L246" i="3"/>
  <c r="N245" i="3"/>
  <c r="L245" i="3"/>
  <c r="N244" i="3"/>
  <c r="L244" i="3"/>
  <c r="N243" i="3"/>
  <c r="L243" i="3"/>
  <c r="N242" i="3"/>
  <c r="L242" i="3"/>
  <c r="N241" i="3"/>
  <c r="L241" i="3"/>
  <c r="N240" i="3"/>
  <c r="L240" i="3"/>
  <c r="N239" i="3"/>
  <c r="L239" i="3"/>
  <c r="N238" i="3"/>
  <c r="L238" i="3"/>
  <c r="N237" i="3"/>
  <c r="L237" i="3"/>
  <c r="N236" i="3"/>
  <c r="L236" i="3"/>
  <c r="N235" i="3"/>
  <c r="L235" i="3"/>
  <c r="N234" i="3"/>
  <c r="L234" i="3"/>
  <c r="N233" i="3"/>
  <c r="L233" i="3"/>
  <c r="N232" i="3"/>
  <c r="L232" i="3"/>
  <c r="N231" i="3"/>
  <c r="L231" i="3"/>
  <c r="N230" i="3"/>
  <c r="L230" i="3"/>
  <c r="N229" i="3"/>
  <c r="L229" i="3"/>
  <c r="N228" i="3"/>
  <c r="L228" i="3"/>
  <c r="N227" i="3"/>
  <c r="L227" i="3"/>
  <c r="N226" i="3"/>
  <c r="L226" i="3"/>
  <c r="N225" i="3"/>
  <c r="L225" i="3"/>
  <c r="N224" i="3"/>
  <c r="L224" i="3"/>
  <c r="N223" i="3"/>
  <c r="L223" i="3"/>
  <c r="N222" i="3"/>
  <c r="L222" i="3"/>
  <c r="N221" i="3"/>
  <c r="L221" i="3"/>
  <c r="N220" i="3"/>
  <c r="L220" i="3"/>
  <c r="N219" i="3"/>
  <c r="L219" i="3"/>
  <c r="N218" i="3"/>
  <c r="L218" i="3"/>
  <c r="N217" i="3"/>
  <c r="L217" i="3"/>
  <c r="N216" i="3"/>
  <c r="L216" i="3"/>
  <c r="N215" i="3"/>
  <c r="L215" i="3"/>
  <c r="N214" i="3"/>
  <c r="L214" i="3"/>
  <c r="N213" i="3"/>
  <c r="L213" i="3"/>
  <c r="N212" i="3"/>
  <c r="L212" i="3"/>
  <c r="N211" i="3"/>
  <c r="L211" i="3"/>
  <c r="N210" i="3"/>
  <c r="L210" i="3"/>
  <c r="N209" i="3"/>
  <c r="L209" i="3"/>
  <c r="N208" i="3"/>
  <c r="L208" i="3"/>
  <c r="N207" i="3"/>
  <c r="L207" i="3"/>
  <c r="N206" i="3"/>
  <c r="L206" i="3"/>
  <c r="N205" i="3"/>
  <c r="L205" i="3"/>
  <c r="N204" i="3"/>
  <c r="L204" i="3"/>
  <c r="N203" i="3"/>
  <c r="L203" i="3"/>
  <c r="N202" i="3"/>
  <c r="L202" i="3"/>
  <c r="N201" i="3"/>
  <c r="L201" i="3"/>
  <c r="N200" i="3"/>
  <c r="L200" i="3"/>
  <c r="N199" i="3"/>
  <c r="L199" i="3"/>
  <c r="N198" i="3"/>
  <c r="L198" i="3"/>
  <c r="N197" i="3"/>
  <c r="L197" i="3"/>
  <c r="N196" i="3"/>
  <c r="L196" i="3"/>
  <c r="N195" i="3"/>
  <c r="L195" i="3"/>
  <c r="N194" i="3"/>
  <c r="L194" i="3"/>
  <c r="N193" i="3"/>
  <c r="L193" i="3"/>
  <c r="N192" i="3"/>
  <c r="L192" i="3"/>
  <c r="N191" i="3"/>
  <c r="L191" i="3"/>
  <c r="N190" i="3"/>
  <c r="L190" i="3"/>
  <c r="N189" i="3"/>
  <c r="L189" i="3"/>
  <c r="N188" i="3"/>
  <c r="L188" i="3"/>
  <c r="N187" i="3"/>
  <c r="L187" i="3"/>
  <c r="N186" i="3"/>
  <c r="L186" i="3"/>
  <c r="N185" i="3"/>
  <c r="L185" i="3"/>
  <c r="N184" i="3"/>
  <c r="L184" i="3"/>
  <c r="N183" i="3"/>
  <c r="L183" i="3"/>
  <c r="N182" i="3"/>
  <c r="L182" i="3"/>
  <c r="N181" i="3"/>
  <c r="L181" i="3"/>
  <c r="N180" i="3"/>
  <c r="L180" i="3"/>
  <c r="N179" i="3"/>
  <c r="L179" i="3"/>
  <c r="N178" i="3"/>
  <c r="L178" i="3"/>
  <c r="N177" i="3"/>
  <c r="L177" i="3"/>
  <c r="N176" i="3"/>
  <c r="L176" i="3"/>
  <c r="N175" i="3"/>
  <c r="L175" i="3"/>
  <c r="N174" i="3"/>
  <c r="L174" i="3"/>
  <c r="N173" i="3"/>
  <c r="L173" i="3"/>
  <c r="N172" i="3"/>
  <c r="L172" i="3"/>
  <c r="N171" i="3"/>
  <c r="L171" i="3"/>
  <c r="N170" i="3"/>
  <c r="L170" i="3"/>
  <c r="N169" i="3"/>
  <c r="L169" i="3"/>
  <c r="N168" i="3"/>
  <c r="L168" i="3"/>
  <c r="N167" i="3"/>
  <c r="L167" i="3"/>
  <c r="N166" i="3"/>
  <c r="L166" i="3"/>
  <c r="N165" i="3"/>
  <c r="L165" i="3"/>
  <c r="N164" i="3"/>
  <c r="L164" i="3"/>
  <c r="N163" i="3"/>
  <c r="L163" i="3"/>
  <c r="N162" i="3"/>
  <c r="L162" i="3"/>
  <c r="N161" i="3"/>
  <c r="L161" i="3"/>
  <c r="N160" i="3"/>
  <c r="L160" i="3"/>
  <c r="N159" i="3"/>
  <c r="L159" i="3"/>
  <c r="N158" i="3"/>
  <c r="L158" i="3"/>
  <c r="N157" i="3"/>
  <c r="L157" i="3"/>
  <c r="N156" i="3"/>
  <c r="L156" i="3"/>
  <c r="N155" i="3"/>
  <c r="L155" i="3"/>
  <c r="N154" i="3"/>
  <c r="L154" i="3"/>
  <c r="N153" i="3"/>
  <c r="L153" i="3"/>
  <c r="N152" i="3"/>
  <c r="L152" i="3"/>
  <c r="N151" i="3"/>
  <c r="L151" i="3"/>
  <c r="N150" i="3"/>
  <c r="L150" i="3"/>
  <c r="N149" i="3"/>
  <c r="L149" i="3"/>
  <c r="N148" i="3"/>
  <c r="L148" i="3"/>
  <c r="N147" i="3"/>
  <c r="L147" i="3"/>
  <c r="N146" i="3"/>
  <c r="L146" i="3"/>
  <c r="N145" i="3"/>
  <c r="L145" i="3"/>
  <c r="N144" i="3"/>
  <c r="L144" i="3"/>
  <c r="N143" i="3"/>
  <c r="L143" i="3"/>
  <c r="N142" i="3"/>
  <c r="L142" i="3"/>
  <c r="N141" i="3"/>
  <c r="L141" i="3"/>
  <c r="N140" i="3"/>
  <c r="L140" i="3"/>
  <c r="N139" i="3"/>
  <c r="L139" i="3"/>
  <c r="N138" i="3"/>
  <c r="L138" i="3"/>
  <c r="N137" i="3"/>
  <c r="L137" i="3"/>
  <c r="N136" i="3"/>
  <c r="L136" i="3"/>
  <c r="N135" i="3"/>
  <c r="L135" i="3"/>
  <c r="N134" i="3"/>
  <c r="L134" i="3"/>
  <c r="N133" i="3"/>
  <c r="L133" i="3"/>
  <c r="N132" i="3"/>
  <c r="L132" i="3"/>
  <c r="N131" i="3"/>
  <c r="L131" i="3"/>
  <c r="N130" i="3"/>
  <c r="L130" i="3"/>
  <c r="N129" i="3"/>
  <c r="L129" i="3"/>
  <c r="N128" i="3"/>
  <c r="L128" i="3"/>
  <c r="N127" i="3"/>
  <c r="L127" i="3"/>
  <c r="N126" i="3"/>
  <c r="L126" i="3"/>
  <c r="N125" i="3"/>
  <c r="L125" i="3"/>
  <c r="N124" i="3"/>
  <c r="L124" i="3"/>
  <c r="N123" i="3"/>
  <c r="L123" i="3"/>
  <c r="N122" i="3"/>
  <c r="L122" i="3"/>
  <c r="N121" i="3"/>
  <c r="L121" i="3"/>
  <c r="N120" i="3"/>
  <c r="L120" i="3"/>
  <c r="N119" i="3"/>
  <c r="L119" i="3"/>
  <c r="N118" i="3"/>
  <c r="L118" i="3"/>
  <c r="N117" i="3"/>
  <c r="L117" i="3"/>
  <c r="N116" i="3"/>
  <c r="L116" i="3"/>
  <c r="N115" i="3"/>
  <c r="L115" i="3"/>
  <c r="N114" i="3"/>
  <c r="L114" i="3"/>
  <c r="N113" i="3"/>
  <c r="L113" i="3"/>
  <c r="N112" i="3"/>
  <c r="L112" i="3"/>
  <c r="N111" i="3"/>
  <c r="L111" i="3"/>
  <c r="N110" i="3"/>
  <c r="L110" i="3"/>
  <c r="N109" i="3"/>
  <c r="L109" i="3"/>
  <c r="N108" i="3"/>
  <c r="L108" i="3"/>
  <c r="N107" i="3"/>
  <c r="L107" i="3"/>
  <c r="N106" i="3"/>
  <c r="L106" i="3"/>
  <c r="N105" i="3"/>
  <c r="L105" i="3"/>
  <c r="N104" i="3"/>
  <c r="L104" i="3"/>
  <c r="N103" i="3"/>
  <c r="L103" i="3"/>
  <c r="N102" i="3"/>
  <c r="L102" i="3"/>
  <c r="N101" i="3"/>
  <c r="L101" i="3"/>
  <c r="N100" i="3"/>
  <c r="L100" i="3"/>
  <c r="N99" i="3"/>
  <c r="L99" i="3"/>
  <c r="N98" i="3"/>
  <c r="L98" i="3"/>
  <c r="N97" i="3"/>
  <c r="L97" i="3"/>
  <c r="N96" i="3"/>
  <c r="L96" i="3"/>
  <c r="N95" i="3"/>
  <c r="L95" i="3"/>
  <c r="N94" i="3"/>
  <c r="L94" i="3"/>
  <c r="N93" i="3"/>
  <c r="L93" i="3"/>
  <c r="N92" i="3"/>
  <c r="L92" i="3"/>
  <c r="N91" i="3"/>
  <c r="L91" i="3"/>
  <c r="N90" i="3"/>
  <c r="L90" i="3"/>
  <c r="N89" i="3"/>
  <c r="L89" i="3"/>
  <c r="N88" i="3"/>
  <c r="L88" i="3"/>
  <c r="N87" i="3"/>
  <c r="L87" i="3"/>
  <c r="N86" i="3"/>
  <c r="L86" i="3"/>
  <c r="N85" i="3"/>
  <c r="L85" i="3"/>
  <c r="N84" i="3"/>
  <c r="L84" i="3"/>
  <c r="N83" i="3"/>
  <c r="L83" i="3"/>
  <c r="N82" i="3"/>
  <c r="L82" i="3"/>
  <c r="N81" i="3"/>
  <c r="L81" i="3"/>
  <c r="N80" i="3"/>
  <c r="L80" i="3"/>
  <c r="N79" i="3"/>
  <c r="L79" i="3"/>
  <c r="N78" i="3"/>
  <c r="L78" i="3"/>
  <c r="N77" i="3"/>
  <c r="L77" i="3"/>
  <c r="N76" i="3"/>
  <c r="L76" i="3"/>
  <c r="N75" i="3"/>
  <c r="L75" i="3"/>
  <c r="N74" i="3"/>
  <c r="L74" i="3"/>
  <c r="N73" i="3"/>
  <c r="L73" i="3"/>
  <c r="N72" i="3"/>
  <c r="L72" i="3"/>
  <c r="N71" i="3"/>
  <c r="L71" i="3"/>
  <c r="N70" i="3"/>
  <c r="L70" i="3"/>
  <c r="N69" i="3"/>
  <c r="L69" i="3"/>
  <c r="N68" i="3"/>
  <c r="L68" i="3"/>
  <c r="N67" i="3"/>
  <c r="L67" i="3"/>
  <c r="N66" i="3"/>
  <c r="L66" i="3"/>
  <c r="N65" i="3"/>
  <c r="L65" i="3"/>
  <c r="N64" i="3"/>
  <c r="L64" i="3"/>
  <c r="N63" i="3"/>
  <c r="L63" i="3"/>
  <c r="N62" i="3"/>
  <c r="L62" i="3"/>
  <c r="N61" i="3"/>
  <c r="L61" i="3"/>
  <c r="N60" i="3"/>
  <c r="L60" i="3"/>
  <c r="N59" i="3"/>
  <c r="L59" i="3"/>
  <c r="N58" i="3"/>
  <c r="L58" i="3"/>
  <c r="N57" i="3"/>
  <c r="L57" i="3"/>
  <c r="N56" i="3"/>
  <c r="L56" i="3"/>
  <c r="N55" i="3"/>
  <c r="L55" i="3"/>
  <c r="N54" i="3"/>
  <c r="L54" i="3"/>
  <c r="N53" i="3"/>
  <c r="L53" i="3"/>
  <c r="N52" i="3"/>
  <c r="L52" i="3"/>
  <c r="N51" i="3"/>
  <c r="L51" i="3"/>
  <c r="N50" i="3"/>
  <c r="L50" i="3"/>
  <c r="N49" i="3"/>
  <c r="L49" i="3"/>
  <c r="N48" i="3"/>
  <c r="L48" i="3"/>
  <c r="N47" i="3"/>
  <c r="L47" i="3"/>
  <c r="N46" i="3"/>
  <c r="L46" i="3"/>
  <c r="N45" i="3"/>
  <c r="L45" i="3"/>
  <c r="N44" i="3"/>
  <c r="L44" i="3"/>
  <c r="N43" i="3"/>
  <c r="L43" i="3"/>
  <c r="N42" i="3"/>
  <c r="L42" i="3"/>
  <c r="N41" i="3"/>
  <c r="L41" i="3"/>
  <c r="N40" i="3"/>
  <c r="L40" i="3"/>
  <c r="N39" i="3"/>
  <c r="L39" i="3"/>
  <c r="N38" i="3"/>
  <c r="L38" i="3"/>
  <c r="N37" i="3"/>
  <c r="L37" i="3"/>
  <c r="N36" i="3"/>
  <c r="L36" i="3"/>
  <c r="N35" i="3"/>
  <c r="L35" i="3"/>
  <c r="N34" i="3"/>
  <c r="L34" i="3"/>
  <c r="N33" i="3"/>
  <c r="L33" i="3"/>
  <c r="N32" i="3"/>
  <c r="L32" i="3"/>
  <c r="N31" i="3"/>
  <c r="L31" i="3"/>
  <c r="N30" i="3"/>
  <c r="L30" i="3"/>
  <c r="N29" i="3"/>
  <c r="L29" i="3"/>
  <c r="N28" i="3"/>
  <c r="L28" i="3"/>
  <c r="N27" i="3"/>
  <c r="L27" i="3"/>
  <c r="N26" i="3"/>
  <c r="L26" i="3"/>
  <c r="N25" i="3"/>
  <c r="L25" i="3"/>
  <c r="N24" i="3"/>
  <c r="L24" i="3"/>
  <c r="N23" i="3"/>
  <c r="L23" i="3"/>
  <c r="N22" i="3"/>
  <c r="L22" i="3"/>
  <c r="N21" i="3"/>
  <c r="L21" i="3"/>
  <c r="N20" i="3"/>
  <c r="L20" i="3"/>
  <c r="N19" i="3"/>
  <c r="L19" i="3"/>
  <c r="N18" i="3"/>
  <c r="L18" i="3"/>
  <c r="N17" i="3"/>
  <c r="L17" i="3"/>
  <c r="N16" i="3"/>
  <c r="L16" i="3"/>
  <c r="N15" i="3"/>
  <c r="L15" i="3"/>
  <c r="N14" i="3"/>
  <c r="L14" i="3"/>
  <c r="N13" i="3"/>
  <c r="L13" i="3"/>
  <c r="N12" i="3"/>
  <c r="L12" i="3"/>
  <c r="N11" i="3"/>
  <c r="L11" i="3"/>
  <c r="N10" i="3"/>
  <c r="L10" i="3"/>
  <c r="N9" i="3"/>
  <c r="L9" i="3"/>
  <c r="N8" i="3"/>
  <c r="L8" i="3"/>
  <c r="N7" i="3"/>
  <c r="L7" i="3"/>
  <c r="N6" i="3"/>
  <c r="L6" i="3"/>
  <c r="N5" i="3"/>
  <c r="L5" i="3"/>
  <c r="N4" i="3"/>
  <c r="L4" i="3"/>
  <c r="N3" i="3"/>
  <c r="L3" i="3"/>
  <c r="N2" i="3"/>
  <c r="L2" i="3"/>
  <c r="K105" i="1"/>
  <c r="J105" i="1"/>
  <c r="G105" i="1"/>
  <c r="K104" i="1"/>
  <c r="J104" i="1"/>
  <c r="G104" i="1"/>
  <c r="K103" i="1"/>
  <c r="J103" i="1"/>
  <c r="G103" i="1"/>
  <c r="K102" i="1"/>
  <c r="J102" i="1"/>
  <c r="G102" i="1"/>
  <c r="K101" i="1"/>
  <c r="J101" i="1"/>
  <c r="G101" i="1"/>
  <c r="K100" i="1"/>
  <c r="J100" i="1"/>
  <c r="G100" i="1"/>
  <c r="K99" i="1"/>
  <c r="J99" i="1"/>
  <c r="G99" i="1"/>
  <c r="K98" i="1"/>
  <c r="J98" i="1"/>
  <c r="G98" i="1"/>
  <c r="K97" i="1"/>
  <c r="J97" i="1"/>
  <c r="G97" i="1"/>
  <c r="K96" i="1"/>
  <c r="J96" i="1"/>
  <c r="G96" i="1"/>
  <c r="K95" i="1"/>
  <c r="J95" i="1"/>
  <c r="G95" i="1"/>
  <c r="K94" i="1"/>
  <c r="J94" i="1"/>
  <c r="G94" i="1"/>
  <c r="K93" i="1"/>
  <c r="J93" i="1"/>
  <c r="G93" i="1"/>
  <c r="K92" i="1"/>
  <c r="J92" i="1"/>
  <c r="G92" i="1"/>
  <c r="K91" i="1"/>
  <c r="J91" i="1"/>
  <c r="G91" i="1"/>
  <c r="K90" i="1"/>
  <c r="J90" i="1"/>
  <c r="G90" i="1"/>
  <c r="K89" i="1"/>
  <c r="J89" i="1"/>
  <c r="G89" i="1"/>
  <c r="K88" i="1"/>
  <c r="J88" i="1"/>
  <c r="G88" i="1"/>
  <c r="K87" i="1"/>
  <c r="J87" i="1"/>
  <c r="G87" i="1"/>
  <c r="K86" i="1"/>
  <c r="J86" i="1"/>
  <c r="G86" i="1"/>
  <c r="K85" i="1"/>
  <c r="J85" i="1"/>
  <c r="G85" i="1"/>
  <c r="K84" i="1"/>
  <c r="J84" i="1"/>
  <c r="G84" i="1"/>
  <c r="K83" i="1"/>
  <c r="J83" i="1"/>
  <c r="G83" i="1"/>
  <c r="K82" i="1"/>
  <c r="J82" i="1"/>
  <c r="G82" i="1"/>
  <c r="K81" i="1"/>
  <c r="J81" i="1"/>
  <c r="G81" i="1"/>
  <c r="K80" i="1"/>
  <c r="J80" i="1"/>
  <c r="G80" i="1"/>
  <c r="K79" i="1"/>
  <c r="J79" i="1"/>
  <c r="G79" i="1"/>
  <c r="K78" i="1"/>
  <c r="J78" i="1"/>
  <c r="G78" i="1"/>
  <c r="K77" i="1"/>
  <c r="J77" i="1"/>
  <c r="G77" i="1"/>
  <c r="K76" i="1"/>
  <c r="J76" i="1"/>
  <c r="G76" i="1"/>
  <c r="K75" i="1"/>
  <c r="J75" i="1"/>
  <c r="G75" i="1"/>
  <c r="K74" i="1"/>
  <c r="J74" i="1"/>
  <c r="G74" i="1"/>
  <c r="K73" i="1"/>
  <c r="J73" i="1"/>
  <c r="G73" i="1"/>
  <c r="K72" i="1"/>
  <c r="J72" i="1"/>
  <c r="G72" i="1"/>
  <c r="K71" i="1"/>
  <c r="J71" i="1"/>
  <c r="G71" i="1"/>
  <c r="K70" i="1"/>
  <c r="J70" i="1"/>
  <c r="G70" i="1"/>
  <c r="K69" i="1"/>
  <c r="J69" i="1"/>
  <c r="G69" i="1"/>
  <c r="K68" i="1"/>
  <c r="J68" i="1"/>
  <c r="G68" i="1"/>
  <c r="K67" i="1"/>
  <c r="J67" i="1"/>
  <c r="G67" i="1"/>
  <c r="K66" i="1"/>
  <c r="J66" i="1"/>
  <c r="G66" i="1"/>
  <c r="K65" i="1"/>
  <c r="J65" i="1"/>
  <c r="G65" i="1"/>
  <c r="K64" i="1"/>
  <c r="J64" i="1"/>
  <c r="G64" i="1"/>
  <c r="K63" i="1"/>
  <c r="J63" i="1"/>
  <c r="G63" i="1"/>
  <c r="K62" i="1"/>
  <c r="J62" i="1"/>
  <c r="G62" i="1"/>
  <c r="K61" i="1"/>
  <c r="J61" i="1"/>
  <c r="G61" i="1"/>
  <c r="K60" i="1"/>
  <c r="J60" i="1"/>
  <c r="G60" i="1"/>
  <c r="K59" i="1"/>
  <c r="J59" i="1"/>
  <c r="G59" i="1"/>
  <c r="K58" i="1"/>
  <c r="J58" i="1"/>
  <c r="G58" i="1"/>
  <c r="K57" i="1"/>
  <c r="J57" i="1"/>
  <c r="G57" i="1"/>
  <c r="K56" i="1"/>
  <c r="J56" i="1"/>
  <c r="G56" i="1"/>
  <c r="K55" i="1"/>
  <c r="J55" i="1"/>
  <c r="G55" i="1"/>
  <c r="K54" i="1"/>
  <c r="J54" i="1"/>
  <c r="G54" i="1"/>
  <c r="K53" i="1"/>
  <c r="J53" i="1"/>
  <c r="G53" i="1"/>
  <c r="K52" i="1"/>
  <c r="J52" i="1"/>
  <c r="G52" i="1"/>
  <c r="K51" i="1"/>
  <c r="J51" i="1"/>
  <c r="G51" i="1"/>
  <c r="K50" i="1"/>
  <c r="J50" i="1"/>
  <c r="G50" i="1"/>
  <c r="K49" i="1"/>
  <c r="J49" i="1"/>
  <c r="G49" i="1"/>
  <c r="K48" i="1"/>
  <c r="J48" i="1"/>
  <c r="G48" i="1"/>
  <c r="K47" i="1"/>
  <c r="J47" i="1"/>
  <c r="G47" i="1"/>
  <c r="K46" i="1"/>
  <c r="J46" i="1"/>
  <c r="G46" i="1"/>
  <c r="K45" i="1"/>
  <c r="J45" i="1"/>
  <c r="G45" i="1"/>
  <c r="K44" i="1"/>
  <c r="J44" i="1"/>
  <c r="G44" i="1"/>
  <c r="K43" i="1"/>
  <c r="J43" i="1"/>
  <c r="G43" i="1"/>
  <c r="K42" i="1"/>
  <c r="J42" i="1"/>
  <c r="G42" i="1"/>
  <c r="K41" i="1"/>
  <c r="J41" i="1"/>
  <c r="G41" i="1"/>
  <c r="K40" i="1"/>
  <c r="J40" i="1"/>
  <c r="G40" i="1"/>
  <c r="K39" i="1"/>
  <c r="J39" i="1"/>
  <c r="G39" i="1"/>
  <c r="K38" i="1"/>
  <c r="J38" i="1"/>
  <c r="G38" i="1"/>
  <c r="K37" i="1"/>
  <c r="J37" i="1"/>
  <c r="G37" i="1"/>
  <c r="K36" i="1"/>
  <c r="J36" i="1"/>
  <c r="G36" i="1"/>
  <c r="K35" i="1"/>
  <c r="J35" i="1"/>
  <c r="G35" i="1"/>
  <c r="K34" i="1"/>
  <c r="J34" i="1"/>
  <c r="G34" i="1"/>
  <c r="K33" i="1"/>
  <c r="J33" i="1"/>
  <c r="G33" i="1"/>
  <c r="K32" i="1"/>
  <c r="J32" i="1"/>
  <c r="G32" i="1"/>
  <c r="K31" i="1"/>
  <c r="J31" i="1"/>
  <c r="G31" i="1"/>
  <c r="K30" i="1"/>
  <c r="J30" i="1"/>
  <c r="G30" i="1"/>
  <c r="K29" i="1"/>
  <c r="J29" i="1"/>
  <c r="G29" i="1"/>
  <c r="K28" i="1"/>
  <c r="J28" i="1"/>
  <c r="G28" i="1"/>
  <c r="D28" i="1"/>
  <c r="C28" i="1"/>
  <c r="B28" i="1"/>
  <c r="K27" i="1"/>
  <c r="J27" i="1"/>
  <c r="G27" i="1"/>
  <c r="D27" i="1"/>
  <c r="C27" i="1"/>
  <c r="B27" i="1"/>
  <c r="K26" i="1"/>
  <c r="J26" i="1"/>
  <c r="G26" i="1"/>
  <c r="D26" i="1"/>
  <c r="C26" i="1"/>
  <c r="B26" i="1"/>
  <c r="K25" i="1"/>
  <c r="J25" i="1"/>
  <c r="G25" i="1"/>
  <c r="D25" i="1"/>
  <c r="C25" i="1"/>
  <c r="B25" i="1"/>
  <c r="K24" i="1"/>
  <c r="J24" i="1"/>
  <c r="G24" i="1"/>
  <c r="D24" i="1"/>
  <c r="C24" i="1"/>
  <c r="B24" i="1"/>
  <c r="K23" i="1"/>
  <c r="J23" i="1"/>
  <c r="G23" i="1"/>
  <c r="D23" i="1"/>
  <c r="C23" i="1"/>
  <c r="B23" i="1"/>
  <c r="K22" i="1"/>
  <c r="J22" i="1"/>
  <c r="G22" i="1"/>
  <c r="D22" i="1"/>
  <c r="C22" i="1"/>
  <c r="B22" i="1"/>
  <c r="K21" i="1"/>
  <c r="J21" i="1"/>
  <c r="G21" i="1"/>
  <c r="D21" i="1"/>
  <c r="C21" i="1"/>
  <c r="B21" i="1"/>
  <c r="K20" i="1"/>
  <c r="J20" i="1"/>
  <c r="G20" i="1"/>
  <c r="D20" i="1"/>
  <c r="C20" i="1"/>
  <c r="B20" i="1"/>
  <c r="K19" i="1"/>
  <c r="J19" i="1"/>
  <c r="G19" i="1"/>
  <c r="D19" i="1"/>
  <c r="C19" i="1"/>
  <c r="B19" i="1"/>
  <c r="K18" i="1"/>
  <c r="J18" i="1"/>
  <c r="G18" i="1"/>
  <c r="D18" i="1"/>
  <c r="C18" i="1"/>
  <c r="B18" i="1"/>
  <c r="K17" i="1"/>
  <c r="J17" i="1"/>
  <c r="G17" i="1"/>
  <c r="D17" i="1"/>
  <c r="C17" i="1"/>
  <c r="B17" i="1"/>
  <c r="K16" i="1"/>
  <c r="J16" i="1"/>
  <c r="G16" i="1"/>
  <c r="D16" i="1"/>
  <c r="C16" i="1"/>
  <c r="B16" i="1"/>
  <c r="K15" i="1"/>
  <c r="J15" i="1"/>
  <c r="G15" i="1"/>
  <c r="D15" i="1"/>
  <c r="C15" i="1"/>
  <c r="B15" i="1"/>
  <c r="K14" i="1"/>
  <c r="J14" i="1"/>
  <c r="G14" i="1"/>
  <c r="D14" i="1"/>
  <c r="C14" i="1"/>
  <c r="B14" i="1"/>
  <c r="K13" i="1"/>
  <c r="J13" i="1"/>
  <c r="G13" i="1"/>
  <c r="D13" i="1"/>
  <c r="C13" i="1"/>
  <c r="B13" i="1"/>
  <c r="K12" i="1"/>
  <c r="J12" i="1"/>
  <c r="G12" i="1"/>
  <c r="D12" i="1"/>
  <c r="C12" i="1"/>
  <c r="B12" i="1"/>
  <c r="K11" i="1"/>
  <c r="J11" i="1"/>
  <c r="G11" i="1"/>
  <c r="D11" i="1"/>
  <c r="C11" i="1"/>
  <c r="B11" i="1"/>
  <c r="K10" i="1"/>
  <c r="J10" i="1"/>
  <c r="G10" i="1"/>
  <c r="D10" i="1"/>
  <c r="C10" i="1"/>
  <c r="B10" i="1"/>
  <c r="K9" i="1"/>
  <c r="J9" i="1"/>
  <c r="G9" i="1"/>
  <c r="D9" i="1"/>
  <c r="C9" i="1"/>
  <c r="B9" i="1"/>
  <c r="K8" i="1"/>
  <c r="J8" i="1"/>
  <c r="G8" i="1"/>
  <c r="D8" i="1"/>
  <c r="C8" i="1"/>
  <c r="B8" i="1"/>
  <c r="K7" i="1"/>
  <c r="J7" i="1"/>
  <c r="G7" i="1"/>
  <c r="D7" i="1"/>
  <c r="C7" i="1"/>
  <c r="B7" i="1"/>
  <c r="K6" i="1"/>
  <c r="J6" i="1"/>
  <c r="G6" i="1"/>
  <c r="D6" i="1"/>
  <c r="C6" i="1"/>
  <c r="B6" i="1"/>
  <c r="I44" i="1" l="1"/>
  <c r="H44" i="1"/>
  <c r="C29" i="1"/>
  <c r="E22" i="1"/>
  <c r="E26" i="1"/>
  <c r="D29" i="1"/>
  <c r="E28" i="1"/>
  <c r="E27" i="1"/>
  <c r="E25" i="1"/>
  <c r="E9" i="1"/>
  <c r="E23" i="1"/>
  <c r="E17" i="1"/>
  <c r="E20" i="1"/>
  <c r="E18" i="1"/>
  <c r="E16" i="1"/>
  <c r="E24" i="1"/>
  <c r="E11" i="1"/>
  <c r="E10" i="1"/>
  <c r="E15" i="1"/>
  <c r="E13" i="1"/>
  <c r="E12" i="1"/>
  <c r="E21" i="1"/>
  <c r="E19" i="1"/>
  <c r="E14" i="1"/>
  <c r="E8" i="1"/>
  <c r="E7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H99" i="1"/>
  <c r="I99" i="1"/>
  <c r="I98" i="1"/>
  <c r="H98" i="1"/>
  <c r="I97" i="1"/>
  <c r="H97" i="1"/>
  <c r="H96" i="1"/>
  <c r="I96" i="1"/>
  <c r="I95" i="1"/>
  <c r="H95" i="1"/>
  <c r="I94" i="1"/>
  <c r="H94" i="1"/>
  <c r="I93" i="1"/>
  <c r="H93" i="1"/>
  <c r="H92" i="1"/>
  <c r="I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H84" i="1"/>
  <c r="I84" i="1"/>
  <c r="H83" i="1"/>
  <c r="I83" i="1"/>
  <c r="H82" i="1"/>
  <c r="I82" i="1"/>
  <c r="H81" i="1"/>
  <c r="I81" i="1"/>
  <c r="H80" i="1"/>
  <c r="I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H72" i="1"/>
  <c r="I72" i="1"/>
  <c r="H71" i="1"/>
  <c r="I71" i="1"/>
  <c r="H70" i="1"/>
  <c r="I70" i="1"/>
  <c r="I69" i="1"/>
  <c r="H69" i="1"/>
  <c r="H68" i="1"/>
  <c r="I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H57" i="1"/>
  <c r="I57" i="1"/>
  <c r="I56" i="1"/>
  <c r="H56" i="1"/>
  <c r="H55" i="1"/>
  <c r="I55" i="1"/>
  <c r="H54" i="1"/>
  <c r="I54" i="1"/>
  <c r="I53" i="1"/>
  <c r="H53" i="1"/>
  <c r="I52" i="1"/>
  <c r="H52" i="1"/>
  <c r="I51" i="1"/>
  <c r="H51" i="1"/>
  <c r="H50" i="1"/>
  <c r="I50" i="1"/>
  <c r="I49" i="1"/>
  <c r="H49" i="1"/>
  <c r="I48" i="1"/>
  <c r="H48" i="1"/>
  <c r="H47" i="1"/>
  <c r="I47" i="1"/>
  <c r="H46" i="1"/>
  <c r="I46" i="1"/>
  <c r="I45" i="1"/>
  <c r="H45" i="1"/>
  <c r="I43" i="1"/>
  <c r="H43" i="1"/>
  <c r="I42" i="1"/>
  <c r="H42" i="1"/>
  <c r="I41" i="1"/>
  <c r="H41" i="1"/>
  <c r="I40" i="1"/>
  <c r="H40" i="1"/>
  <c r="I39" i="1"/>
  <c r="H39" i="1"/>
  <c r="I38" i="1"/>
  <c r="H38" i="1"/>
  <c r="H37" i="1"/>
  <c r="I37" i="1"/>
  <c r="I36" i="1"/>
  <c r="H36" i="1"/>
  <c r="I35" i="1"/>
  <c r="H35" i="1"/>
  <c r="I34" i="1"/>
  <c r="H34" i="1"/>
  <c r="I33" i="1"/>
  <c r="H33" i="1"/>
  <c r="H32" i="1"/>
  <c r="I32" i="1"/>
  <c r="I31" i="1"/>
  <c r="H31" i="1"/>
  <c r="I30" i="1"/>
  <c r="H30" i="1"/>
  <c r="I29" i="1"/>
  <c r="H29" i="1"/>
  <c r="I28" i="1"/>
  <c r="H28" i="1"/>
  <c r="I27" i="1"/>
  <c r="H27" i="1"/>
  <c r="H26" i="1"/>
  <c r="I26" i="1"/>
  <c r="I25" i="1"/>
  <c r="H25" i="1"/>
  <c r="I24" i="1"/>
  <c r="H24" i="1"/>
  <c r="I23" i="1"/>
  <c r="H23" i="1"/>
  <c r="I22" i="1"/>
  <c r="H22" i="1"/>
  <c r="I21" i="1"/>
  <c r="H21" i="1"/>
  <c r="I20" i="1"/>
  <c r="H20" i="1"/>
  <c r="H19" i="1"/>
  <c r="I19" i="1"/>
  <c r="H18" i="1"/>
  <c r="I18" i="1"/>
  <c r="H17" i="1"/>
  <c r="I17" i="1"/>
  <c r="I16" i="1"/>
  <c r="H16" i="1"/>
  <c r="I15" i="1"/>
  <c r="H15" i="1"/>
  <c r="H14" i="1"/>
  <c r="I14" i="1"/>
  <c r="I13" i="1"/>
  <c r="H13" i="1"/>
  <c r="I12" i="1"/>
  <c r="H12" i="1"/>
  <c r="I11" i="1"/>
  <c r="H11" i="1"/>
  <c r="I10" i="1"/>
  <c r="H10" i="1"/>
  <c r="H9" i="1"/>
  <c r="I9" i="1"/>
  <c r="H8" i="1"/>
  <c r="I8" i="1"/>
  <c r="I7" i="1"/>
  <c r="H7" i="1"/>
  <c r="H6" i="1"/>
  <c r="I6" i="1"/>
  <c r="B29" i="1"/>
  <c r="E6" i="1"/>
  <c r="E29" i="1" l="1"/>
  <c r="I106" i="1"/>
  <c r="H106" i="1"/>
</calcChain>
</file>

<file path=xl/sharedStrings.xml><?xml version="1.0" encoding="utf-8"?>
<sst xmlns="http://schemas.openxmlformats.org/spreadsheetml/2006/main" count="1439" uniqueCount="903">
  <si>
    <t>SERVICE NETWORK MASTER DATABASE - Out-of-Network Accounts</t>
  </si>
  <si>
    <t>Updates automatically: add providers on Service_Providers (through row 101) and accounts on Accounts (through row 300) - dropdowns, dispatch info, and these tables refresh on their own.</t>
  </si>
  <si>
    <t>COVERAGE BY STATE</t>
  </si>
  <si>
    <t>ACCOUNTS BY PROVIDER</t>
  </si>
  <si>
    <t>State</t>
  </si>
  <si>
    <t>Total Accounts</t>
  </si>
  <si>
    <t>With Equipment</t>
  </si>
  <si>
    <t>Unassigned</t>
  </si>
  <si>
    <t>% Covered</t>
  </si>
  <si>
    <t>Provider</t>
  </si>
  <si>
    <t>Primary For</t>
  </si>
  <si>
    <t>Secondary For</t>
  </si>
  <si>
    <t>Dispatch Phone</t>
  </si>
  <si>
    <t>Dispatch Email</t>
  </si>
  <si>
    <t>AR</t>
  </si>
  <si>
    <t>AZ</t>
  </si>
  <si>
    <t>CA</t>
  </si>
  <si>
    <t>CO</t>
  </si>
  <si>
    <t>DC</t>
  </si>
  <si>
    <t>FL</t>
  </si>
  <si>
    <t>GA</t>
  </si>
  <si>
    <t>IL</t>
  </si>
  <si>
    <t>IN</t>
  </si>
  <si>
    <t>KS</t>
  </si>
  <si>
    <t>LA</t>
  </si>
  <si>
    <t>MD</t>
  </si>
  <si>
    <t>MO</t>
  </si>
  <si>
    <t>NC</t>
  </si>
  <si>
    <t>NE</t>
  </si>
  <si>
    <t>NM</t>
  </si>
  <si>
    <t>NV</t>
  </si>
  <si>
    <t>OK</t>
  </si>
  <si>
    <t>PA</t>
  </si>
  <si>
    <t>SC</t>
  </si>
  <si>
    <t>TN</t>
  </si>
  <si>
    <t>TX</t>
  </si>
  <si>
    <t>VA</t>
  </si>
  <si>
    <t>TOTAL</t>
  </si>
  <si>
    <t>TOTAL ASSIGNED</t>
  </si>
  <si>
    <t>Provider_Name</t>
  </si>
  <si>
    <t>Status</t>
  </si>
  <si>
    <t>Primary Dispatch Phone</t>
  </si>
  <si>
    <t>Primary Dispatch Email</t>
  </si>
  <si>
    <t>Secondary Dispatch Phone</t>
  </si>
  <si>
    <t>Secondary Dispatch Email</t>
  </si>
  <si>
    <t>Response Time</t>
  </si>
  <si>
    <t>Standard Rate</t>
  </si>
  <si>
    <t>After Hours Rate</t>
  </si>
  <si>
    <t>Travel Rate Policy</t>
  </si>
  <si>
    <t>Equipment Serviced</t>
  </si>
  <si>
    <t>States / ZIP Coverage</t>
  </si>
  <si>
    <t>Contacts</t>
  </si>
  <si>
    <t>PM Pricing</t>
  </si>
  <si>
    <t>Parts Stocking</t>
  </si>
  <si>
    <t>Coverage Notes / Key Notes</t>
  </si>
  <si>
    <t>Last_Updated</t>
  </si>
  <si>
    <t>A-1 Restuarant Service</t>
  </si>
  <si>
    <t>1407 Tulip Ln.
Odessa, TX 79761</t>
  </si>
  <si>
    <t>2026-07-15</t>
  </si>
  <si>
    <t>A-Tech Espresso &amp; Coffee Service Inc.</t>
  </si>
  <si>
    <t>866.333.7350</t>
  </si>
  <si>
    <t>servicerequest@Atech-service.com</t>
  </si>
  <si>
    <t>Contact: Paul   
Phone: 866.333.7350   
servicerequest@Atech-service.com</t>
  </si>
  <si>
    <t>ABS Coffee Repair</t>
  </si>
  <si>
    <t>314.389.2866</t>
  </si>
  <si>
    <t>Contact: John Meese 
Phone: 314.389.2866</t>
  </si>
  <si>
    <t>All Espresso Service</t>
  </si>
  <si>
    <t>service@allespressoservice.com</t>
  </si>
  <si>
    <t>Contact: Lillie Morton
service@allespressoservice.com
(866) 237-7782</t>
  </si>
  <si>
    <t>All Star Coffee Service</t>
  </si>
  <si>
    <t>626-315-8498</t>
  </si>
  <si>
    <t>626-627-9369</t>
  </si>
  <si>
    <t>Contact: Fernando                                           Phone: 626-315-8498  
Cell: 626-627-9369</t>
  </si>
  <si>
    <t>Anytime Beverage Service</t>
  </si>
  <si>
    <t>absdispatch@gmail.com</t>
  </si>
  <si>
    <t>anytimebeverageservice@gmail.com</t>
  </si>
  <si>
    <t>CA, CO</t>
  </si>
  <si>
    <t>B &amp; B Coffee Service</t>
  </si>
  <si>
    <t>361.855.3066</t>
  </si>
  <si>
    <t>Phone: 361.855.3066
4307 S Port Ave Ste 128 
Corpus Christi, TX 78415  
Note: 78 miles away. Closest Bunn Certified Company.</t>
  </si>
  <si>
    <t>Note: 78 miles away. Closest Bunn Certified Company.</t>
  </si>
  <si>
    <t>Bar 9 Coffee Services LLC</t>
  </si>
  <si>
    <t>443-460-4303</t>
  </si>
  <si>
    <t>chuck@bar9coffee.com</t>
  </si>
  <si>
    <t>Jeremy Lattimer 
Owner 
Phone: 443-460-4303
Chuck - Service Coordinator
chuck@bar9coffee.com</t>
  </si>
  <si>
    <t>Best Beverage Equipment Service</t>
  </si>
  <si>
    <t>866-966-5799 ext 1</t>
  </si>
  <si>
    <t>service@bestbeverage.net</t>
  </si>
  <si>
    <t>AR, TN</t>
  </si>
  <si>
    <t>service@bestbeverage.net
Phone: 866-966-5799
Contact: Dustin or Melissa.
Contact: Dustin Smith
Phone: 866-966-5799 ext 1
service@bestbeverage.net</t>
  </si>
  <si>
    <t>Bev Pro Services</t>
  </si>
  <si>
    <t>410-571-4902 ext. 501 (Office)</t>
  </si>
  <si>
    <t>410-693-7591 (Mobile)</t>
  </si>
  <si>
    <t>MD, VA</t>
  </si>
  <si>
    <t>Contact: Thomas Erber
410-571-4902 ext. 501 Office/
410-693-7591 Mobile
2100 Concord Blvd. Suite K
Crofton, MD 21114
Contact: Thomas Erber
410-571-4902 ext. 501 Office
410-693-7591 Mobile
2100 Concord Blvd. Suite K
Crofton, MD 21114</t>
  </si>
  <si>
    <t>Beverage Equipment Service Inc.</t>
  </si>
  <si>
    <t>Active</t>
  </si>
  <si>
    <t>(515) 494-0849</t>
  </si>
  <si>
    <t>bevequip@outlook.com (best - copied on all comms)</t>
  </si>
  <si>
    <t>rdachenbach@beverageequipmentservice.net</t>
  </si>
  <si>
    <t>Same-day / Next-day</t>
  </si>
  <si>
    <t>$105/hr (labor + travel included)</t>
  </si>
  <si>
    <t>$157.50/hr (1.5x)</t>
  </si>
  <si>
    <t>$105/hr both directions; no separate truck/mileage charge; can batch/split calls to reduce cost</t>
  </si>
  <si>
    <t>Wilbur Curtis (full service); Schaerer espresso incl. super-automatic; Coffee Art Pro &amp; bean-to-cup (extremely experienced); recently trained on WMF 5000 and Soul C</t>
  </si>
  <si>
    <t>IA
IA ZIPs: 50158, 50248, 50401, 50421, 50447, 50468, 50525, 50590, 50595, 50703, 51446, 51454, 51531, 51537, 51546, 52501, 52544</t>
  </si>
  <si>
    <t>Ryan Dachenbach (President)
Phone: (515) 494-0849
Email: rdachenbach@beverageequipmentservice.net
Fax: (641) 774-8749</t>
  </si>
  <si>
    <t>$176 per machine + parts (SCA1 bean-to-cup example, incl. O-rings; negotiable on volume)</t>
  </si>
  <si>
    <t>Wide parts variety stocked on vehicles + warehouse for one-trip fixes; large stock of 3M HF-40S filters</t>
  </si>
  <si>
    <t>Covers all listed Iowa ZIPs. Cedar Rapids area: tech visits at least weekly. North Central / NE Iowa: some sites 2-3 hrs one-way; calls batched to control travel cost.
Confirmed OK with paying travel both ways when needed. Ready to set up as client. High priority on minimizing downtime.</t>
  </si>
  <si>
    <t>2026-06-24</t>
  </si>
  <si>
    <t>Carolina Beverage Solutions</t>
  </si>
  <si>
    <t>803-280-5234</t>
  </si>
  <si>
    <t>chris.powers@hotmail.com</t>
  </si>
  <si>
    <t>billing@carolinabev.com</t>
  </si>
  <si>
    <t>NC, SC</t>
  </si>
  <si>
    <t>117 Kanawha Street  
Fort Mill, SC 29715  Phone: 
803-280-5234  
Contact: Chris / Val  
chris.powers@hotmail.com  
billing@carolinabev.com  
service@carolinabev.com</t>
  </si>
  <si>
    <t>Commercial Kitchen</t>
  </si>
  <si>
    <t>956.664.8267</t>
  </si>
  <si>
    <t>Phone: 956.664.8267</t>
  </si>
  <si>
    <t>Duke Services</t>
  </si>
  <si>
    <t>714.525.2866</t>
  </si>
  <si>
    <t>Phone: 714.525.2866</t>
  </si>
  <si>
    <t>Espresso Enterprises</t>
  </si>
  <si>
    <t>317-876-9031</t>
  </si>
  <si>
    <t>carey@espressoenterprises.com</t>
  </si>
  <si>
    <t>Contact: Troy Smith/Carey  
Phone: 317-876-9031  
carey@espressoenterprises.com</t>
  </si>
  <si>
    <t>Espresso Southeast</t>
  </si>
  <si>
    <t>770-867-3111</t>
  </si>
  <si>
    <t>service@espressosoutheast.com</t>
  </si>
  <si>
    <t>ETSC (EspressoTech Service Company)</t>
  </si>
  <si>
    <t>(888) 523-1684</t>
  </si>
  <si>
    <t>service@etsc.coffee</t>
  </si>
  <si>
    <t>Jess@etsc.coffee</t>
  </si>
  <si>
    <t>Standard 24-48 hrs (priority &amp; tech availability); same-day when possible</t>
  </si>
  <si>
    <t>1.5x standard rates (after-hours / weekend)</t>
  </si>
  <si>
    <t>$70/hr travel for locations outside tech's local service area</t>
  </si>
  <si>
    <t>Wilbur Curtis - supported; Schaerer espresso - supported (carries Schaerer parts to maximize first-time fix)</t>
  </si>
  <si>
    <t>KS, IA, IL, MO, NE, CO, OK, MN, WI, TN + more
KS ZIPs: 67456, 67460, 67501, 67502, 67554
MO ZIPs: 64804, 64850</t>
  </si>
  <si>
    <t>Jessica Peacock
Phone: (888) 523-1684
Email: Jess@etsc.coffee
Regional contacts (merged from Espresso Tech / ETSC STL):
[Illinois] service @ espressotechsc.com | 816-523-1684Technical Support Center             | 11614 W 90th Street                             | Overland Park, KS 66214
[Kansas] Contact: Mark Robey | Phone: 816.523.1684 | service.espressotech@gmail.com
[Missouri] Contact: Liz | Phone: 314-939-7159 | liz@etsc.coffee)  | 1500 South 1st Capitol Drive Unit 344 | Saint Charles Missouri 63303 | 1500 South 1st Capitol Drive Unit 344 Saint Charles Missouri 63303</t>
  </si>
  <si>
    <t>PM billed at standard service rates ($195 first hr / $125 add'l)</t>
  </si>
  <si>
    <t>Techs carry van stock of common Wilbur Curtis and Schaerer parts</t>
  </si>
  <si>
    <t>Tech hubs: Overland Park &amp; Wichita KS | Des Moines &amp; Quad Cities IA | Chicago | St. Louis | Elkhorn NE | Denver | Tulsa (OKC coming soon) | Bloomington MN | Milwaukee | Nashville (Knoxville coming soon). KS ZIPs covered: 67456, 67460, 67501, 67502, 67554.</t>
  </si>
  <si>
    <t>First Coast Espresso</t>
  </si>
  <si>
    <t>904-654-5662</t>
  </si>
  <si>
    <t>jose@firstcoastespresso.com</t>
  </si>
  <si>
    <t>904-379-1455</t>
  </si>
  <si>
    <t>Jose Parada
jose@firstcoastespresso.com 
3653 Regent Blvd
Suite 203
Jacksonville, Fl 32224
904-654-5662 cell
904-379-1455 office
$95 per hr labor and $95 per hr trip. 4 hr round trip.</t>
  </si>
  <si>
    <t>Iconik Coffee</t>
  </si>
  <si>
    <t>(505) 428-0669</t>
  </si>
  <si>
    <t>sean@iconikcoffee.com</t>
  </si>
  <si>
    <t>Sean Ham 
sean@iconikcoffee.com
Phone: (505) 428-0669
1366 Cerrillos Rd
Santa Fe, NM 87505</t>
  </si>
  <si>
    <t>Izzy's Espresso Services Inc.</t>
  </si>
  <si>
    <t>816-373-7011</t>
  </si>
  <si>
    <t>chris@izzysespresso.com</t>
  </si>
  <si>
    <t>Owner: Chris Isariotis    
Phone: 816-373-7011
chris@izzysespresso.com</t>
  </si>
  <si>
    <t>Jaguar Coffee Co.</t>
  </si>
  <si>
    <t>352 442 2506</t>
  </si>
  <si>
    <t>sam.mendez@jaguarcoffee.com</t>
  </si>
  <si>
    <t>Contact: Samantha Mendez
Phone: 352 442 2506
sam.mendez@jaguarcoffee.com</t>
  </si>
  <si>
    <t>JVG Coffee Mechanics</t>
  </si>
  <si>
    <t>919-240-8083</t>
  </si>
  <si>
    <t>hayes@jvgcoffeemechanics.com</t>
  </si>
  <si>
    <t>505 Meadowlands Dr Unit 101
Hillsborough, NC 27278
hayes@jvgcoffeemechanics.com
919-240-8083</t>
  </si>
  <si>
    <t>Ken's Beverage</t>
  </si>
  <si>
    <t>317.888.6400</t>
  </si>
  <si>
    <t>awhitlock@kensbeverage.com</t>
  </si>
  <si>
    <t>Contact: Alan Whitlock
Phone: 317.888.6400
awhitlock@kensbeverage.com</t>
  </si>
  <si>
    <t>LIQUISERVE LLC</t>
  </si>
  <si>
    <t>Toll Free: 800-528-6625
Main: 505-247-3707</t>
  </si>
  <si>
    <t>Service@LiquiServe.com</t>
  </si>
  <si>
    <t>Office: 505-247-3707 Ext. 1227
Mobile: 505-977-8066
505-308-8682</t>
  </si>
  <si>
    <t>Matthew.Baca@LiquiServe.com</t>
  </si>
  <si>
    <t>Response Time: Next business day (standard). Same-day possible depending on priority/availability.</t>
  </si>
  <si>
    <t>Labor (Service/Repair/Install) $95/hr
Travel $95/hr</t>
  </si>
  <si>
    <t>Labor (Service/Repair/Install) $142.50/hr
Travel$142.50/hr
Billed in 15-min increments after first hour. OT for calls
outside normal business hours.
Fuel surcharge $5</t>
  </si>
  <si>
    <t>Round trip from nearest warehouse. Local zone = one-way
30-min charge.</t>
  </si>
  <si>
    <t>• Wilbur Curtis — Supported (stocked parts)
• Schaerer — Supported (stocked parts)
• Other: Bunn, Eversys also supported with stocked parts. Rancilio serviced but limited stock.</t>
  </si>
  <si>
    <t>SD ZIPs: 57501, 57532, 57543, 57551, 57701, 57703, 57717, 57719, 57730, 57735, 57747, 57783, 57785</t>
  </si>
  <si>
    <t>Matthew Baca
CFO / Primary Contact
Dirk Brunson
Field Service Supervisor
Phone: Office: 505-247-3707 Ext. 1227
Mobile: 505-977-8066
505-308-8682
Email: Matthew.Baca@LiquiServe.com</t>
  </si>
  <si>
    <t>Preventive Maintenance (PM) $95/hr (or agreed flat)</t>
  </si>
  <si>
    <t>Coverage: Broad multi-state territory. For the latest inquiry, most ZIPs in NM, TX, OK, NE are covered.
Warehouses: Multiple regional warehouses (travel billed from nearest one). Strong presence in Southwest &amp; Plains states.</t>
  </si>
  <si>
    <t>2026-07-09</t>
  </si>
  <si>
    <t>MB Coffee Services</t>
  </si>
  <si>
    <t>509.302.7071</t>
  </si>
  <si>
    <t>Contact: Mathew                                          Phone: 509.302.7071</t>
  </si>
  <si>
    <t>Midwest Equipment &amp; Espresso Specialists, Inc.</t>
  </si>
  <si>
    <t>402-293-7490</t>
  </si>
  <si>
    <t>Paul@meesi.omhcoxmail.com</t>
  </si>
  <si>
    <t>402-293-7503</t>
  </si>
  <si>
    <t>KS, NE</t>
  </si>
  <si>
    <t>Contact: Jen
Phone: 402-293-7490
Fax: 402-293-7503
Paul@meesi.omhcoxmail.com</t>
  </si>
  <si>
    <t>Orleans Coffee / Perfect Shot Espresso Service</t>
  </si>
  <si>
    <t>504-827-0878 (Office)</t>
  </si>
  <si>
    <t>robbie@orleanscoffee.com</t>
  </si>
  <si>
    <t>504-258-6881 (Cell - Robbie Mahner)</t>
  </si>
  <si>
    <t>Orleans Coffee / Perfect Shot Espresso Service
Robbie Mahner
Service Manager 
Perfect Shot Espresso Service
504-258-6881 cell
504-827-0878 office
robbie@orleanscoffee.com</t>
  </si>
  <si>
    <t>Prestige Technical Services</t>
  </si>
  <si>
    <t>636-583-5788</t>
  </si>
  <si>
    <t>prestigetech@prestigetech.us</t>
  </si>
  <si>
    <t>KS, OK</t>
  </si>
  <si>
    <t>Phone: 636-583-5788
prestigetech@prestigetech.us</t>
  </si>
  <si>
    <t>PriorityOne Group</t>
  </si>
  <si>
    <t>(800) 226-7146</t>
  </si>
  <si>
    <t>service@priorityone247.com</t>
  </si>
  <si>
    <t>(800) 226-7146 | (303) 577-1285 CO | (505) 234-1831 NM/TX</t>
  </si>
  <si>
    <t>Zone 1: 24/7/365 | Zone 2: standard + on-call | Zone 3: clustered/scheduled | Zone 4: limited/out-of-area</t>
  </si>
  <si>
    <t>Beverage $90/hr | Espresso $105/hr | Cooking/Refrig $125-135/hr (valid 11/1/2025 - 12/31/2026)</t>
  </si>
  <si>
    <t>1.5x (5pm-10pm) | 2x overnight (10pm-7:30am) | 2x holidays (24 hr)</t>
  </si>
  <si>
    <t>Travel billed in 15-min increments from last call location (GPS tracked); efficient routing by dispatch</t>
  </si>
  <si>
    <t>Full beverage equipment service: beverage, espresso, cooking, refrigeration/HVAC</t>
  </si>
  <si>
    <t>CO, NM, TX + surrounding
NM ZIPs: 87002, 87004, 87013, 87020, 87021, 87031, 87104, 87105, 87114, 87121, 87124, 87301, 87401, 87501, 87505, 87507, 87508, 87532, 87571, 87701, 87732, 88007, 88012, 88081, 88201, 88301, 88310, 88317, 88336, 88345, 88353, 88401, 88435</t>
  </si>
  <si>
    <t>Customer Service Team
Phone: (800) 226-7146 | (303) 577-1285 CO | (505) 234-1831 NM/TX
Email: service@priorityone247.com
Fax: N/A (use main numbers)</t>
  </si>
  <si>
    <t>PM contracts available with discounted emergency rates</t>
  </si>
  <si>
    <t>Parts &amp; equipment support via dedicated Parts team</t>
  </si>
  <si>
    <t>Strong coverage in CO Front Range, NM, and TX (see zone assignments on Stores tab).
Labor &amp; travel billed in quarter-hour increments via mobile/GPS. Fastest service: call Customer Service or email service@priorityone247.com. QR code available for quick requests.</t>
  </si>
  <si>
    <t>Remolinos Group</t>
  </si>
  <si>
    <t>479.647.6800</t>
  </si>
  <si>
    <t>Fidel Samour
479.647.6800</t>
  </si>
  <si>
    <t>Shepspresso Solutions</t>
  </si>
  <si>
    <t>833.377.7370</t>
  </si>
  <si>
    <t>info@shepspresso.com</t>
  </si>
  <si>
    <t>970.432.4250</t>
  </si>
  <si>
    <t>Shepspresso Solutions
Jaime Palmer
Business: 833.377.7370
Text for Service: 970.432.4250
info@shepspresso.com
730 Main St PMB358, 
North Myrtle Beach, SC 29582</t>
  </si>
  <si>
    <t>STCS</t>
  </si>
  <si>
    <t>956-536-7846</t>
  </si>
  <si>
    <t>alanmcgee@msn.com</t>
  </si>
  <si>
    <t>Contact:Alan McGee  
Phone: 956-536-7846
Email: alanmcgee@msn.com  
200 North Business 77  
Combes, TX 78535</t>
  </si>
  <si>
    <t>Stephen's Service Techician</t>
  </si>
  <si>
    <t>806.789.0810</t>
  </si>
  <si>
    <t>Contact: Don
Phone: 806.789.0810</t>
  </si>
  <si>
    <t>Swanson Service</t>
  </si>
  <si>
    <t>(515) 993-2272</t>
  </si>
  <si>
    <t>swansonservice@msn.com</t>
  </si>
  <si>
    <t>Usually completes calls within 24 hrs</t>
  </si>
  <si>
    <t>OT: $135/hr labor + $172.50/hr travel (round trip)</t>
  </si>
  <si>
    <t>Travel $115/hr, round trip, billed hourly</t>
  </si>
  <si>
    <t>Wilbur Curtis (full service confirmed). Does NOT service Schaerer espresso machines.</t>
  </si>
  <si>
    <t>IA
IA ZIPs: 50158, 50248, 50421, 50468, 50525, 50590, 50595, 50703, 51446, 51531, 51537, 51546, 52501, 52544</t>
  </si>
  <si>
    <t>Scott Swanson / Lisa
Phone: (515) 993-2272
Email: swansonservice@msn.com</t>
  </si>
  <si>
    <t>Not provided - follow up</t>
  </si>
  <si>
    <t>Carries parts on vehicle (details not provided)</t>
  </si>
  <si>
    <t>Main office in Adel, IA. Serves North Central / NE Iowa; confirmed they can service all listed locations. Same 15 IA ZIPs as Beverage Equipment Service.
Response was brief - no details on PM pricing, parts stocking, dispatch process, or W-9. Follow-up recommended.</t>
  </si>
  <si>
    <t>2026-06-25</t>
  </si>
  <si>
    <t>Thunderbird Equipment Service</t>
  </si>
  <si>
    <t>480-294-2434</t>
  </si>
  <si>
    <t>Thunderbird Equipment
Brian Koren
President and Founder
Thunderbird Equipment Service
480-294-2434 C
602-675-2420 O
Thunderbirdequipment.com
10439 N Cave Creek Rd Suite 10. 
Phoenix, AZ 85020</t>
  </si>
  <si>
    <t>Ultimate Espresso Services</t>
  </si>
  <si>
    <t>314.541.5256</t>
  </si>
  <si>
    <t>ultimateespressoservices@gmail.com</t>
  </si>
  <si>
    <t>Ultimate Espresso Services
Contact: Azmir
Phone: 314.541.5256
ultimateespressoservices@gmail.com
Shipping Address:
5608 Wickershire Ln
St Louis, MO 63129
Liftgate is needed</t>
  </si>
  <si>
    <t>WHITEHEAD FOOD EQUIPMENT</t>
  </si>
  <si>
    <t>Office: 405-528-5117</t>
  </si>
  <si>
    <t>Nate@wfeokc.com</t>
  </si>
  <si>
    <t>Mobile: 405-887-0047</t>
  </si>
  <si>
    <t>Juan@wfeokc.com</t>
  </si>
  <si>
    <t>Generally same day or within 24 hours (varies with workload)</t>
  </si>
  <si>
    <t>Service Calls / Repairs $110 per hour</t>
  </si>
  <si>
    <t>Travel — OKC Metro (Local) $65 flat Within Oklahoma City Metro
Travel — Outside OKC Metro $110 per hour Round trip</t>
  </si>
  <si>
    <t>• Wilbur Curtis — Supported (stocked parts)
• Schaerer — Supported (stocked parts)</t>
  </si>
  <si>
    <t>Oklahoma ZIP codes confirmed covered (73010, 73030, 73036, 73401, 73446, 73459, 73521, 73542, 73644, 73942, 74432, 74467, 74525, 74553,
74554, 74820
OK ZIPs: 74728</t>
  </si>
  <si>
    <t>Juan Herrera
Director of Operationsr
Phone: Mobile: 405-887-0047
Email: Juan@wfeokc.com</t>
  </si>
  <si>
    <t>Preventive Maintenance (PM) $110 per hour</t>
  </si>
  <si>
    <t>Entire state of Oklahoma + surrounding states (if travel costs approved)
Warehouses: Multiple regional warehouses (travel billed from nearest one). Strong presence in Southwest &amp; Plains states.</t>
  </si>
  <si>
    <t>Account Name</t>
  </si>
  <si>
    <t>Main Email</t>
  </si>
  <si>
    <t>Primary Contact</t>
  </si>
  <si>
    <t>Main Phone</t>
  </si>
  <si>
    <t>Address</t>
  </si>
  <si>
    <t>City</t>
  </si>
  <si>
    <t>Zip</t>
  </si>
  <si>
    <t>Equipment Details</t>
  </si>
  <si>
    <t>Ownership</t>
  </si>
  <si>
    <t>Primary Provider</t>
  </si>
  <si>
    <t>Dispatch Phone &amp; Email</t>
  </si>
  <si>
    <t>Secondary Provider</t>
  </si>
  <si>
    <t>Secondary Phone &amp; Email</t>
  </si>
  <si>
    <t>Service Region</t>
  </si>
  <si>
    <t>Last Updated</t>
  </si>
  <si>
    <t>MTA Engineers, INC</t>
  </si>
  <si>
    <t>lajean@mtaengineers.com</t>
  </si>
  <si>
    <t>Claudia Bremer</t>
  </si>
  <si>
    <t>501.753.2526</t>
  </si>
  <si>
    <t>8001 National Drive</t>
  </si>
  <si>
    <t>Little Rock</t>
  </si>
  <si>
    <t>72209</t>
  </si>
  <si>
    <t>Virtu 9236A</t>
  </si>
  <si>
    <t>Lease</t>
  </si>
  <si>
    <t>Arkansas Area</t>
  </si>
  <si>
    <t>Porsche Little Rock</t>
  </si>
  <si>
    <t>aravi@indigoautogroup.com</t>
  </si>
  <si>
    <t>Ashley Ravi</t>
  </si>
  <si>
    <t>501.497.5656</t>
  </si>
  <si>
    <t>516 Colonel Glenn Plaza Loop</t>
  </si>
  <si>
    <t>72210</t>
  </si>
  <si>
    <t>De Jong Duke Virtua93; La Marzocco Linea PB 2AV; La Marzocco Swift Grinder</t>
  </si>
  <si>
    <t>Lease; Owned - Purchased from Katz</t>
  </si>
  <si>
    <t>Dominick's Steakhouse</t>
  </si>
  <si>
    <t>joel@domsteak.com</t>
  </si>
  <si>
    <t>480-272-7271</t>
  </si>
  <si>
    <t>15169 N Scottsdale Rd</t>
  </si>
  <si>
    <t>Scottsdale</t>
  </si>
  <si>
    <t>85254</t>
  </si>
  <si>
    <t>Cameo c'2s (Downstairs); Cameo c'2s (Upstairs); Wilbur Curtis G4TP1S63A3100 Coffee Brewer; Wilbur Curtis ILGD-10</t>
  </si>
  <si>
    <t>Owned - Purchased from 3rd Party</t>
  </si>
  <si>
    <t>Arizona Area</t>
  </si>
  <si>
    <t>Durant's Steakhouse</t>
  </si>
  <si>
    <t>andria@primesteakconcepts.com</t>
  </si>
  <si>
    <t>Paul Morris</t>
  </si>
  <si>
    <t>6022645967</t>
  </si>
  <si>
    <t>2611 N Central Ave</t>
  </si>
  <si>
    <t>Phoenix</t>
  </si>
  <si>
    <t>85004</t>
  </si>
  <si>
    <t>Fetco 1231 Plus; Eversys Cameo c'2s</t>
  </si>
  <si>
    <t>Loaned; Owned - Purchased from 3rd Party</t>
  </si>
  <si>
    <t>Ocean 44 Scottsdale</t>
  </si>
  <si>
    <t>craig@ocean44.com</t>
  </si>
  <si>
    <t>480.867.0044</t>
  </si>
  <si>
    <t>4748 N Goldwater Blvd</t>
  </si>
  <si>
    <t>85251</t>
  </si>
  <si>
    <t>Cameo c'2s; Wilbur Curtis G4TP1S63A3100 Coffee Brewer; Wilbur Curtis ILGD-10 Grinder</t>
  </si>
  <si>
    <t>Steak 44 Phoenix</t>
  </si>
  <si>
    <t>jonathan@steak44.com</t>
  </si>
  <si>
    <t>602.271.4400</t>
  </si>
  <si>
    <t>5101 N 44th St</t>
  </si>
  <si>
    <t>85018</t>
  </si>
  <si>
    <t>Wilbur Curtis G4TP1S63A100 Coffee Brewer; Bunn MHG Grinder; Cameo c'2s</t>
  </si>
  <si>
    <t>iPEC</t>
  </si>
  <si>
    <t>mbaker@indigoautogroup.com</t>
  </si>
  <si>
    <t>Patrick Stam</t>
  </si>
  <si>
    <t>760.393.4400</t>
  </si>
  <si>
    <t>6 Jasper Way</t>
  </si>
  <si>
    <t>Thermal</t>
  </si>
  <si>
    <t>92274</t>
  </si>
  <si>
    <t>Eversys Cameo c'2m; c'Fridge Beside</t>
  </si>
  <si>
    <t>California Area</t>
  </si>
  <si>
    <t>Kol Fac #070CF - Tustin, CA</t>
  </si>
  <si>
    <t>tkskaff@kolfac.com</t>
  </si>
  <si>
    <t>Kathy/Destiny</t>
  </si>
  <si>
    <t>714.730.2253</t>
  </si>
  <si>
    <t>14091 Newport Avenue</t>
  </si>
  <si>
    <t>Tustin</t>
  </si>
  <si>
    <t>92780</t>
  </si>
  <si>
    <t>ITCB Combo Brewer; Cameo c'2s</t>
  </si>
  <si>
    <t>Loaned; Owned - Purchased from Katz</t>
  </si>
  <si>
    <t>Kol Fac #071CF - Huntington Beach, CA</t>
  </si>
  <si>
    <t>skaffkathy@yahoo.com</t>
  </si>
  <si>
    <t>Kathy Skaff</t>
  </si>
  <si>
    <t>949.235.6782</t>
  </si>
  <si>
    <t>6502 Bolsa Avenue, Unit 102</t>
  </si>
  <si>
    <t>Huntington Beach</t>
  </si>
  <si>
    <t>92647</t>
  </si>
  <si>
    <t>Bunn ITCB Combo Brewer (NS)</t>
  </si>
  <si>
    <t>Loaned</t>
  </si>
  <si>
    <t>Ocean 48 Newport Beach</t>
  </si>
  <si>
    <t>brent@ocean48.com</t>
  </si>
  <si>
    <t>949.989.0048</t>
  </si>
  <si>
    <t>151 Newport Center Drive</t>
  </si>
  <si>
    <t>Newport Beach</t>
  </si>
  <si>
    <t>92660</t>
  </si>
  <si>
    <t>Porsche Marin</t>
  </si>
  <si>
    <t>marinvendors@indigoautogroup.com</t>
  </si>
  <si>
    <t>(415) 944-1610</t>
  </si>
  <si>
    <t>900 Redwood Hwy</t>
  </si>
  <si>
    <t>Mill Valley</t>
  </si>
  <si>
    <t>94941</t>
  </si>
  <si>
    <t>La Marzocco Linea PB 2AV; La Marzocco Swift Grinder; BWS100/10</t>
  </si>
  <si>
    <t>Owned - Purchased from Katz</t>
  </si>
  <si>
    <t>Rolls Royce - Rancho Mirage</t>
  </si>
  <si>
    <t>lmccurley@indigoautogroup.com</t>
  </si>
  <si>
    <t>Lesley McCurley</t>
  </si>
  <si>
    <t>760.773.5000</t>
  </si>
  <si>
    <t>71-387 Highway 111</t>
  </si>
  <si>
    <t>Rancho Mirage</t>
  </si>
  <si>
    <t>92270</t>
  </si>
  <si>
    <t>Steak 48 Beverly Hills</t>
  </si>
  <si>
    <t>leila@steak48.com</t>
  </si>
  <si>
    <t>310.388.0048</t>
  </si>
  <si>
    <t>9680 Wilshire Blvd.</t>
  </si>
  <si>
    <t>Beverly Hills</t>
  </si>
  <si>
    <t>90212</t>
  </si>
  <si>
    <t>Cameo c'2s; Wilbur Curtis G4TPX2S63A3100 Coffee Brewer; Wilbur Curtis ILGD-10 Grinder</t>
  </si>
  <si>
    <t>Steak 48 Del Mar</t>
  </si>
  <si>
    <t>jacob@steak48.com</t>
  </si>
  <si>
    <t>619.901.0048</t>
  </si>
  <si>
    <t>12995 El Camino Real</t>
  </si>
  <si>
    <t>Del Mar Heights</t>
  </si>
  <si>
    <t>92130</t>
  </si>
  <si>
    <t>Rare Italian</t>
  </si>
  <si>
    <t>collinm@rareitalian.com</t>
  </si>
  <si>
    <t>Collin McDowell</t>
  </si>
  <si>
    <t>970.294.4544</t>
  </si>
  <si>
    <t>101 South College Avenue</t>
  </si>
  <si>
    <t>Fort Collins</t>
  </si>
  <si>
    <t>80524</t>
  </si>
  <si>
    <t>Cameo c'2s</t>
  </si>
  <si>
    <t>Colorado Area</t>
  </si>
  <si>
    <t>Rio Grande Mexican Restaurant - Boulder</t>
  </si>
  <si>
    <t>boulder@riograndemexican.com</t>
  </si>
  <si>
    <t>Julio Vasquez</t>
  </si>
  <si>
    <t>303.444.3690</t>
  </si>
  <si>
    <t>1101 Walnut St</t>
  </si>
  <si>
    <t>Boulder</t>
  </si>
  <si>
    <t>80302</t>
  </si>
  <si>
    <t>ITCB w/Shelf (New Style)</t>
  </si>
  <si>
    <t>Rio Grande Mexican Restaurant - Denver</t>
  </si>
  <si>
    <t>denver@riograndemexican.com</t>
  </si>
  <si>
    <t>Matt Ciani</t>
  </si>
  <si>
    <t>303.623.5432</t>
  </si>
  <si>
    <t>1745 Wazee St</t>
  </si>
  <si>
    <t>Denver</t>
  </si>
  <si>
    <t>80202</t>
  </si>
  <si>
    <t>Rio Grande Mexican Restaurant - Greeley</t>
  </si>
  <si>
    <t>apgreeley@riograndemexican.com</t>
  </si>
  <si>
    <t>Eric Lozano</t>
  </si>
  <si>
    <t>970.304.9292</t>
  </si>
  <si>
    <t>825 9th Street</t>
  </si>
  <si>
    <t>Greeley</t>
  </si>
  <si>
    <t>80631</t>
  </si>
  <si>
    <t>Rio Grande Mexican Restaurant - Lone Tree</t>
  </si>
  <si>
    <t>lonetree@riograndemexican.com</t>
  </si>
  <si>
    <t>303.799.4999</t>
  </si>
  <si>
    <t>9535 Park Meadows Drive</t>
  </si>
  <si>
    <t>Lone Tree</t>
  </si>
  <si>
    <t>80124</t>
  </si>
  <si>
    <t>Rio Grande Mexican Restaurant- Ft Collins</t>
  </si>
  <si>
    <t>apfortcollins@riograndemexican.com</t>
  </si>
  <si>
    <t>Paul Sisson</t>
  </si>
  <si>
    <t>970.224.3049</t>
  </si>
  <si>
    <t>143 W Mountain Ave</t>
  </si>
  <si>
    <t>ITCB w/ Shelf (New Style)</t>
  </si>
  <si>
    <t>Truluck's - Washington DC</t>
  </si>
  <si>
    <t>trulucks-washingtondc@trulucks.com</t>
  </si>
  <si>
    <t>202.898.0680</t>
  </si>
  <si>
    <t>700 K Street NW, Suite 70</t>
  </si>
  <si>
    <t>Washington</t>
  </si>
  <si>
    <t>20001</t>
  </si>
  <si>
    <t>Eversys Cameo c'2s; ITCB w/Shelf (NS); H5X Hot Water Tower; FPG-2E</t>
  </si>
  <si>
    <t>Lease; Loaned</t>
  </si>
  <si>
    <t>Washington DC</t>
  </si>
  <si>
    <t>Hawkers - Delray Beach, FL</t>
  </si>
  <si>
    <t>APdelray107@eathawkers.com</t>
  </si>
  <si>
    <t>James Gnehm</t>
  </si>
  <si>
    <t>561.485.4111</t>
  </si>
  <si>
    <t>640 E. Atlantic Ave.</t>
  </si>
  <si>
    <t>Delray Beach</t>
  </si>
  <si>
    <t>33483</t>
  </si>
  <si>
    <t>Bunn ITCB Combo Brewer</t>
  </si>
  <si>
    <t>Florida Area</t>
  </si>
  <si>
    <t>Hawkers - Jacksonville, FL (Five Points)</t>
  </si>
  <si>
    <t>bkamarat@eathawkers.com</t>
  </si>
  <si>
    <t>Randy McCauley</t>
  </si>
  <si>
    <t>904.508.0342</t>
  </si>
  <si>
    <t>1001 Park St.</t>
  </si>
  <si>
    <t>Jacksonville</t>
  </si>
  <si>
    <t>32204</t>
  </si>
  <si>
    <t>ITCB Combo Brewer</t>
  </si>
  <si>
    <t>Hawkers - Neptune Beach, FL</t>
  </si>
  <si>
    <t>mtumminia@eathawkers.com</t>
  </si>
  <si>
    <t>Marie Tumminia</t>
  </si>
  <si>
    <t>904.425.1025</t>
  </si>
  <si>
    <t>241 N. Atlantic Blvd., Suite 101</t>
  </si>
  <si>
    <t>Neptune Beach</t>
  </si>
  <si>
    <t>32266</t>
  </si>
  <si>
    <t>Hawkers - Orlando, FL (Mills)</t>
  </si>
  <si>
    <t>APmills101@eathawkers.com</t>
  </si>
  <si>
    <t>Robert Wolfe</t>
  </si>
  <si>
    <t>407.237.0606</t>
  </si>
  <si>
    <t>1103 N. Mills Ave.</t>
  </si>
  <si>
    <t>Orlando</t>
  </si>
  <si>
    <t>32803</t>
  </si>
  <si>
    <t>Hawkers - St. Petersburg, FL</t>
  </si>
  <si>
    <t>sgolden@eathawkers.com</t>
  </si>
  <si>
    <t>Stephen Golden</t>
  </si>
  <si>
    <t>727.521.7253</t>
  </si>
  <si>
    <t>1235 Central Ave.</t>
  </si>
  <si>
    <t>St. Petersburg</t>
  </si>
  <si>
    <t>33705</t>
  </si>
  <si>
    <t>Hawkers - Windermere, FL</t>
  </si>
  <si>
    <t>gvavalides@eathawkers.com</t>
  </si>
  <si>
    <t>George Vavalides</t>
  </si>
  <si>
    <t>407.583.6334</t>
  </si>
  <si>
    <t>9100 Conroy Windermere Rd.</t>
  </si>
  <si>
    <t>Windermere</t>
  </si>
  <si>
    <t>34786</t>
  </si>
  <si>
    <t>Truluck's - Ft. Lauderdale</t>
  </si>
  <si>
    <t>trulucks-ftlauderdale@trulucks.com</t>
  </si>
  <si>
    <t>954.395.8175</t>
  </si>
  <si>
    <t>701 N Ft. Lauderdale Beach Blvd.</t>
  </si>
  <si>
    <t>Ft. Lauderdale</t>
  </si>
  <si>
    <t>33304</t>
  </si>
  <si>
    <t>Eversys Cameo c'2s; Bunn ITCB Combo Brewer; Bunn H5X; Bunn FPG-2E; Everpure OPS175</t>
  </si>
  <si>
    <t>Lease; Loaned; Owned - Purchased from Katz</t>
  </si>
  <si>
    <t>Truluck's - Miami</t>
  </si>
  <si>
    <t>trulucks-miami@trulucks.com</t>
  </si>
  <si>
    <t>305.579.0035</t>
  </si>
  <si>
    <t>777 Brickell Ave., Suite 100</t>
  </si>
  <si>
    <t>Miami</t>
  </si>
  <si>
    <t>Eversys Cameo c'2s; Bunn ITCB Combo Brewer; Bunn H5X Hot Water Tower; Bunn FPG Grinder</t>
  </si>
  <si>
    <t>Truluck's - Naples</t>
  </si>
  <si>
    <t>trulucks-naples@trulucks.com</t>
  </si>
  <si>
    <t>239.530.3131</t>
  </si>
  <si>
    <t>698 4th Avenue South</t>
  </si>
  <si>
    <t>Naples</t>
  </si>
  <si>
    <t>34102</t>
  </si>
  <si>
    <t>Eversys Cameo c'2s; Bunn ITCB Combo Brewer; Bunn FPG-2E Grinder; Bunn H5X Hot Water Tower</t>
  </si>
  <si>
    <t>Hawkers - Atlanta, GA (Ashford)</t>
  </si>
  <si>
    <t>sbenson@eathawkers.com</t>
  </si>
  <si>
    <t>Sam Benson</t>
  </si>
  <si>
    <t>407.255.2200</t>
  </si>
  <si>
    <t>1230 Ashford Crossing, Suite 300B</t>
  </si>
  <si>
    <t>Atlanta</t>
  </si>
  <si>
    <t>30346</t>
  </si>
  <si>
    <t>Georgia Area</t>
  </si>
  <si>
    <t>Hawkers - Atlanta, GA (Beltline)</t>
  </si>
  <si>
    <t>dwitherspoon@eathawkers.com</t>
  </si>
  <si>
    <t>Derrick Witherspoon</t>
  </si>
  <si>
    <t>661 Auburn Ave., Suite 180</t>
  </si>
  <si>
    <t>30312</t>
  </si>
  <si>
    <t>Two Chicks And A Cup of Joe</t>
  </si>
  <si>
    <t>angelalonestarstucco@gmail.com</t>
  </si>
  <si>
    <t>Angela Morgan</t>
  </si>
  <si>
    <t>9366621218</t>
  </si>
  <si>
    <t>130 Haley Ave</t>
  </si>
  <si>
    <t>Savannah</t>
  </si>
  <si>
    <t>31409</t>
  </si>
  <si>
    <t>ITCB Combo Brewer; G3 Retail Grinder; Eversys Cameo c'2s</t>
  </si>
  <si>
    <t>Steak 48 Chicago</t>
  </si>
  <si>
    <t>david@steak48.com</t>
  </si>
  <si>
    <t>312.266.4848</t>
  </si>
  <si>
    <t>615 N Wabash Ave</t>
  </si>
  <si>
    <t>Chicago</t>
  </si>
  <si>
    <t>60611</t>
  </si>
  <si>
    <t>Cameo c'2s #1; Cameo c'2s #2; Wilbur Curtis TP2T19A3100 Coffee Brewer; Wilbur Curtis ILGD-10</t>
  </si>
  <si>
    <t>Illinois Area</t>
  </si>
  <si>
    <t>Truluck's - Rosemont</t>
  </si>
  <si>
    <t>trulucks-rosemont@trulucks.com</t>
  </si>
  <si>
    <t>312.982.0050</t>
  </si>
  <si>
    <t>9860 Berwyn Ave.</t>
  </si>
  <si>
    <t>Rosemont</t>
  </si>
  <si>
    <t>60018</t>
  </si>
  <si>
    <t>Bunn ITCB Combo Brewer #1; Cameo c'2s (Downstairs); Bunn ITCB Combo Brewer #2; Bunn H5X Hot Water Tower 1; Bunn H5X Hot Water Tower 2 (+3 more)</t>
  </si>
  <si>
    <t>Kol Fac #020 - Castleton, IN</t>
  </si>
  <si>
    <t>alicia@kolfac.com</t>
  </si>
  <si>
    <t>Jason Lineberry</t>
  </si>
  <si>
    <t>317.842.7200</t>
  </si>
  <si>
    <t>9650 Allisonville Rd.</t>
  </si>
  <si>
    <t>Indianapolis</t>
  </si>
  <si>
    <t>46250</t>
  </si>
  <si>
    <t>Indiana Area</t>
  </si>
  <si>
    <t>Kol Fac #074C - Carmel, IN</t>
  </si>
  <si>
    <t>Tyler Johnson</t>
  </si>
  <si>
    <t>317.816.2253</t>
  </si>
  <si>
    <t>DELIVER BEFORE 2</t>
  </si>
  <si>
    <t>Carmel</t>
  </si>
  <si>
    <t>46032</t>
  </si>
  <si>
    <t>Cameo c'2s; Bunn ITCB Combo Brewer (NS)</t>
  </si>
  <si>
    <t>Loaned; Owned</t>
  </si>
  <si>
    <t>Kol Fac #107F - Carmel, IN</t>
  </si>
  <si>
    <t>Lanhaywood@kolfac.com</t>
  </si>
  <si>
    <t>Lan Haywood</t>
  </si>
  <si>
    <t>317.983.3048</t>
  </si>
  <si>
    <t>10460 North Michigan Rd., Suite 110</t>
  </si>
  <si>
    <t>Bunn Axiom-APS</t>
  </si>
  <si>
    <t>Twin Peaks- Greenwood, IN</t>
  </si>
  <si>
    <t>accounting@avalanchefoodgroup.com</t>
  </si>
  <si>
    <t>EMILIO GONZALES</t>
  </si>
  <si>
    <t>317-743-0038</t>
  </si>
  <si>
    <t>600 Greenwood Park Dr N</t>
  </si>
  <si>
    <t>Greenwood</t>
  </si>
  <si>
    <t>46142</t>
  </si>
  <si>
    <t>ITCB Combo Brewer (Expo Line Kitchen); ITCB Combo Brewer</t>
  </si>
  <si>
    <t>Twin Peaks- Indianapolis, IN</t>
  </si>
  <si>
    <t>CHRIS DINGES</t>
  </si>
  <si>
    <t>317-913-0992</t>
  </si>
  <si>
    <t>6880 East 82nd Street</t>
  </si>
  <si>
    <t>ITCB Combo Brewer #1; ITCB Combo Brewer #2</t>
  </si>
  <si>
    <t>Kol Fac #037F - Deer Creek, KS</t>
  </si>
  <si>
    <t>Alicia@kolfac.com</t>
  </si>
  <si>
    <t>Gary</t>
  </si>
  <si>
    <t>620.340.0785</t>
  </si>
  <si>
    <t>7112 W. 135th St.</t>
  </si>
  <si>
    <t>Overland Park</t>
  </si>
  <si>
    <t>66223</t>
  </si>
  <si>
    <t>Bunn Axiom-APS; Bunn ITCB Combo Brewer (NS)</t>
  </si>
  <si>
    <t>Kansas Area</t>
  </si>
  <si>
    <t>Kol Fac #087C - Shawnee, KS</t>
  </si>
  <si>
    <t>Gary Goyer</t>
  </si>
  <si>
    <t>913-631-6000</t>
  </si>
  <si>
    <t>13103 Shawnee Mission Pkwy</t>
  </si>
  <si>
    <t>Shawnee</t>
  </si>
  <si>
    <t>66216</t>
  </si>
  <si>
    <t>Eversys Cameo c'2s; Bunn ITCB Combo Brewer</t>
  </si>
  <si>
    <t>Coffee 30 - Ryan St.</t>
  </si>
  <si>
    <t>purchasing@coffee30co.com</t>
  </si>
  <si>
    <t>Taylor Smith</t>
  </si>
  <si>
    <t>337.309.0584</t>
  </si>
  <si>
    <t>3420 Ryan St.</t>
  </si>
  <si>
    <t>Lake Charles</t>
  </si>
  <si>
    <t>70605</t>
  </si>
  <si>
    <t>Enigma e'4s Super Traditional</t>
  </si>
  <si>
    <t>Lousiana Area</t>
  </si>
  <si>
    <t>Doris Metropolitan - New Orleans</t>
  </si>
  <si>
    <t>admin@dorismet.com</t>
  </si>
  <si>
    <t>Chris Dulaney</t>
  </si>
  <si>
    <t>504.267.3500</t>
  </si>
  <si>
    <t>620 Chartres St.</t>
  </si>
  <si>
    <t>New Orleans</t>
  </si>
  <si>
    <t>70130</t>
  </si>
  <si>
    <t>Faema X20</t>
  </si>
  <si>
    <t>Southlake Theater</t>
  </si>
  <si>
    <t>finance@porcheinc.com</t>
  </si>
  <si>
    <t>Jacob Ryan Porche</t>
  </si>
  <si>
    <t>337-426-1794</t>
  </si>
  <si>
    <t>4720 Nelson Rd Suite #100</t>
  </si>
  <si>
    <t>Eversys e'4s ST; 1152 V+ Coffee Brewer; BWS100/10; GR2.3 Dual Portion Grinder; G3 (Flavor) (+1 more)</t>
  </si>
  <si>
    <t>Hawkers - Bethesda, MD</t>
  </si>
  <si>
    <t>DSELLERS@EATHAWKERS.COM</t>
  </si>
  <si>
    <t>Jeremy George</t>
  </si>
  <si>
    <t>240.203.8135</t>
  </si>
  <si>
    <t>7117 Bethesda Lane</t>
  </si>
  <si>
    <t>Bethesda</t>
  </si>
  <si>
    <t>20814</t>
  </si>
  <si>
    <t>Bunn ITB Tea Brewer</t>
  </si>
  <si>
    <t>Maryland Area</t>
  </si>
  <si>
    <t>Kol Fac #021F - Brentwood, MO</t>
  </si>
  <si>
    <t>jsmith@kolfac.com</t>
  </si>
  <si>
    <t>314.968.2253</t>
  </si>
  <si>
    <t>2604 S. Brentwood</t>
  </si>
  <si>
    <t>Brentwood</t>
  </si>
  <si>
    <t>63144</t>
  </si>
  <si>
    <t>Missouri Area</t>
  </si>
  <si>
    <t>Porsche Chesterfield</t>
  </si>
  <si>
    <t>STLvendors@porschestlouis.com</t>
  </si>
  <si>
    <t>17455 N OUTER 40 RD</t>
  </si>
  <si>
    <t>CHESTERFIELD</t>
  </si>
  <si>
    <t>63005</t>
  </si>
  <si>
    <t>La Marzocco Linea PB 2AV; La Marzocco Swift Grinder; Everpure BWS100/10</t>
  </si>
  <si>
    <t>GM Performance Power Units</t>
  </si>
  <si>
    <t>accountspayable@gmppu.com</t>
  </si>
  <si>
    <t>845-206-2949</t>
  </si>
  <si>
    <t>4540 Fortune Ave NW</t>
  </si>
  <si>
    <t>Concord</t>
  </si>
  <si>
    <t>28027</t>
  </si>
  <si>
    <t>Bunn Sure Immersion 312; Bunn Axiom-APS Brewer</t>
  </si>
  <si>
    <t>North and South Carolina Area</t>
  </si>
  <si>
    <t>Hawkers - Chapel Hill, NC</t>
  </si>
  <si>
    <t>eathawkers@documents.restaurant365.com</t>
  </si>
  <si>
    <t>Rob Walker</t>
  </si>
  <si>
    <t>201 S. Estes Drive, Suite 400A</t>
  </si>
  <si>
    <t>Chapel Hill</t>
  </si>
  <si>
    <t>27514</t>
  </si>
  <si>
    <t>Hawkers - Charlotte, NC</t>
  </si>
  <si>
    <t>Robert Field</t>
  </si>
  <si>
    <t>(704) 464-0770</t>
  </si>
  <si>
    <t>1930 Camden Rd., Suite 260</t>
  </si>
  <si>
    <t>Charlotte</t>
  </si>
  <si>
    <t>28203</t>
  </si>
  <si>
    <t>Spire Motorsports</t>
  </si>
  <si>
    <t>rachael@katzcoffee.com</t>
  </si>
  <si>
    <t>Paul Horner</t>
  </si>
  <si>
    <t>704.662.0000</t>
  </si>
  <si>
    <t>351 Mazeppa Rd.</t>
  </si>
  <si>
    <t>Mooresville</t>
  </si>
  <si>
    <t>28115</t>
  </si>
  <si>
    <t>Bunn Axiom-APS (Break Room); Bunn Axiom-APS (Conference Room); Bunn Axiom-TC (War Room); Bunn LPG Grinder (Employee Break Room); Bunn LPG Grinder (Conference Room) (+4 more)</t>
  </si>
  <si>
    <t>Steak 48 Charlotte</t>
  </si>
  <si>
    <t>ed@steak48.com</t>
  </si>
  <si>
    <t>980.580.4848</t>
  </si>
  <si>
    <t>4425 Sharon Rd</t>
  </si>
  <si>
    <t>28211</t>
  </si>
  <si>
    <t>Cameo c'2s; Bunn Axiom-APS; Bunn MHG</t>
  </si>
  <si>
    <t>Kol Fac #085F - Omaha, NE</t>
  </si>
  <si>
    <t>wilber.enterprises@gmail.com</t>
  </si>
  <si>
    <t>Andy Wilber</t>
  </si>
  <si>
    <t>402.218.1698</t>
  </si>
  <si>
    <t>4105 S. 84th</t>
  </si>
  <si>
    <t>Omaha</t>
  </si>
  <si>
    <t>68127</t>
  </si>
  <si>
    <t>Nebraska Area</t>
  </si>
  <si>
    <t>The Mystic at Santa Fe, LLC</t>
  </si>
  <si>
    <t>rick@rickmgoldberg.com</t>
  </si>
  <si>
    <t>Rick Goldberg</t>
  </si>
  <si>
    <t>2810 Cerrillos Rd</t>
  </si>
  <si>
    <t>Santa Fe</t>
  </si>
  <si>
    <t>87507</t>
  </si>
  <si>
    <t>Bunn Axiom-APS; Eversys Cameo c'2s</t>
  </si>
  <si>
    <t>New Mexico Area</t>
  </si>
  <si>
    <t>Emilio's</t>
  </si>
  <si>
    <t>sorellina01@refinedhq.com</t>
  </si>
  <si>
    <t>Michael Santos</t>
  </si>
  <si>
    <t>9742 West Maule Ave</t>
  </si>
  <si>
    <t>Las Vegas</t>
  </si>
  <si>
    <t>89148</t>
  </si>
  <si>
    <t>Enigma e'4s Classic</t>
  </si>
  <si>
    <t>Sorellina's</t>
  </si>
  <si>
    <t>courtney</t>
  </si>
  <si>
    <t>La Michoacana #08 - Oklahoma City, OK</t>
  </si>
  <si>
    <t>invoices@lmmm.net</t>
  </si>
  <si>
    <t>2701 Southwest 29th St.</t>
  </si>
  <si>
    <t>Oklahoma City</t>
  </si>
  <si>
    <t>73119</t>
  </si>
  <si>
    <t>Bunn ITCB no Shelf</t>
  </si>
  <si>
    <t>Oklahoma Area</t>
  </si>
  <si>
    <t>La Michoacana #10 - Oklahoma City, OK</t>
  </si>
  <si>
    <t>405.632.5552</t>
  </si>
  <si>
    <t>415 SW 59th St.</t>
  </si>
  <si>
    <t>73109</t>
  </si>
  <si>
    <t>La Michoacana #11 - Oklahoma City, OK</t>
  </si>
  <si>
    <t>1104 Southeast 44th St.</t>
  </si>
  <si>
    <t>73129</t>
  </si>
  <si>
    <t>La Michoacana - Oklahoma City, OK</t>
  </si>
  <si>
    <t>maximocruz@lmmm.net</t>
  </si>
  <si>
    <t>Yesenia Gomez</t>
  </si>
  <si>
    <t>405.635.1130</t>
  </si>
  <si>
    <t>1125 SW 29th St.</t>
  </si>
  <si>
    <t>Steak 48 Philadelphia</t>
  </si>
  <si>
    <t>william@steak48.com</t>
  </si>
  <si>
    <t>215.552.4848</t>
  </si>
  <si>
    <t>260 South Broad St</t>
  </si>
  <si>
    <t>Philadelphia</t>
  </si>
  <si>
    <t>19102</t>
  </si>
  <si>
    <t>Fetco GR2.2 Grinder; Cameo c'2s; Fetco 2131-XTS</t>
  </si>
  <si>
    <t>Philadelphia Area</t>
  </si>
  <si>
    <t>Kol Fac #098 - Powdersville, SC</t>
  </si>
  <si>
    <t>607.760.0216</t>
  </si>
  <si>
    <t>3609 Highway 153</t>
  </si>
  <si>
    <t>Powdersville</t>
  </si>
  <si>
    <t>29611</t>
  </si>
  <si>
    <t>Hawkers - Nashville, TN</t>
  </si>
  <si>
    <t>APnashville110@eathawkers.com</t>
  </si>
  <si>
    <t>Linda Hurd</t>
  </si>
  <si>
    <t>615-600-4762</t>
  </si>
  <si>
    <t>626-A Main Street</t>
  </si>
  <si>
    <t>Nashville</t>
  </si>
  <si>
    <t>37206</t>
  </si>
  <si>
    <t>Tennessee Area</t>
  </si>
  <si>
    <t>Cotton Court Hotel</t>
  </si>
  <si>
    <t>corpacct@valenciagroup.com</t>
  </si>
  <si>
    <t>806.758.5800</t>
  </si>
  <si>
    <t>1610 Broadway</t>
  </si>
  <si>
    <t>Lubbock</t>
  </si>
  <si>
    <t>79401</t>
  </si>
  <si>
    <t>Eversys Cameo c'2s; ITCB no shelf 220V; ITCB no Shelf 120V #2</t>
  </si>
  <si>
    <t>Texas Area</t>
  </si>
  <si>
    <t>Kol Fac #028 - Trentonview</t>
  </si>
  <si>
    <t>Jason Schneider</t>
  </si>
  <si>
    <t>956.686.2578</t>
  </si>
  <si>
    <t>7017-U N 10th</t>
  </si>
  <si>
    <t>McAllen</t>
  </si>
  <si>
    <t>78504</t>
  </si>
  <si>
    <t>La Michoacana #01 - McAllen, TX</t>
  </si>
  <si>
    <t>Ruben Aranda</t>
  </si>
  <si>
    <t>956.630.2330</t>
  </si>
  <si>
    <t>2200 N. 10th St., Suite C</t>
  </si>
  <si>
    <t>78505</t>
  </si>
  <si>
    <t>La Michoacana #02 - Pharr, TX</t>
  </si>
  <si>
    <t>Antonio Aranda</t>
  </si>
  <si>
    <t>956.283.0995</t>
  </si>
  <si>
    <t>806 S. Cage Blvd.</t>
  </si>
  <si>
    <t>Pharr</t>
  </si>
  <si>
    <t>78577</t>
  </si>
  <si>
    <t>La Michoacana #03 - Harlingen, TX</t>
  </si>
  <si>
    <t>Jose Melendez</t>
  </si>
  <si>
    <t>956.425.7018</t>
  </si>
  <si>
    <t>902 W. Harrison Ave.</t>
  </si>
  <si>
    <t>Harlingen</t>
  </si>
  <si>
    <t>78550</t>
  </si>
  <si>
    <t>La Michoacana #04 - Weslaco, TX</t>
  </si>
  <si>
    <t>lmval04@lmmm.net</t>
  </si>
  <si>
    <t>Esther Sanchez</t>
  </si>
  <si>
    <t>956.968.8685</t>
  </si>
  <si>
    <t>3001 E. Expressway 83</t>
  </si>
  <si>
    <t>Weslaco</t>
  </si>
  <si>
    <t>78596</t>
  </si>
  <si>
    <t>La Michoacana #06 - Harlingen, TX</t>
  </si>
  <si>
    <t>Mario Vasquez</t>
  </si>
  <si>
    <t>956.440.8702</t>
  </si>
  <si>
    <t>1221 N. 7th St.</t>
  </si>
  <si>
    <t>La Michoacana #08 - Brownsville, TX</t>
  </si>
  <si>
    <t>Alejandra Robertson</t>
  </si>
  <si>
    <t>956.544.4806</t>
  </si>
  <si>
    <t>770 W. Elizabeth</t>
  </si>
  <si>
    <t>Brownsville</t>
  </si>
  <si>
    <t>78520</t>
  </si>
  <si>
    <t>Twin Peaks- Corpus Christi, TX</t>
  </si>
  <si>
    <t>BRIAN CONNELLY</t>
  </si>
  <si>
    <t>361-992-7325</t>
  </si>
  <si>
    <t>5425 South Padre Island Drive</t>
  </si>
  <si>
    <t>Corpus Christi</t>
  </si>
  <si>
    <t>78411</t>
  </si>
  <si>
    <t>Twin Peaks- McAllen, TX</t>
  </si>
  <si>
    <t>clint.hurry@avalanchefoodgroup.com</t>
  </si>
  <si>
    <t>CLINT HURRY</t>
  </si>
  <si>
    <t>956-215-8002</t>
  </si>
  <si>
    <t>901 Interstate Hwy 2, W Expy 83</t>
  </si>
  <si>
    <t>78503</t>
  </si>
  <si>
    <t>ITCB Combo Brewer (NS)</t>
  </si>
  <si>
    <t>Hawkers - Arlington, VA (Ballston)</t>
  </si>
  <si>
    <t>Simon Brown</t>
  </si>
  <si>
    <t>(703) 828-8287</t>
  </si>
  <si>
    <t>4201 Wilson Blvd., Suite 0170</t>
  </si>
  <si>
    <t>Arlington</t>
  </si>
  <si>
    <t>22203</t>
  </si>
  <si>
    <t>Virginia Area</t>
  </si>
  <si>
    <t>Kol Fac #081C - Virginia Beach</t>
  </si>
  <si>
    <t>store81@kolfac.com</t>
  </si>
  <si>
    <t>757.340.5732</t>
  </si>
  <si>
    <t>460 S Independence Blvd.</t>
  </si>
  <si>
    <t>Virginia Beach</t>
  </si>
  <si>
    <t>23452</t>
  </si>
  <si>
    <t>HOW TO KEEP THIS DATABASE UPDATED</t>
  </si>
  <si>
    <t>EVERYTHING UPDATES AUTOMATICALLY</t>
  </si>
  <si>
    <t>- Add a provider anywhere in rows 2-101 of Service_Providers: it instantly appears in the Primary/Secondary Provider dropdowns on the Accounts tab and in the Accounts by Provider table on the Dashboard. No named ranges or formulas to extend.</t>
  </si>
  <si>
    <t>- Add an account anywhere in rows 2-300 of Accounts: the Dashboard state counts pick it up automatically, and the dispatch formulas and dropdowns are already in place on those rows.</t>
  </si>
  <si>
    <t>- Only exception: a brand-new STATE needs one new row added to the Coverage by State table on the Dashboard (copy an existing row's formulas).</t>
  </si>
  <si>
    <t>ACCOUNTS TAB - COLUMN LAYOUT</t>
  </si>
  <si>
    <t>Cols A-J: account + equipment info | K: Primary Provider (dropdown) | L: Dispatch Phone &amp; Email (auto-fills from Service_Providers when K is chosen - green formula, do not type over) | M: Secondary Provider (dropdown) | N: Secondary Phone &amp; Email (auto-fills from M) | O: Service Region | P: Last Updated</t>
  </si>
  <si>
    <t>- Yellow cells in column K = account with no primary provider assigned; clears when you pick one.</t>
  </si>
  <si>
    <t>- Update Last Updated (col P) whenever you change a row.</t>
  </si>
  <si>
    <t>SERVICE_PROVIDERS TAB - COLUMN LAYOUT</t>
  </si>
  <si>
    <t>Columns (in order): Provider_Name | Status | Primary Dispatch Phone | Primary Dispatch Email | Secondary Dispatch Phone | Secondary Dispatch Email | Response Time | Standard Rate | After Hours Rate | Travel Rate Policy | Equipment Serviced | States / ZIP Coverage | Contacts | PM Pricing | Parts Stocking | Coverage Notes / Key Notes | Last_Updated</t>
  </si>
  <si>
    <t>- Always fill in Primary Dispatch Phone (col C) and Primary Dispatch Email (col D) - the Accounts tab and Dashboard read these.</t>
  </si>
  <si>
    <t>- Rate, travel, response-time, and contact details for the six Yesway network providers were carried over exactly as they appear in the Yesway tracker.</t>
  </si>
  <si>
    <t>- Providers merged from the 3rd Party file keep their full original contact block in the Contacts column; dispatch phones/emails were parsed from it - verify before relying on them.</t>
  </si>
  <si>
    <t>- Yellow Status cells = status not yet confirmed. Dropdown: Active / Pending Setup / Prospect / Inactive.</t>
  </si>
  <si>
    <t>MERGE / CLEANING NOTES (2026-07-15)</t>
  </si>
  <si>
    <t>- Anytime Beverage &amp; Anytime Beverage Service consolidated into one entry (CA + CO coverage).</t>
  </si>
  <si>
    <t>- Duplicate rows removed: Jaguar Coffee Co., Bev Pro Services, Midwest Equipment &amp; Espresso Specialists, Prestige Technical Services, Best Beverage.</t>
  </si>
  <si>
    <t>- Removed entirely: Espresso Services Inc, Espresso Services, Kaldi's Coffee, Bunn Technical Service.</t>
  </si>
  <si>
    <t>- ETSC / Espresso Tech / ETSC STL combined into "ETSC (EspressoTech Service Company)" using the Yesway record as the primary source; regional contacts kept in the Contacts column.</t>
  </si>
  <si>
    <t>- All 6 Yesway network providers added; where a provider existed in both files, the Yesway format and details won.</t>
  </si>
  <si>
    <t>- ZIP codes from the Yesway ZIP_Coverage tab were rolled up into States / ZIP Coverage for each provider.</t>
  </si>
  <si>
    <t>CONVENTIONS</t>
  </si>
  <si>
    <t>- Green text = formula-calculated cells (do not type over them).</t>
  </si>
  <si>
    <t>- Yellow fill = attention needed (no provider assigned / status unconfirmed).</t>
  </si>
  <si>
    <t>- Dark blue header rows are frozen; use the filter arrows to sort/filter.</t>
  </si>
  <si>
    <t>- Keep the Accounts tab sorted by State, then Account Name. Dates use YYYY-MM-DD.</t>
  </si>
  <si>
    <t>tech@fidel.coffee</t>
  </si>
  <si>
    <t>fidel@remolinosgroup.com</t>
  </si>
  <si>
    <t>C| 480-294-2434 
O| 602-675-2420</t>
  </si>
  <si>
    <t xml:space="preserve">service@thunderbirdequipment.com
</t>
  </si>
  <si>
    <t>brian@thunderbirdequipment.com</t>
  </si>
  <si>
    <t>Same day or Next day</t>
  </si>
  <si>
    <t>Eversys, Fetco</t>
  </si>
  <si>
    <t>Contact: Cynthia                                         Phone: 714-335-9964
Cell: 714-395-8108</t>
  </si>
  <si>
    <t>Emergency Service Calls
714-335-9964</t>
  </si>
  <si>
    <t xml:space="preserve">Contact: Cynthia                                         
Phone: 714-335-9964
Cell: 714-395-8108
Servi23275 Lawson Rd Corona, 
CA 92883 US
www.anytimebeverageservice.com
Accounting, Installation and Preventative Maintenance
714-395-8108
anytimebeverageservice@gmail.com
</t>
  </si>
  <si>
    <t>allstarcoffeeservice@gmail.com</t>
  </si>
  <si>
    <t>754.205.5076</t>
  </si>
  <si>
    <t>954.263.9530</t>
  </si>
  <si>
    <t>miguel@allespressoservice.com</t>
  </si>
  <si>
    <t xml:space="preserve">Katz Coffee </t>
  </si>
  <si>
    <t>713.864.3338</t>
  </si>
  <si>
    <t>service@katzcoffee.com</t>
  </si>
  <si>
    <t>832.517.9773</t>
  </si>
  <si>
    <t>priscila@espressosoutheast.com</t>
  </si>
  <si>
    <t>Same day when possible; most calls completed the next day</t>
  </si>
  <si>
    <t>Labor $100 / hour
Travel $100 / hour</t>
  </si>
  <si>
    <t>Labor $100
Travel $100 hr</t>
  </si>
  <si>
    <t>Labor OT $150
Trip OT $150</t>
  </si>
  <si>
    <t>Labor $135 hr
Travel $135 hr</t>
  </si>
  <si>
    <t>$195 first hour | $125 each additional hour
$70/hr travel</t>
  </si>
  <si>
    <t>Labor $90/hr
Travel $115/hr</t>
  </si>
  <si>
    <t>Labor $120/hr
Travel $85 hourly</t>
  </si>
  <si>
    <t>• Espresso: Most major brands — La Marzocco, Nuova Simonelli, Rancilio, Cimbali, Faema, and others
• Coffee &amp; Tea: Fetco, Curtis (Wilbur Curtis), Bunn</t>
  </si>
  <si>
    <t>– I-85N Greenville, SC
– I-20E Augusta, GA
– I-16E Swainsboro, GA
– I-75S Cordele, GA
– I-85S Auburn, AL
– I-20W Oxford, AL
– I-75N Chattanooga, TN</t>
  </si>
  <si>
    <t>Owner:  Mario Scoccimaro  
Service Manager: Andrew Kane  
Mario Jr.
Priscila (priscila@espressosoutheast.com)
Phone: 770-867-3111  
service@espressosoutheast.com</t>
  </si>
  <si>
    <t>Extensive inventory for many espresso machines. Fetco inventory is also extensive. Curtis and Bunn have many common parts (somewhat less depth).
• If a part is not in stock they can order quickly, or they are happy to use parts you supply from your inventory.</t>
  </si>
  <si>
    <t>N/A (no formal PM pricing program mentioned).</t>
  </si>
  <si>
    <t>One-way billing (standard). 1-hour minimum.
Extended travel may be billed
round-trip case-by-case</t>
  </si>
  <si>
    <t>1-hour minimum. After first hour billed in 15-min increments.</t>
  </si>
  <si>
    <t>Labor $150 / hour
Travel $150 / hour
Time-and-a-half on labor and travel.</t>
  </si>
  <si>
    <t>Intergrated Coffee Solutions</t>
  </si>
  <si>
    <t>Phone / Text: (864) 606-4418</t>
  </si>
  <si>
    <t>integratedcoffeesolutions@gmail.com</t>
  </si>
  <si>
    <t>Within 72 hours (depends on dispatch schedule)</t>
  </si>
  <si>
    <t>Standard Labor $115 / hour Standard hourly rate
Standard Travel $115 / hour 1-hour minimum after 15 minutes of travel. No return rate charged.</t>
  </si>
  <si>
    <t>Emergency Labor $175 / hour Emergency / after-hours rate
Emergency Travel $175 / hour Same 1-hour minimum after 15 min. No return rate charged.</t>
  </si>
  <si>
    <t>Will travel up to 3 hours from Spartanburg, SC before return travel rates apply. Coverage area is variable beyond that.</t>
  </si>
  <si>
    <t>• Traditional Espresso: La Marzocco, Astoria, Rocket Espresso, Nuova Simonelli, Synesso, Victoria Arduino, Wega, and more major brands
• Superautomatic: Most brands of superautomatic coffee machines
• Tea Equipment: Most tea equipment supported</t>
  </si>
  <si>
    <t>• PM Programs: Yes — monthly installment plans available. Pricing generally ranges from $75–$150 per month depending on the machine. Happy to discuss specifics for
your locations.</t>
  </si>
  <si>
    <t>• Parts: Stock common parts for major brands on trucks. Specialty parts or less-common brands are ordered as needed.</t>
  </si>
  <si>
    <t>Julia Richardson
Director of Communications
Same phone: (864) 606-4418 (text OK)
Email: integratedcoffeesolutions@gmail.com
Website: integratedcoffeesolutions.com</t>
  </si>
  <si>
    <t>• Emergency Response: Typically within 24 hours
• Primary Coverage: Upstate South Carolina (including Powdersville)
• Travel Radius: Will travel up to 3 hours from Spartanburg, SC before return travel rates apply. Coverage area is variable beyond that.</t>
  </si>
  <si>
    <t>Pending Setup</t>
  </si>
  <si>
    <t>Inactive</t>
  </si>
  <si>
    <t>Masket Services</t>
  </si>
  <si>
    <t>866-803-8088</t>
  </si>
  <si>
    <t>service@masketservices.com</t>
  </si>
  <si>
    <t xml:space="preserve">shane@masketservices.com     </t>
  </si>
  <si>
    <t>Shane Stroman 
Service / Sales
shane@masketservices.com     /   866-803-8088</t>
  </si>
  <si>
    <t>Eversys, Franke, Schaerer , Nuova,  Cimbali , Rancilio , Unic , La Marzocco,  Synesso, Wega, WMF, Gaggia
Curtis, Fetco, Bunn after warranty work</t>
  </si>
  <si>
    <t>FASTCILITY CORP</t>
  </si>
  <si>
    <t>Office: (833) 203-2285</t>
  </si>
  <si>
    <t>714) 520-1486</t>
  </si>
  <si>
    <t>ddavenport@fastcilitycorp.com</t>
  </si>
  <si>
    <t>Labor $115 / hour 1-hour minimum
Travel $115 flat fee Flat fee (not hourly)
Fuel Surcharge $25 flat fee Applied per call
Parts 25% markup from cost For any parts used during repair</t>
  </si>
  <si>
    <t>• Bunn • Fetco • Wilbur Curtis • Schaerer
• Eversys • La Marzocco • Mazzer • Everpure</t>
  </si>
  <si>
    <t>• Primary service region: Southwest U.S. (CA, AZ, NV, NM, TX)</t>
  </si>
  <si>
    <t>Dalton Davenport
Business Development Manager
Mobile: (714) 520-1486
Email: ddavenport@fastcilitycorp.com</t>
  </si>
  <si>
    <t>• Confirmed coverage: All ZIP codes provided in the Excel list for Arizona, California, New Mexico, Nevada, and Texas
• Excluded: Illinois locations (Chicago / Rosemont) — not covered
• Primary service region: Southwest U.S. (CA, AZ, NV, NM, TX)
• Note: San Antonio / Austin area coverage requested for near-term expansion</t>
  </si>
  <si>
    <t>Service@FASTCILITYCORP.COM
https://app.servicefusion.com/fastcility
Username: Jesus@katzcoffee.com
F!xmy5!t03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</si>
</sst>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3"/>
      <color rgb="FF1F4E78"/>
      <name val="Arial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164" fontId="7" fillId="0" borderId="1" xfId="0" applyNumberFormat="1" applyFont="1" applyBorder="1" applyAlignment="1">
      <alignment horizontal="center"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/>
    </xf>
    <xf numFmtId="0" fontId="7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9" fillId="0" borderId="1" xfId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iguel@allespressoservice.com" TargetMode="External"/><Relationship Id="rId13" Type="http://schemas.openxmlformats.org/officeDocument/2006/relationships/hyperlink" Target="mailto:service@masketservices.com" TargetMode="External"/><Relationship Id="rId3" Type="http://schemas.openxmlformats.org/officeDocument/2006/relationships/hyperlink" Target="mailto:service@thunderbirdequipment.com%0a" TargetMode="External"/><Relationship Id="rId7" Type="http://schemas.openxmlformats.org/officeDocument/2006/relationships/hyperlink" Target="mailto:allstarcoffeeservice@gmail.com" TargetMode="External"/><Relationship Id="rId12" Type="http://schemas.openxmlformats.org/officeDocument/2006/relationships/hyperlink" Target="mailto:integratedcoffeesolutions@gmail.com" TargetMode="External"/><Relationship Id="rId2" Type="http://schemas.openxmlformats.org/officeDocument/2006/relationships/hyperlink" Target="mailto:fidel@remolinosgroup.com" TargetMode="External"/><Relationship Id="rId1" Type="http://schemas.openxmlformats.org/officeDocument/2006/relationships/hyperlink" Target="mailto:tech@fidel.coffee" TargetMode="External"/><Relationship Id="rId6" Type="http://schemas.openxmlformats.org/officeDocument/2006/relationships/hyperlink" Target="mailto:absdispatch@gmail.com" TargetMode="External"/><Relationship Id="rId11" Type="http://schemas.openxmlformats.org/officeDocument/2006/relationships/hyperlink" Target="mailto:integratedcoffeesolutions@gmail.com" TargetMode="External"/><Relationship Id="rId5" Type="http://schemas.openxmlformats.org/officeDocument/2006/relationships/hyperlink" Target="mailto:anytimebeverageservice@gmail.com" TargetMode="External"/><Relationship Id="rId15" Type="http://schemas.openxmlformats.org/officeDocument/2006/relationships/hyperlink" Target="mailto:ddavenport@fastcilitycorp.com" TargetMode="External"/><Relationship Id="rId10" Type="http://schemas.openxmlformats.org/officeDocument/2006/relationships/hyperlink" Target="mailto:priscila@espressosoutheast.com" TargetMode="External"/><Relationship Id="rId4" Type="http://schemas.openxmlformats.org/officeDocument/2006/relationships/hyperlink" Target="mailto:brian@thunderbirdequipment.com" TargetMode="External"/><Relationship Id="rId9" Type="http://schemas.openxmlformats.org/officeDocument/2006/relationships/hyperlink" Target="mailto:service@katzcoffee.com" TargetMode="External"/><Relationship Id="rId14" Type="http://schemas.openxmlformats.org/officeDocument/2006/relationships/hyperlink" Target="mailto:shane@masketservices.com%20%20%20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F4E78"/>
  </sheetPr>
  <dimension ref="A1:K106"/>
  <sheetViews>
    <sheetView topLeftCell="A11" zoomScaleNormal="100" workbookViewId="0"/>
  </sheetViews>
  <sheetFormatPr defaultColWidth="8.7109375" defaultRowHeight="15" x14ac:dyDescent="0.25"/>
  <cols>
    <col min="1" max="1" width="10" customWidth="1"/>
    <col min="2" max="2" width="14" customWidth="1"/>
    <col min="3" max="3" width="15" customWidth="1"/>
    <col min="4" max="4" width="12" customWidth="1"/>
    <col min="5" max="5" width="11" customWidth="1"/>
    <col min="6" max="6" width="3" customWidth="1"/>
    <col min="7" max="7" width="36" customWidth="1"/>
    <col min="8" max="8" width="11" customWidth="1"/>
    <col min="9" max="9" width="12" customWidth="1"/>
    <col min="10" max="10" width="22" customWidth="1"/>
    <col min="11" max="11" width="30" customWidth="1"/>
  </cols>
  <sheetData>
    <row r="1" spans="1:11" ht="18" x14ac:dyDescent="0.25">
      <c r="A1" s="1" t="s">
        <v>0</v>
      </c>
    </row>
    <row r="2" spans="1:11" x14ac:dyDescent="0.25">
      <c r="A2" s="2" t="s">
        <v>1</v>
      </c>
    </row>
    <row r="4" spans="1:11" x14ac:dyDescent="0.25">
      <c r="A4" s="3" t="s">
        <v>2</v>
      </c>
      <c r="G4" s="3" t="s">
        <v>3</v>
      </c>
    </row>
    <row r="5" spans="1:11" ht="25.5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x14ac:dyDescent="0.25">
      <c r="A6" s="5" t="s">
        <v>14</v>
      </c>
      <c r="B6" s="6">
        <f>COUNTIF(Accounts!$G$2:$G$299,A6)</f>
        <v>2</v>
      </c>
      <c r="C6" s="6">
        <f>COUNTIFS(Accounts!$G$2:$G$299,A6,Accounts!$I$2:$I$299,"&lt;&gt;")</f>
        <v>2</v>
      </c>
      <c r="D6" s="6">
        <f>COUNTIFS(Accounts!$G$2:$G$299,A6,Accounts!$K$2:$K$299,"")</f>
        <v>0</v>
      </c>
      <c r="E6" s="7">
        <f t="shared" ref="E6:E29" si="0">IF(B6=0,0,(B6-D6)/B6)</f>
        <v>1</v>
      </c>
      <c r="G6" s="8" t="str">
        <f>IF(Service_Providers!A2="","",Service_Providers!A2)</f>
        <v>A-1 Restuarant Service</v>
      </c>
      <c r="H6" s="6">
        <f>IF(G6="","",COUNTIF(Accounts!$K$2:$K$299,G6))</f>
        <v>0</v>
      </c>
      <c r="I6" s="6">
        <f>IF(G6="","",COUNTIF(Accounts!$M$2:$M$299,G6))</f>
        <v>0</v>
      </c>
      <c r="J6" s="8" t="str">
        <f>IF(Service_Providers!C2="","",Service_Providers!C2)</f>
        <v/>
      </c>
      <c r="K6" s="8" t="str">
        <f>IF(Service_Providers!D2="","",Service_Providers!D2)</f>
        <v/>
      </c>
    </row>
    <row r="7" spans="1:11" ht="25.5" x14ac:dyDescent="0.25">
      <c r="A7" s="5" t="s">
        <v>15</v>
      </c>
      <c r="B7" s="6">
        <f>COUNTIF(Accounts!$G$2:$G$299,A7)</f>
        <v>4</v>
      </c>
      <c r="C7" s="6">
        <f>COUNTIFS(Accounts!$G$2:$G$299,A7,Accounts!$I$2:$I$299,"&lt;&gt;")</f>
        <v>4</v>
      </c>
      <c r="D7" s="6">
        <f>COUNTIFS(Accounts!$G$2:$G$299,A7,Accounts!$K$2:$K$299,"")</f>
        <v>0</v>
      </c>
      <c r="E7" s="7">
        <f t="shared" si="0"/>
        <v>1</v>
      </c>
      <c r="G7" s="8" t="str">
        <f>IF(Service_Providers!A3="","",Service_Providers!A3)</f>
        <v>A-Tech Espresso &amp; Coffee Service Inc.</v>
      </c>
      <c r="H7" s="6">
        <f>IF(G7="","",COUNTIF(Accounts!$K$2:$K$299,G7))</f>
        <v>0</v>
      </c>
      <c r="I7" s="6">
        <f>IF(G7="","",COUNTIF(Accounts!$M$2:$M$299,G7))</f>
        <v>0</v>
      </c>
      <c r="J7" s="8" t="str">
        <f>IF(Service_Providers!C3="","",Service_Providers!C3)</f>
        <v>866.333.7350</v>
      </c>
      <c r="K7" s="8" t="str">
        <f>IF(Service_Providers!D3="","",Service_Providers!D3)</f>
        <v>servicerequest@Atech-service.com</v>
      </c>
    </row>
    <row r="8" spans="1:11" x14ac:dyDescent="0.25">
      <c r="A8" s="5" t="s">
        <v>16</v>
      </c>
      <c r="B8" s="6">
        <f>COUNTIF(Accounts!$G$2:$G$299,A8)</f>
        <v>8</v>
      </c>
      <c r="C8" s="6">
        <f>COUNTIFS(Accounts!$G$2:$G$299,A8,Accounts!$I$2:$I$299,"&lt;&gt;")</f>
        <v>8</v>
      </c>
      <c r="D8" s="6">
        <f>COUNTIFS(Accounts!$G$2:$G$299,A8,Accounts!$K$2:$K$299,"")</f>
        <v>0</v>
      </c>
      <c r="E8" s="7">
        <f t="shared" si="0"/>
        <v>1</v>
      </c>
      <c r="G8" s="8" t="str">
        <f>IF(Service_Providers!A4="","",Service_Providers!A4)</f>
        <v>ABS Coffee Repair</v>
      </c>
      <c r="H8" s="6">
        <f>IF(G8="","",COUNTIF(Accounts!$K$2:$K$299,G8))</f>
        <v>0</v>
      </c>
      <c r="I8" s="6">
        <f>IF(G8="","",COUNTIF(Accounts!$M$2:$M$299,G8))</f>
        <v>0</v>
      </c>
      <c r="J8" s="8" t="str">
        <f>IF(Service_Providers!C4="","",Service_Providers!C4)</f>
        <v>314.389.2866</v>
      </c>
      <c r="K8" s="8" t="str">
        <f>IF(Service_Providers!D4="","",Service_Providers!D4)</f>
        <v/>
      </c>
    </row>
    <row r="9" spans="1:11" x14ac:dyDescent="0.25">
      <c r="A9" s="5" t="s">
        <v>17</v>
      </c>
      <c r="B9" s="6">
        <f>COUNTIF(Accounts!$G$2:$G$299,A9)</f>
        <v>6</v>
      </c>
      <c r="C9" s="6">
        <f>COUNTIFS(Accounts!$G$2:$G$299,A9,Accounts!$I$2:$I$299,"&lt;&gt;")</f>
        <v>6</v>
      </c>
      <c r="D9" s="6">
        <f>COUNTIFS(Accounts!$G$2:$G$299,A9,Accounts!$K$2:$K$299,"")</f>
        <v>0</v>
      </c>
      <c r="E9" s="7">
        <f t="shared" si="0"/>
        <v>1</v>
      </c>
      <c r="G9" s="8" t="str">
        <f>IF(Service_Providers!A5="","",Service_Providers!A5)</f>
        <v>All Espresso Service</v>
      </c>
      <c r="H9" s="6">
        <f>IF(G9="","",COUNTIF(Accounts!$K$2:$K$299,G9))</f>
        <v>4</v>
      </c>
      <c r="I9" s="6">
        <f>IF(G9="","",COUNTIF(Accounts!$M$2:$M$299,G9))</f>
        <v>0</v>
      </c>
      <c r="J9" s="8" t="str">
        <f>IF(Service_Providers!C5="","",Service_Providers!C5)</f>
        <v>754.205.5076</v>
      </c>
      <c r="K9" s="8" t="str">
        <f>IF(Service_Providers!D5="","",Service_Providers!D5)</f>
        <v>service@allespressoservice.com</v>
      </c>
    </row>
    <row r="10" spans="1:11" x14ac:dyDescent="0.25">
      <c r="A10" s="5" t="s">
        <v>18</v>
      </c>
      <c r="B10" s="6">
        <f>COUNTIF(Accounts!$G$2:$G$299,A10)</f>
        <v>1</v>
      </c>
      <c r="C10" s="6">
        <f>COUNTIFS(Accounts!$G$2:$G$299,A10,Accounts!$I$2:$I$299,"&lt;&gt;")</f>
        <v>1</v>
      </c>
      <c r="D10" s="6">
        <f>COUNTIFS(Accounts!$G$2:$G$299,A10,Accounts!$K$2:$K$299,"")</f>
        <v>0</v>
      </c>
      <c r="E10" s="7">
        <f t="shared" si="0"/>
        <v>1</v>
      </c>
      <c r="G10" s="8" t="str">
        <f>IF(Service_Providers!A6="","",Service_Providers!A6)</f>
        <v>All Star Coffee Service</v>
      </c>
      <c r="H10" s="6">
        <f>IF(G10="","",COUNTIF(Accounts!$K$2:$K$299,G10))</f>
        <v>2</v>
      </c>
      <c r="I10" s="6">
        <f>IF(G10="","",COUNTIF(Accounts!$M$2:$M$299,G10))</f>
        <v>0</v>
      </c>
      <c r="J10" s="8" t="str">
        <f>IF(Service_Providers!C6="","",Service_Providers!C6)</f>
        <v>626-315-8498</v>
      </c>
      <c r="K10" s="8" t="str">
        <f>IF(Service_Providers!D6="","",Service_Providers!D6)</f>
        <v>allstarcoffeeservice@gmail.com</v>
      </c>
    </row>
    <row r="11" spans="1:11" ht="38.25" x14ac:dyDescent="0.25">
      <c r="A11" s="5" t="s">
        <v>19</v>
      </c>
      <c r="B11" s="6">
        <f>COUNTIF(Accounts!$G$2:$G$299,A11)</f>
        <v>9</v>
      </c>
      <c r="C11" s="6">
        <f>COUNTIFS(Accounts!$G$2:$G$299,A11,Accounts!$I$2:$I$299,"&lt;&gt;")</f>
        <v>9</v>
      </c>
      <c r="D11" s="6">
        <f>COUNTIFS(Accounts!$G$2:$G$299,A11,Accounts!$K$2:$K$299,"")</f>
        <v>0</v>
      </c>
      <c r="E11" s="7">
        <f t="shared" si="0"/>
        <v>1</v>
      </c>
      <c r="G11" s="8" t="str">
        <f>IF(Service_Providers!A7="","",Service_Providers!A7)</f>
        <v>Anytime Beverage Service</v>
      </c>
      <c r="H11" s="6">
        <f>IF(G11="","",COUNTIF(Accounts!$K$2:$K$299,G11))</f>
        <v>7</v>
      </c>
      <c r="I11" s="6">
        <f>IF(G11="","",COUNTIF(Accounts!$M$2:$M$299,G11))</f>
        <v>2</v>
      </c>
      <c r="J11" s="8" t="str">
        <f>IF(Service_Providers!C7="","",Service_Providers!C7)</f>
        <v>Contact: Cynthia                                         Phone: 714-335-9964
Cell: 714-395-8108</v>
      </c>
      <c r="K11" s="8" t="str">
        <f>IF(Service_Providers!D7="","",Service_Providers!D7)</f>
        <v>anytimebeverageservice@gmail.com</v>
      </c>
    </row>
    <row r="12" spans="1:11" x14ac:dyDescent="0.25">
      <c r="A12" s="5" t="s">
        <v>20</v>
      </c>
      <c r="B12" s="6">
        <f>COUNTIF(Accounts!$G$2:$G$299,A12)</f>
        <v>3</v>
      </c>
      <c r="C12" s="6">
        <f>COUNTIFS(Accounts!$G$2:$G$299,A12,Accounts!$I$2:$I$299,"&lt;&gt;")</f>
        <v>3</v>
      </c>
      <c r="D12" s="6">
        <f>COUNTIFS(Accounts!$G$2:$G$299,A12,Accounts!$K$2:$K$299,"")</f>
        <v>0</v>
      </c>
      <c r="E12" s="7">
        <f t="shared" si="0"/>
        <v>1</v>
      </c>
      <c r="G12" s="8" t="str">
        <f>IF(Service_Providers!A8="","",Service_Providers!A8)</f>
        <v>B &amp; B Coffee Service</v>
      </c>
      <c r="H12" s="6">
        <f>IF(G12="","",COUNTIF(Accounts!$K$2:$K$299,G12))</f>
        <v>2</v>
      </c>
      <c r="I12" s="6">
        <f>IF(G12="","",COUNTIF(Accounts!$M$2:$M$299,G12))</f>
        <v>0</v>
      </c>
      <c r="J12" s="8" t="str">
        <f>IF(Service_Providers!C8="","",Service_Providers!C8)</f>
        <v>361.855.3066</v>
      </c>
      <c r="K12" s="8" t="str">
        <f>IF(Service_Providers!D8="","",Service_Providers!D8)</f>
        <v/>
      </c>
    </row>
    <row r="13" spans="1:11" x14ac:dyDescent="0.25">
      <c r="A13" s="5" t="s">
        <v>21</v>
      </c>
      <c r="B13" s="6">
        <f>COUNTIF(Accounts!$G$2:$G$299,A13)</f>
        <v>2</v>
      </c>
      <c r="C13" s="6">
        <f>COUNTIFS(Accounts!$G$2:$G$299,A13,Accounts!$I$2:$I$299,"&lt;&gt;")</f>
        <v>2</v>
      </c>
      <c r="D13" s="6">
        <f>COUNTIFS(Accounts!$G$2:$G$299,A13,Accounts!$K$2:$K$299,"")</f>
        <v>0</v>
      </c>
      <c r="E13" s="7">
        <f t="shared" si="0"/>
        <v>1</v>
      </c>
      <c r="G13" s="8" t="str">
        <f>IF(Service_Providers!A9="","",Service_Providers!A9)</f>
        <v>Bar 9 Coffee Services LLC</v>
      </c>
      <c r="H13" s="6">
        <f>IF(G13="","",COUNTIF(Accounts!$K$2:$K$299,G13))</f>
        <v>0</v>
      </c>
      <c r="I13" s="6">
        <f>IF(G13="","",COUNTIF(Accounts!$M$2:$M$299,G13))</f>
        <v>0</v>
      </c>
      <c r="J13" s="8" t="str">
        <f>IF(Service_Providers!C9="","",Service_Providers!C9)</f>
        <v>443-460-4303</v>
      </c>
      <c r="K13" s="8" t="str">
        <f>IF(Service_Providers!D9="","",Service_Providers!D9)</f>
        <v>chuck@bar9coffee.com</v>
      </c>
    </row>
    <row r="14" spans="1:11" x14ac:dyDescent="0.25">
      <c r="A14" s="5" t="s">
        <v>22</v>
      </c>
      <c r="B14" s="6">
        <f>COUNTIF(Accounts!$G$2:$G$299,A14)</f>
        <v>5</v>
      </c>
      <c r="C14" s="6">
        <f>COUNTIFS(Accounts!$G$2:$G$299,A14,Accounts!$I$2:$I$299,"&lt;&gt;")</f>
        <v>5</v>
      </c>
      <c r="D14" s="6">
        <f>COUNTIFS(Accounts!$G$2:$G$299,A14,Accounts!$K$2:$K$299,"")</f>
        <v>0</v>
      </c>
      <c r="E14" s="7">
        <f t="shared" si="0"/>
        <v>1</v>
      </c>
      <c r="G14" s="8" t="str">
        <f>IF(Service_Providers!A10="","",Service_Providers!A10)</f>
        <v>Best Beverage Equipment Service</v>
      </c>
      <c r="H14" s="6">
        <f>IF(G14="","",COUNTIF(Accounts!$K$2:$K$299,G14))</f>
        <v>0</v>
      </c>
      <c r="I14" s="6">
        <f>IF(G14="","",COUNTIF(Accounts!$M$2:$M$299,G14))</f>
        <v>3</v>
      </c>
      <c r="J14" s="8" t="str">
        <f>IF(Service_Providers!C10="","",Service_Providers!C10)</f>
        <v>866-966-5799 ext 1</v>
      </c>
      <c r="K14" s="8" t="str">
        <f>IF(Service_Providers!D10="","",Service_Providers!D10)</f>
        <v>service@bestbeverage.net</v>
      </c>
    </row>
    <row r="15" spans="1:11" ht="25.5" x14ac:dyDescent="0.25">
      <c r="A15" s="5" t="s">
        <v>23</v>
      </c>
      <c r="B15" s="6">
        <f>COUNTIF(Accounts!$G$2:$G$299,A15)</f>
        <v>2</v>
      </c>
      <c r="C15" s="6">
        <f>COUNTIFS(Accounts!$G$2:$G$299,A15,Accounts!$I$2:$I$299,"&lt;&gt;")</f>
        <v>2</v>
      </c>
      <c r="D15" s="6">
        <f>COUNTIFS(Accounts!$G$2:$G$299,A15,Accounts!$K$2:$K$299,"")</f>
        <v>0</v>
      </c>
      <c r="E15" s="7">
        <f t="shared" si="0"/>
        <v>1</v>
      </c>
      <c r="G15" s="8" t="str">
        <f>IF(Service_Providers!A11="","",Service_Providers!A11)</f>
        <v>Bev Pro Services</v>
      </c>
      <c r="H15" s="6">
        <f>IF(G15="","",COUNTIF(Accounts!$K$2:$K$299,G15))</f>
        <v>0</v>
      </c>
      <c r="I15" s="6">
        <f>IF(G15="","",COUNTIF(Accounts!$M$2:$M$299,G15))</f>
        <v>0</v>
      </c>
      <c r="J15" s="8" t="str">
        <f>IF(Service_Providers!C11="","",Service_Providers!C11)</f>
        <v>410-571-4902 ext. 501 (Office)</v>
      </c>
      <c r="K15" s="8" t="str">
        <f>IF(Service_Providers!D11="","",Service_Providers!D11)</f>
        <v/>
      </c>
    </row>
    <row r="16" spans="1:11" ht="25.5" x14ac:dyDescent="0.25">
      <c r="A16" s="5" t="s">
        <v>24</v>
      </c>
      <c r="B16" s="6">
        <f>COUNTIF(Accounts!$G$2:$G$299,A16)</f>
        <v>3</v>
      </c>
      <c r="C16" s="6">
        <f>COUNTIFS(Accounts!$G$2:$G$299,A16,Accounts!$I$2:$I$299,"&lt;&gt;")</f>
        <v>3</v>
      </c>
      <c r="D16" s="6">
        <f>COUNTIFS(Accounts!$G$2:$G$299,A16,Accounts!$K$2:$K$299,"")</f>
        <v>0</v>
      </c>
      <c r="E16" s="7">
        <f t="shared" si="0"/>
        <v>1</v>
      </c>
      <c r="G16" s="8" t="str">
        <f>IF(Service_Providers!A12="","",Service_Providers!A12)</f>
        <v>Beverage Equipment Service Inc.</v>
      </c>
      <c r="H16" s="6">
        <f>IF(G16="","",COUNTIF(Accounts!$K$2:$K$299,G16))</f>
        <v>0</v>
      </c>
      <c r="I16" s="6">
        <f>IF(G16="","",COUNTIF(Accounts!$M$2:$M$299,G16))</f>
        <v>0</v>
      </c>
      <c r="J16" s="8" t="str">
        <f>IF(Service_Providers!C12="","",Service_Providers!C12)</f>
        <v>(515) 494-0849</v>
      </c>
      <c r="K16" s="8" t="str">
        <f>IF(Service_Providers!D12="","",Service_Providers!D12)</f>
        <v>bevequip@outlook.com (best - copied on all comms)</v>
      </c>
    </row>
    <row r="17" spans="1:11" x14ac:dyDescent="0.25">
      <c r="A17" s="5" t="s">
        <v>25</v>
      </c>
      <c r="B17" s="6">
        <f>COUNTIF(Accounts!$G$2:$G$299,A17)</f>
        <v>1</v>
      </c>
      <c r="C17" s="6">
        <f>COUNTIFS(Accounts!$G$2:$G$299,A17,Accounts!$I$2:$I$299,"&lt;&gt;")</f>
        <v>1</v>
      </c>
      <c r="D17" s="6">
        <f>COUNTIFS(Accounts!$G$2:$G$299,A17,Accounts!$K$2:$K$299,"")</f>
        <v>1</v>
      </c>
      <c r="E17" s="7">
        <f t="shared" si="0"/>
        <v>0</v>
      </c>
      <c r="G17" s="8" t="str">
        <f>IF(Service_Providers!A13="","",Service_Providers!A13)</f>
        <v>Carolina Beverage Solutions</v>
      </c>
      <c r="H17" s="6">
        <f>IF(G17="","",COUNTIF(Accounts!$K$2:$K$299,G17))</f>
        <v>5</v>
      </c>
      <c r="I17" s="6">
        <f>IF(G17="","",COUNTIF(Accounts!$M$2:$M$299,G17))</f>
        <v>0</v>
      </c>
      <c r="J17" s="8" t="str">
        <f>IF(Service_Providers!C13="","",Service_Providers!C13)</f>
        <v>803-280-5234</v>
      </c>
      <c r="K17" s="8" t="str">
        <f>IF(Service_Providers!D13="","",Service_Providers!D13)</f>
        <v>chris.powers@hotmail.com</v>
      </c>
    </row>
    <row r="18" spans="1:11" x14ac:dyDescent="0.25">
      <c r="A18" s="5" t="s">
        <v>26</v>
      </c>
      <c r="B18" s="6">
        <f>COUNTIF(Accounts!$G$2:$G$299,A18)</f>
        <v>2</v>
      </c>
      <c r="C18" s="6">
        <f>COUNTIFS(Accounts!$G$2:$G$299,A18,Accounts!$I$2:$I$299,"&lt;&gt;")</f>
        <v>2</v>
      </c>
      <c r="D18" s="6">
        <f>COUNTIFS(Accounts!$G$2:$G$299,A18,Accounts!$K$2:$K$299,"")</f>
        <v>0</v>
      </c>
      <c r="E18" s="7">
        <f t="shared" si="0"/>
        <v>1</v>
      </c>
      <c r="G18" s="8" t="str">
        <f>IF(Service_Providers!A14="","",Service_Providers!A14)</f>
        <v>Commercial Kitchen</v>
      </c>
      <c r="H18" s="6">
        <f>IF(G18="","",COUNTIF(Accounts!$K$2:$K$299,G18))</f>
        <v>0</v>
      </c>
      <c r="I18" s="6">
        <f>IF(G18="","",COUNTIF(Accounts!$M$2:$M$299,G18))</f>
        <v>0</v>
      </c>
      <c r="J18" s="8" t="str">
        <f>IF(Service_Providers!C14="","",Service_Providers!C14)</f>
        <v>956.664.8267</v>
      </c>
      <c r="K18" s="8" t="str">
        <f>IF(Service_Providers!D14="","",Service_Providers!D14)</f>
        <v/>
      </c>
    </row>
    <row r="19" spans="1:11" x14ac:dyDescent="0.25">
      <c r="A19" s="5" t="s">
        <v>27</v>
      </c>
      <c r="B19" s="6">
        <f>COUNTIF(Accounts!$G$2:$G$299,A19)</f>
        <v>5</v>
      </c>
      <c r="C19" s="6">
        <f>COUNTIFS(Accounts!$G$2:$G$299,A19,Accounts!$I$2:$I$299,"&lt;&gt;")</f>
        <v>5</v>
      </c>
      <c r="D19" s="6">
        <f>COUNTIFS(Accounts!$G$2:$G$299,A19,Accounts!$K$2:$K$299,"")</f>
        <v>0</v>
      </c>
      <c r="E19" s="7">
        <f t="shared" si="0"/>
        <v>1</v>
      </c>
      <c r="G19" s="8" t="str">
        <f>IF(Service_Providers!A15="","",Service_Providers!A15)</f>
        <v>Duke Services</v>
      </c>
      <c r="H19" s="6">
        <f>IF(G19="","",COUNTIF(Accounts!$K$2:$K$299,G19))</f>
        <v>0</v>
      </c>
      <c r="I19" s="6">
        <f>IF(G19="","",COUNTIF(Accounts!$M$2:$M$299,G19))</f>
        <v>0</v>
      </c>
      <c r="J19" s="8" t="str">
        <f>IF(Service_Providers!C15="","",Service_Providers!C15)</f>
        <v>714.525.2866</v>
      </c>
      <c r="K19" s="8" t="str">
        <f>IF(Service_Providers!D15="","",Service_Providers!D15)</f>
        <v/>
      </c>
    </row>
    <row r="20" spans="1:11" x14ac:dyDescent="0.25">
      <c r="A20" s="5" t="s">
        <v>28</v>
      </c>
      <c r="B20" s="6">
        <f>COUNTIF(Accounts!$G$2:$G$299,A20)</f>
        <v>1</v>
      </c>
      <c r="C20" s="6">
        <f>COUNTIFS(Accounts!$G$2:$G$299,A20,Accounts!$I$2:$I$299,"&lt;&gt;")</f>
        <v>1</v>
      </c>
      <c r="D20" s="6">
        <f>COUNTIFS(Accounts!$G$2:$G$299,A20,Accounts!$K$2:$K$299,"")</f>
        <v>0</v>
      </c>
      <c r="E20" s="7">
        <f t="shared" si="0"/>
        <v>1</v>
      </c>
      <c r="G20" s="8" t="str">
        <f>IF(Service_Providers!A16="","",Service_Providers!A16)</f>
        <v>Espresso Enterprises</v>
      </c>
      <c r="H20" s="6">
        <f>IF(G20="","",COUNTIF(Accounts!$K$2:$K$299,G20))</f>
        <v>5</v>
      </c>
      <c r="I20" s="6">
        <f>IF(G20="","",COUNTIF(Accounts!$M$2:$M$299,G20))</f>
        <v>1</v>
      </c>
      <c r="J20" s="8" t="str">
        <f>IF(Service_Providers!C16="","",Service_Providers!C16)</f>
        <v>317-876-9031</v>
      </c>
      <c r="K20" s="8" t="str">
        <f>IF(Service_Providers!D16="","",Service_Providers!D16)</f>
        <v>carey@espressoenterprises.com</v>
      </c>
    </row>
    <row r="21" spans="1:11" x14ac:dyDescent="0.25">
      <c r="A21" s="5" t="s">
        <v>29</v>
      </c>
      <c r="B21" s="6">
        <f>COUNTIF(Accounts!$G$2:$G$299,A21)</f>
        <v>1</v>
      </c>
      <c r="C21" s="6">
        <f>COUNTIFS(Accounts!$G$2:$G$299,A21,Accounts!$I$2:$I$299,"&lt;&gt;")</f>
        <v>1</v>
      </c>
      <c r="D21" s="6">
        <f>COUNTIFS(Accounts!$G$2:$G$299,A21,Accounts!$K$2:$K$299,"")</f>
        <v>0</v>
      </c>
      <c r="E21" s="7">
        <f t="shared" si="0"/>
        <v>1</v>
      </c>
      <c r="G21" s="8" t="str">
        <f>IF(Service_Providers!A17="","",Service_Providers!A17)</f>
        <v>Espresso Southeast</v>
      </c>
      <c r="H21" s="6">
        <f>IF(G21="","",COUNTIF(Accounts!$K$2:$K$299,G21))</f>
        <v>2</v>
      </c>
      <c r="I21" s="6">
        <f>IF(G21="","",COUNTIF(Accounts!$M$2:$M$299,G21))</f>
        <v>0</v>
      </c>
      <c r="J21" s="8" t="str">
        <f>IF(Service_Providers!C17="","",Service_Providers!C17)</f>
        <v>770-867-3111</v>
      </c>
      <c r="K21" s="8" t="str">
        <f>IF(Service_Providers!D17="","",Service_Providers!D17)</f>
        <v>service@espressosoutheast.com</v>
      </c>
    </row>
    <row r="22" spans="1:11" x14ac:dyDescent="0.25">
      <c r="A22" s="5" t="s">
        <v>30</v>
      </c>
      <c r="B22" s="6">
        <f>COUNTIF(Accounts!$G$2:$G$299,A22)</f>
        <v>2</v>
      </c>
      <c r="C22" s="6">
        <f>COUNTIFS(Accounts!$G$2:$G$299,A22,Accounts!$I$2:$I$299,"&lt;&gt;")</f>
        <v>2</v>
      </c>
      <c r="D22" s="6">
        <f>COUNTIFS(Accounts!$G$2:$G$299,A22,Accounts!$K$2:$K$299,"")</f>
        <v>0</v>
      </c>
      <c r="E22" s="7">
        <f t="shared" si="0"/>
        <v>1</v>
      </c>
      <c r="G22" s="8" t="str">
        <f>IF(Service_Providers!A18="","",Service_Providers!A18)</f>
        <v>ETSC (EspressoTech Service Company)</v>
      </c>
      <c r="H22" s="6">
        <f>IF(G22="","",COUNTIF(Accounts!$K$2:$K$299,G22))</f>
        <v>7</v>
      </c>
      <c r="I22" s="6">
        <f>IF(G22="","",COUNTIF(Accounts!$M$2:$M$299,G22))</f>
        <v>1</v>
      </c>
      <c r="J22" s="8" t="str">
        <f>IF(Service_Providers!C18="","",Service_Providers!C18)</f>
        <v>(888) 523-1684</v>
      </c>
      <c r="K22" s="8" t="str">
        <f>IF(Service_Providers!D18="","",Service_Providers!D18)</f>
        <v>service@etsc.coffee</v>
      </c>
    </row>
    <row r="23" spans="1:11" x14ac:dyDescent="0.25">
      <c r="A23" s="5" t="s">
        <v>31</v>
      </c>
      <c r="B23" s="6">
        <f>COUNTIF(Accounts!$G$2:$G$299,A23)</f>
        <v>4</v>
      </c>
      <c r="C23" s="6">
        <f>COUNTIFS(Accounts!$G$2:$G$299,A23,Accounts!$I$2:$I$299,"&lt;&gt;")</f>
        <v>4</v>
      </c>
      <c r="D23" s="6">
        <f>COUNTIFS(Accounts!$G$2:$G$299,A23,Accounts!$K$2:$K$299,"")</f>
        <v>0</v>
      </c>
      <c r="E23" s="7">
        <f t="shared" si="0"/>
        <v>1</v>
      </c>
      <c r="G23" s="8" t="str">
        <f>IF(Service_Providers!A20="","",Service_Providers!A20)</f>
        <v>First Coast Espresso</v>
      </c>
      <c r="H23" s="6">
        <f>IF(G23="","",COUNTIF(Accounts!$K$2:$K$299,G23))</f>
        <v>1</v>
      </c>
      <c r="I23" s="6">
        <f>IF(G23="","",COUNTIF(Accounts!$M$2:$M$299,G23))</f>
        <v>0</v>
      </c>
      <c r="J23" s="8" t="str">
        <f>IF(Service_Providers!C20="","",Service_Providers!C20)</f>
        <v>904-654-5662</v>
      </c>
      <c r="K23" s="8" t="str">
        <f>IF(Service_Providers!D20="","",Service_Providers!D20)</f>
        <v>jose@firstcoastespresso.com</v>
      </c>
    </row>
    <row r="24" spans="1:11" x14ac:dyDescent="0.25">
      <c r="A24" s="5" t="s">
        <v>32</v>
      </c>
      <c r="B24" s="6">
        <f>COUNTIF(Accounts!$G$2:$G$299,A24)</f>
        <v>1</v>
      </c>
      <c r="C24" s="6">
        <f>COUNTIFS(Accounts!$G$2:$G$299,A24,Accounts!$I$2:$I$299,"&lt;&gt;")</f>
        <v>1</v>
      </c>
      <c r="D24" s="6">
        <f>COUNTIFS(Accounts!$G$2:$G$299,A24,Accounts!$K$2:$K$299,"")</f>
        <v>0</v>
      </c>
      <c r="E24" s="7">
        <f t="shared" si="0"/>
        <v>1</v>
      </c>
      <c r="G24" s="8" t="str">
        <f>IF(Service_Providers!A21="","",Service_Providers!A21)</f>
        <v>Iconik Coffee</v>
      </c>
      <c r="H24" s="6">
        <f>IF(G24="","",COUNTIF(Accounts!$K$2:$K$299,G24))</f>
        <v>0</v>
      </c>
      <c r="I24" s="6">
        <f>IF(G24="","",COUNTIF(Accounts!$M$2:$M$299,G24))</f>
        <v>0</v>
      </c>
      <c r="J24" s="8" t="str">
        <f>IF(Service_Providers!C21="","",Service_Providers!C21)</f>
        <v>(505) 428-0669</v>
      </c>
      <c r="K24" s="8" t="str">
        <f>IF(Service_Providers!D21="","",Service_Providers!D21)</f>
        <v>sean@iconikcoffee.com</v>
      </c>
    </row>
    <row r="25" spans="1:11" x14ac:dyDescent="0.25">
      <c r="A25" s="5" t="s">
        <v>33</v>
      </c>
      <c r="B25" s="6">
        <f>COUNTIF(Accounts!$G$2:$G$299,A25)</f>
        <v>1</v>
      </c>
      <c r="C25" s="6">
        <f>COUNTIFS(Accounts!$G$2:$G$299,A25,Accounts!$I$2:$I$299,"&lt;&gt;")</f>
        <v>1</v>
      </c>
      <c r="D25" s="6">
        <f>COUNTIFS(Accounts!$G$2:$G$299,A25,Accounts!$K$2:$K$299,"")</f>
        <v>0</v>
      </c>
      <c r="E25" s="7">
        <f t="shared" si="0"/>
        <v>1</v>
      </c>
      <c r="G25" s="8" t="str">
        <f>IF(Service_Providers!A23="","",Service_Providers!A23)</f>
        <v>Izzy's Espresso Services Inc.</v>
      </c>
      <c r="H25" s="6">
        <f>IF(G25="","",COUNTIF(Accounts!$K$2:$K$299,G25))</f>
        <v>0</v>
      </c>
      <c r="I25" s="6">
        <f>IF(G25="","",COUNTIF(Accounts!$M$2:$M$299,G25))</f>
        <v>0</v>
      </c>
      <c r="J25" s="8" t="str">
        <f>IF(Service_Providers!C23="","",Service_Providers!C23)</f>
        <v>816-373-7011</v>
      </c>
      <c r="K25" s="8" t="str">
        <f>IF(Service_Providers!D23="","",Service_Providers!D23)</f>
        <v>chris@izzysespresso.com</v>
      </c>
    </row>
    <row r="26" spans="1:11" x14ac:dyDescent="0.25">
      <c r="A26" s="5" t="s">
        <v>34</v>
      </c>
      <c r="B26" s="6">
        <f>COUNTIF(Accounts!$G$2:$G$299,A26)</f>
        <v>1</v>
      </c>
      <c r="C26" s="6">
        <f>COUNTIFS(Accounts!$G$2:$G$299,A26,Accounts!$I$2:$I$299,"&lt;&gt;")</f>
        <v>1</v>
      </c>
      <c r="D26" s="6">
        <f>COUNTIFS(Accounts!$G$2:$G$299,A26,Accounts!$K$2:$K$299,"")</f>
        <v>0</v>
      </c>
      <c r="E26" s="7">
        <f t="shared" si="0"/>
        <v>1</v>
      </c>
      <c r="G26" s="8" t="str">
        <f>IF(Service_Providers!A24="","",Service_Providers!A24)</f>
        <v>Jaguar Coffee Co.</v>
      </c>
      <c r="H26" s="6">
        <f>IF(G26="","",COUNTIF(Accounts!$K$2:$K$299,G26))</f>
        <v>5</v>
      </c>
      <c r="I26" s="6">
        <f>IF(G26="","",COUNTIF(Accounts!$M$2:$M$299,G26))</f>
        <v>1</v>
      </c>
      <c r="J26" s="8" t="str">
        <f>IF(Service_Providers!C24="","",Service_Providers!C24)</f>
        <v>352 442 2506</v>
      </c>
      <c r="K26" s="8" t="str">
        <f>IF(Service_Providers!D24="","",Service_Providers!D24)</f>
        <v>sam.mendez@jaguarcoffee.com</v>
      </c>
    </row>
    <row r="27" spans="1:11" x14ac:dyDescent="0.25">
      <c r="A27" s="5" t="s">
        <v>35</v>
      </c>
      <c r="B27" s="6">
        <f>COUNTIF(Accounts!$G$2:$G$299,A27)</f>
        <v>10</v>
      </c>
      <c r="C27" s="6">
        <f>COUNTIFS(Accounts!$G$2:$G$299,A27,Accounts!$I$2:$I$299,"&lt;&gt;")</f>
        <v>10</v>
      </c>
      <c r="D27" s="6">
        <f>COUNTIFS(Accounts!$G$2:$G$299,A27,Accounts!$K$2:$K$299,"")</f>
        <v>0</v>
      </c>
      <c r="E27" s="7">
        <f t="shared" si="0"/>
        <v>1</v>
      </c>
      <c r="G27" s="8" t="str">
        <f>IF(Service_Providers!A25="","",Service_Providers!A25)</f>
        <v>JVG Coffee Mechanics</v>
      </c>
      <c r="H27" s="6">
        <f>IF(G27="","",COUNTIF(Accounts!$K$2:$K$299,G27))</f>
        <v>1</v>
      </c>
      <c r="I27" s="6">
        <f>IF(G27="","",COUNTIF(Accounts!$M$2:$M$299,G27))</f>
        <v>0</v>
      </c>
      <c r="J27" s="8" t="str">
        <f>IF(Service_Providers!C25="","",Service_Providers!C25)</f>
        <v>919-240-8083</v>
      </c>
      <c r="K27" s="8" t="str">
        <f>IF(Service_Providers!D25="","",Service_Providers!D25)</f>
        <v>hayes@jvgcoffeemechanics.com</v>
      </c>
    </row>
    <row r="28" spans="1:11" x14ac:dyDescent="0.25">
      <c r="A28" s="5" t="s">
        <v>36</v>
      </c>
      <c r="B28" s="6">
        <f>COUNTIF(Accounts!$G$2:$G$299,A28)</f>
        <v>2</v>
      </c>
      <c r="C28" s="6">
        <f>COUNTIFS(Accounts!$G$2:$G$299,A28,Accounts!$I$2:$I$299,"&lt;&gt;")</f>
        <v>2</v>
      </c>
      <c r="D28" s="6">
        <f>COUNTIFS(Accounts!$G$2:$G$299,A28,Accounts!$K$2:$K$299,"")</f>
        <v>1</v>
      </c>
      <c r="E28" s="7">
        <f t="shared" si="0"/>
        <v>0.5</v>
      </c>
      <c r="G28" s="8" t="str">
        <f>IF(Service_Providers!A27="","",Service_Providers!A27)</f>
        <v>Ken's Beverage</v>
      </c>
      <c r="H28" s="6">
        <f>IF(G28="","",COUNTIF(Accounts!$K$2:$K$299,G28))</f>
        <v>0</v>
      </c>
      <c r="I28" s="6">
        <f>IF(G28="","",COUNTIF(Accounts!$M$2:$M$299,G28))</f>
        <v>0</v>
      </c>
      <c r="J28" s="8" t="str">
        <f>IF(Service_Providers!C27="","",Service_Providers!C27)</f>
        <v>317.888.6400</v>
      </c>
      <c r="K28" s="8" t="str">
        <f>IF(Service_Providers!D27="","",Service_Providers!D27)</f>
        <v>awhitlock@kensbeverage.com</v>
      </c>
    </row>
    <row r="29" spans="1:11" ht="25.5" x14ac:dyDescent="0.25">
      <c r="A29" s="9" t="s">
        <v>37</v>
      </c>
      <c r="B29" s="9">
        <f>SUM(B6:B28)</f>
        <v>76</v>
      </c>
      <c r="C29" s="9">
        <f>SUM(C6:C28)</f>
        <v>76</v>
      </c>
      <c r="D29" s="9">
        <f>SUM(D6:D28)</f>
        <v>2</v>
      </c>
      <c r="E29" s="10">
        <f t="shared" si="0"/>
        <v>0.97368421052631582</v>
      </c>
      <c r="G29" s="8" t="str">
        <f>IF(Service_Providers!A28="","",Service_Providers!A28)</f>
        <v>LIQUISERVE LLC</v>
      </c>
      <c r="H29" s="6">
        <f>IF(G29="","",COUNTIF(Accounts!$K$2:$K$299,G29))</f>
        <v>1</v>
      </c>
      <c r="I29" s="6">
        <f>IF(G29="","",COUNTIF(Accounts!$M$2:$M$299,G29))</f>
        <v>0</v>
      </c>
      <c r="J29" s="8" t="str">
        <f>IF(Service_Providers!C28="","",Service_Providers!C28)</f>
        <v>Toll Free: 800-528-6625
Main: 505-247-3707</v>
      </c>
      <c r="K29" s="8" t="str">
        <f>IF(Service_Providers!D28="","",Service_Providers!D28)</f>
        <v>Service@LiquiServe.com</v>
      </c>
    </row>
    <row r="30" spans="1:11" x14ac:dyDescent="0.25">
      <c r="G30" s="8" t="str">
        <f>IF(Service_Providers!A30="","",Service_Providers!A30)</f>
        <v>MB Coffee Services</v>
      </c>
      <c r="H30" s="6">
        <f>IF(G30="","",COUNTIF(Accounts!$K$2:$K$299,G30))</f>
        <v>1</v>
      </c>
      <c r="I30" s="6">
        <f>IF(G30="","",COUNTIF(Accounts!$M$2:$M$299,G30))</f>
        <v>0</v>
      </c>
      <c r="J30" s="8" t="str">
        <f>IF(Service_Providers!C30="","",Service_Providers!C30)</f>
        <v>509.302.7071</v>
      </c>
      <c r="K30" s="8" t="str">
        <f>IF(Service_Providers!D30="","",Service_Providers!D30)</f>
        <v/>
      </c>
    </row>
    <row r="31" spans="1:11" ht="25.5" x14ac:dyDescent="0.25">
      <c r="G31" s="8" t="str">
        <f>IF(Service_Providers!A31="","",Service_Providers!A31)</f>
        <v>Midwest Equipment &amp; Espresso Specialists, Inc.</v>
      </c>
      <c r="H31" s="6">
        <f>IF(G31="","",COUNTIF(Accounts!$K$2:$K$299,G31))</f>
        <v>0</v>
      </c>
      <c r="I31" s="6">
        <f>IF(G31="","",COUNTIF(Accounts!$M$2:$M$299,G31))</f>
        <v>0</v>
      </c>
      <c r="J31" s="8" t="str">
        <f>IF(Service_Providers!C31="","",Service_Providers!C31)</f>
        <v>402-293-7490</v>
      </c>
      <c r="K31" s="8" t="str">
        <f>IF(Service_Providers!D31="","",Service_Providers!D31)</f>
        <v>Paul@meesi.omhcoxmail.com</v>
      </c>
    </row>
    <row r="32" spans="1:11" ht="25.5" x14ac:dyDescent="0.25">
      <c r="G32" s="8" t="str">
        <f>IF(Service_Providers!A32="","",Service_Providers!A32)</f>
        <v>Orleans Coffee / Perfect Shot Espresso Service</v>
      </c>
      <c r="H32" s="6">
        <f>IF(G32="","",COUNTIF(Accounts!$K$2:$K$299,G32))</f>
        <v>1</v>
      </c>
      <c r="I32" s="6">
        <f>IF(G32="","",COUNTIF(Accounts!$M$2:$M$299,G32))</f>
        <v>0</v>
      </c>
      <c r="J32" s="8" t="str">
        <f>IF(Service_Providers!C32="","",Service_Providers!C32)</f>
        <v>504-827-0878 (Office)</v>
      </c>
      <c r="K32" s="8" t="str">
        <f>IF(Service_Providers!D32="","",Service_Providers!D32)</f>
        <v>robbie@orleanscoffee.com</v>
      </c>
    </row>
    <row r="33" spans="7:11" x14ac:dyDescent="0.25">
      <c r="G33" s="8" t="str">
        <f>IF(Service_Providers!A33="","",Service_Providers!A33)</f>
        <v>Prestige Technical Services</v>
      </c>
      <c r="H33" s="6">
        <f>IF(G33="","",COUNTIF(Accounts!$K$2:$K$299,G33))</f>
        <v>4</v>
      </c>
      <c r="I33" s="6">
        <f>IF(G33="","",COUNTIF(Accounts!$M$2:$M$299,G33))</f>
        <v>0</v>
      </c>
      <c r="J33" s="8" t="str">
        <f>IF(Service_Providers!C33="","",Service_Providers!C33)</f>
        <v>636-583-5788</v>
      </c>
      <c r="K33" s="8" t="str">
        <f>IF(Service_Providers!D33="","",Service_Providers!D33)</f>
        <v>prestigetech@prestigetech.us</v>
      </c>
    </row>
    <row r="34" spans="7:11" x14ac:dyDescent="0.25">
      <c r="G34" s="8" t="str">
        <f>IF(Service_Providers!A34="","",Service_Providers!A34)</f>
        <v>PriorityOne Group</v>
      </c>
      <c r="H34" s="6">
        <f>IF(G34="","",COUNTIF(Accounts!$K$2:$K$299,G34))</f>
        <v>8</v>
      </c>
      <c r="I34" s="6">
        <f>IF(G34="","",COUNTIF(Accounts!$M$2:$M$299,G34))</f>
        <v>0</v>
      </c>
      <c r="J34" s="8" t="str">
        <f>IF(Service_Providers!C34="","",Service_Providers!C34)</f>
        <v>(800) 226-7146</v>
      </c>
      <c r="K34" s="8" t="str">
        <f>IF(Service_Providers!D34="","",Service_Providers!D34)</f>
        <v>service@priorityone247.com</v>
      </c>
    </row>
    <row r="35" spans="7:11" x14ac:dyDescent="0.25">
      <c r="G35" s="8" t="str">
        <f>IF(Service_Providers!A35="","",Service_Providers!A35)</f>
        <v>Remolinos Group</v>
      </c>
      <c r="H35" s="6">
        <f>IF(G35="","",COUNTIF(Accounts!$K$2:$K$299,G35))</f>
        <v>2</v>
      </c>
      <c r="I35" s="6">
        <f>IF(G35="","",COUNTIF(Accounts!$M$2:$M$299,G35))</f>
        <v>0</v>
      </c>
      <c r="J35" s="8" t="str">
        <f>IF(Service_Providers!C35="","",Service_Providers!C35)</f>
        <v>479.647.6800</v>
      </c>
      <c r="K35" s="8" t="str">
        <f>IF(Service_Providers!D35="","",Service_Providers!D35)</f>
        <v>tech@fidel.coffee</v>
      </c>
    </row>
    <row r="36" spans="7:11" x14ac:dyDescent="0.25">
      <c r="G36" s="8" t="str">
        <f>IF(Service_Providers!A36="","",Service_Providers!A36)</f>
        <v>Shepspresso Solutions</v>
      </c>
      <c r="H36" s="6">
        <f>IF(G36="","",COUNTIF(Accounts!$K$2:$K$299,G36))</f>
        <v>0</v>
      </c>
      <c r="I36" s="6">
        <f>IF(G36="","",COUNTIF(Accounts!$M$2:$M$299,G36))</f>
        <v>0</v>
      </c>
      <c r="J36" s="8" t="str">
        <f>IF(Service_Providers!C36="","",Service_Providers!C36)</f>
        <v>833.377.7370</v>
      </c>
      <c r="K36" s="8" t="str">
        <f>IF(Service_Providers!D36="","",Service_Providers!D36)</f>
        <v>info@shepspresso.com</v>
      </c>
    </row>
    <row r="37" spans="7:11" x14ac:dyDescent="0.25">
      <c r="G37" s="8" t="str">
        <f>IF(Service_Providers!A37="","",Service_Providers!A37)</f>
        <v>STCS</v>
      </c>
      <c r="H37" s="6">
        <f>IF(G37="","",COUNTIF(Accounts!$K$2:$K$299,G37))</f>
        <v>7</v>
      </c>
      <c r="I37" s="6">
        <f>IF(G37="","",COUNTIF(Accounts!$M$2:$M$299,G37))</f>
        <v>0</v>
      </c>
      <c r="J37" s="8" t="str">
        <f>IF(Service_Providers!C37="","",Service_Providers!C37)</f>
        <v>956-536-7846</v>
      </c>
      <c r="K37" s="8" t="str">
        <f>IF(Service_Providers!D37="","",Service_Providers!D37)</f>
        <v>alanmcgee@msn.com</v>
      </c>
    </row>
    <row r="38" spans="7:11" x14ac:dyDescent="0.25">
      <c r="G38" s="8" t="str">
        <f>IF(Service_Providers!A38="","",Service_Providers!A38)</f>
        <v>Stephen's Service Techician</v>
      </c>
      <c r="H38" s="6">
        <f>IF(G38="","",COUNTIF(Accounts!$K$2:$K$299,G38))</f>
        <v>0</v>
      </c>
      <c r="I38" s="6">
        <f>IF(G38="","",COUNTIF(Accounts!$M$2:$M$299,G38))</f>
        <v>0</v>
      </c>
      <c r="J38" s="8" t="str">
        <f>IF(Service_Providers!C38="","",Service_Providers!C38)</f>
        <v>806.789.0810</v>
      </c>
      <c r="K38" s="8" t="str">
        <f>IF(Service_Providers!D38="","",Service_Providers!D38)</f>
        <v/>
      </c>
    </row>
    <row r="39" spans="7:11" x14ac:dyDescent="0.25">
      <c r="G39" s="8" t="str">
        <f>IF(Service_Providers!A39="","",Service_Providers!A39)</f>
        <v>Swanson Service</v>
      </c>
      <c r="H39" s="6">
        <f>IF(G39="","",COUNTIF(Accounts!$K$2:$K$299,G39))</f>
        <v>0</v>
      </c>
      <c r="I39" s="6">
        <f>IF(G39="","",COUNTIF(Accounts!$M$2:$M$299,G39))</f>
        <v>0</v>
      </c>
      <c r="J39" s="8" t="str">
        <f>IF(Service_Providers!C39="","",Service_Providers!C39)</f>
        <v>(515) 993-2272</v>
      </c>
      <c r="K39" s="8" t="str">
        <f>IF(Service_Providers!D39="","",Service_Providers!D39)</f>
        <v>swansonservice@msn.com</v>
      </c>
    </row>
    <row r="40" spans="7:11" ht="38.25" x14ac:dyDescent="0.25">
      <c r="G40" s="8" t="str">
        <f>IF(Service_Providers!A40="","",Service_Providers!A40)</f>
        <v>Thunderbird Equipment Service</v>
      </c>
      <c r="H40" s="6">
        <f>IF(G40="","",COUNTIF(Accounts!$K$2:$K$299,G40))</f>
        <v>4</v>
      </c>
      <c r="I40" s="6">
        <f>IF(G40="","",COUNTIF(Accounts!$M$2:$M$299,G40))</f>
        <v>0</v>
      </c>
      <c r="J40" s="8" t="str">
        <f>IF(Service_Providers!C40="","",Service_Providers!C40)</f>
        <v>480-294-2434</v>
      </c>
      <c r="K40" s="8" t="str">
        <f>IF(Service_Providers!D40="","",Service_Providers!D40)</f>
        <v xml:space="preserve">service@thunderbirdequipment.com
</v>
      </c>
    </row>
    <row r="41" spans="7:11" ht="25.5" x14ac:dyDescent="0.25">
      <c r="G41" s="8" t="str">
        <f>IF(Service_Providers!A41="","",Service_Providers!A41)</f>
        <v>Ultimate Espresso Services</v>
      </c>
      <c r="H41" s="6">
        <f>IF(G41="","",COUNTIF(Accounts!$K$2:$K$299,G41))</f>
        <v>1</v>
      </c>
      <c r="I41" s="6">
        <f>IF(G41="","",COUNTIF(Accounts!$M$2:$M$299,G41))</f>
        <v>1</v>
      </c>
      <c r="J41" s="8" t="str">
        <f>IF(Service_Providers!C41="","",Service_Providers!C41)</f>
        <v>314.541.5256</v>
      </c>
      <c r="K41" s="8" t="str">
        <f>IF(Service_Providers!D41="","",Service_Providers!D41)</f>
        <v>ultimateespressoservices@gmail.com</v>
      </c>
    </row>
    <row r="42" spans="7:11" x14ac:dyDescent="0.25">
      <c r="G42" s="8" t="str">
        <f>IF(Service_Providers!A42="","",Service_Providers!A42)</f>
        <v>WHITEHEAD FOOD EQUIPMENT</v>
      </c>
      <c r="H42" s="6">
        <f>IF(G42="","",COUNTIF(Accounts!$K$2:$K$299,G42))</f>
        <v>0</v>
      </c>
      <c r="I42" s="6">
        <f>IF(G42="","",COUNTIF(Accounts!$M$2:$M$299,G42))</f>
        <v>0</v>
      </c>
      <c r="J42" s="8" t="str">
        <f>IF(Service_Providers!C42="","",Service_Providers!C42)</f>
        <v>Office: 405-528-5117</v>
      </c>
      <c r="K42" s="8" t="str">
        <f>IF(Service_Providers!D42="","",Service_Providers!D42)</f>
        <v>Nate@wfeokc.com</v>
      </c>
    </row>
    <row r="43" spans="7:11" x14ac:dyDescent="0.25">
      <c r="G43" s="11" t="str">
        <f>IF(Service_Providers!A26="","",Service_Providers!A26)</f>
        <v xml:space="preserve">Katz Coffee </v>
      </c>
      <c r="H43" s="12">
        <f>IF(G43="","",COUNTIF(Accounts!$K$2:$K$299,G43))</f>
        <v>2</v>
      </c>
      <c r="I43" s="12">
        <f>IF(G43="","",COUNTIF(Accounts!$M$2:$M$299,G43))</f>
        <v>0</v>
      </c>
      <c r="J43" s="11" t="str">
        <f>IF(Service_Providers!C26="","",Service_Providers!C26)</f>
        <v>713.864.3338</v>
      </c>
      <c r="K43" s="11" t="str">
        <f>IF(Service_Providers!D26="","",Service_Providers!D26)</f>
        <v>service@katzcoffee.com</v>
      </c>
    </row>
    <row r="44" spans="7:11" x14ac:dyDescent="0.25">
      <c r="G44" s="11" t="str">
        <f>IF(Service_Providers!A43="","",Service_Providers!A43)</f>
        <v/>
      </c>
      <c r="H44" s="12" t="str">
        <f>IF(G44="","",COUNTIF(Accounts!$K$2:$K$299,G44))</f>
        <v/>
      </c>
      <c r="I44" s="12" t="str">
        <f>IF(G44="","",COUNTIF(Accounts!$M$2:$M$299,G44))</f>
        <v/>
      </c>
      <c r="J44" s="11" t="str">
        <f>IF(Service_Providers!C43="","",Service_Providers!C43)</f>
        <v/>
      </c>
      <c r="K44" s="11" t="str">
        <f>IF(Service_Providers!D43="","",Service_Providers!D43)</f>
        <v/>
      </c>
    </row>
    <row r="45" spans="7:11" x14ac:dyDescent="0.25">
      <c r="G45" s="11" t="str">
        <f>IF(Service_Providers!A44="","",Service_Providers!A44)</f>
        <v/>
      </c>
      <c r="H45" s="12" t="str">
        <f>IF(G45="","",COUNTIF(Accounts!$K$2:$K$299,G45))</f>
        <v/>
      </c>
      <c r="I45" s="12" t="str">
        <f>IF(G45="","",COUNTIF(Accounts!$M$2:$M$299,G45))</f>
        <v/>
      </c>
      <c r="J45" s="11" t="str">
        <f>IF(Service_Providers!C44="","",Service_Providers!C44)</f>
        <v/>
      </c>
      <c r="K45" s="11" t="str">
        <f>IF(Service_Providers!D44="","",Service_Providers!D44)</f>
        <v/>
      </c>
    </row>
    <row r="46" spans="7:11" x14ac:dyDescent="0.25">
      <c r="G46" s="11" t="str">
        <f>IF(Service_Providers!A45="","",Service_Providers!A45)</f>
        <v/>
      </c>
      <c r="H46" s="12" t="str">
        <f>IF(G46="","",COUNTIF(Accounts!$K$2:$K$299,G46))</f>
        <v/>
      </c>
      <c r="I46" s="12" t="str">
        <f>IF(G46="","",COUNTIF(Accounts!$M$2:$M$299,G46))</f>
        <v/>
      </c>
      <c r="J46" s="11" t="str">
        <f>IF(Service_Providers!C45="","",Service_Providers!C45)</f>
        <v/>
      </c>
      <c r="K46" s="11" t="str">
        <f>IF(Service_Providers!D45="","",Service_Providers!D45)</f>
        <v/>
      </c>
    </row>
    <row r="47" spans="7:11" x14ac:dyDescent="0.25">
      <c r="G47" s="11" t="str">
        <f>IF(Service_Providers!A46="","",Service_Providers!A46)</f>
        <v/>
      </c>
      <c r="H47" s="12" t="str">
        <f>IF(G47="","",COUNTIF(Accounts!$K$2:$K$299,G47))</f>
        <v/>
      </c>
      <c r="I47" s="12" t="str">
        <f>IF(G47="","",COUNTIF(Accounts!$M$2:$M$299,G47))</f>
        <v/>
      </c>
      <c r="J47" s="11" t="str">
        <f>IF(Service_Providers!C46="","",Service_Providers!C46)</f>
        <v/>
      </c>
      <c r="K47" s="11" t="str">
        <f>IF(Service_Providers!D46="","",Service_Providers!D46)</f>
        <v/>
      </c>
    </row>
    <row r="48" spans="7:11" x14ac:dyDescent="0.25">
      <c r="G48" s="11" t="str">
        <f>IF(Service_Providers!A47="","",Service_Providers!A47)</f>
        <v/>
      </c>
      <c r="H48" s="12" t="str">
        <f>IF(G48="","",COUNTIF(Accounts!$K$2:$K$299,G48))</f>
        <v/>
      </c>
      <c r="I48" s="12" t="str">
        <f>IF(G48="","",COUNTIF(Accounts!$M$2:$M$299,G48))</f>
        <v/>
      </c>
      <c r="J48" s="11" t="str">
        <f>IF(Service_Providers!C47="","",Service_Providers!C47)</f>
        <v/>
      </c>
      <c r="K48" s="11" t="str">
        <f>IF(Service_Providers!D47="","",Service_Providers!D47)</f>
        <v/>
      </c>
    </row>
    <row r="49" spans="7:11" x14ac:dyDescent="0.25">
      <c r="G49" s="11" t="str">
        <f>IF(Service_Providers!A48="","",Service_Providers!A48)</f>
        <v/>
      </c>
      <c r="H49" s="12" t="str">
        <f>IF(G49="","",COUNTIF(Accounts!$K$2:$K$299,G49))</f>
        <v/>
      </c>
      <c r="I49" s="12" t="str">
        <f>IF(G49="","",COUNTIF(Accounts!$M$2:$M$299,G49))</f>
        <v/>
      </c>
      <c r="J49" s="11" t="str">
        <f>IF(Service_Providers!C48="","",Service_Providers!C48)</f>
        <v/>
      </c>
      <c r="K49" s="11" t="str">
        <f>IF(Service_Providers!D48="","",Service_Providers!D48)</f>
        <v/>
      </c>
    </row>
    <row r="50" spans="7:11" x14ac:dyDescent="0.25">
      <c r="G50" s="11" t="str">
        <f>IF(Service_Providers!A49="","",Service_Providers!A49)</f>
        <v/>
      </c>
      <c r="H50" s="12" t="str">
        <f>IF(G50="","",COUNTIF(Accounts!$K$2:$K$299,G50))</f>
        <v/>
      </c>
      <c r="I50" s="12" t="str">
        <f>IF(G50="","",COUNTIF(Accounts!$M$2:$M$299,G50))</f>
        <v/>
      </c>
      <c r="J50" s="11" t="str">
        <f>IF(Service_Providers!C49="","",Service_Providers!C49)</f>
        <v/>
      </c>
      <c r="K50" s="11" t="str">
        <f>IF(Service_Providers!D49="","",Service_Providers!D49)</f>
        <v/>
      </c>
    </row>
    <row r="51" spans="7:11" x14ac:dyDescent="0.25">
      <c r="G51" s="11" t="str">
        <f>IF(Service_Providers!A50="","",Service_Providers!A50)</f>
        <v/>
      </c>
      <c r="H51" s="12" t="str">
        <f>IF(G51="","",COUNTIF(Accounts!$K$2:$K$299,G51))</f>
        <v/>
      </c>
      <c r="I51" s="12" t="str">
        <f>IF(G51="","",COUNTIF(Accounts!$M$2:$M$299,G51))</f>
        <v/>
      </c>
      <c r="J51" s="11" t="str">
        <f>IF(Service_Providers!C50="","",Service_Providers!C50)</f>
        <v/>
      </c>
      <c r="K51" s="11" t="str">
        <f>IF(Service_Providers!D50="","",Service_Providers!D50)</f>
        <v/>
      </c>
    </row>
    <row r="52" spans="7:11" x14ac:dyDescent="0.25">
      <c r="G52" s="11" t="str">
        <f>IF(Service_Providers!A51="","",Service_Providers!A51)</f>
        <v/>
      </c>
      <c r="H52" s="12" t="str">
        <f>IF(G52="","",COUNTIF(Accounts!$K$2:$K$299,G52))</f>
        <v/>
      </c>
      <c r="I52" s="12" t="str">
        <f>IF(G52="","",COUNTIF(Accounts!$M$2:$M$299,G52))</f>
        <v/>
      </c>
      <c r="J52" s="11" t="str">
        <f>IF(Service_Providers!C51="","",Service_Providers!C51)</f>
        <v/>
      </c>
      <c r="K52" s="11" t="str">
        <f>IF(Service_Providers!D51="","",Service_Providers!D51)</f>
        <v/>
      </c>
    </row>
    <row r="53" spans="7:11" x14ac:dyDescent="0.25">
      <c r="G53" s="11" t="str">
        <f>IF(Service_Providers!A52="","",Service_Providers!A52)</f>
        <v/>
      </c>
      <c r="H53" s="12" t="str">
        <f>IF(G53="","",COUNTIF(Accounts!$K$2:$K$299,G53))</f>
        <v/>
      </c>
      <c r="I53" s="12" t="str">
        <f>IF(G53="","",COUNTIF(Accounts!$M$2:$M$299,G53))</f>
        <v/>
      </c>
      <c r="J53" s="11" t="str">
        <f>IF(Service_Providers!C52="","",Service_Providers!C52)</f>
        <v/>
      </c>
      <c r="K53" s="11" t="str">
        <f>IF(Service_Providers!D52="","",Service_Providers!D52)</f>
        <v/>
      </c>
    </row>
    <row r="54" spans="7:11" x14ac:dyDescent="0.25">
      <c r="G54" s="11" t="str">
        <f>IF(Service_Providers!A53="","",Service_Providers!A53)</f>
        <v/>
      </c>
      <c r="H54" s="12" t="str">
        <f>IF(G54="","",COUNTIF(Accounts!$K$2:$K$299,G54))</f>
        <v/>
      </c>
      <c r="I54" s="12" t="str">
        <f>IF(G54="","",COUNTIF(Accounts!$M$2:$M$299,G54))</f>
        <v/>
      </c>
      <c r="J54" s="11" t="str">
        <f>IF(Service_Providers!C53="","",Service_Providers!C53)</f>
        <v/>
      </c>
      <c r="K54" s="11" t="str">
        <f>IF(Service_Providers!D53="","",Service_Providers!D53)</f>
        <v/>
      </c>
    </row>
    <row r="55" spans="7:11" x14ac:dyDescent="0.25">
      <c r="G55" s="11" t="str">
        <f>IF(Service_Providers!A54="","",Service_Providers!A54)</f>
        <v/>
      </c>
      <c r="H55" s="12" t="str">
        <f>IF(G55="","",COUNTIF(Accounts!$K$2:$K$299,G55))</f>
        <v/>
      </c>
      <c r="I55" s="12" t="str">
        <f>IF(G55="","",COUNTIF(Accounts!$M$2:$M$299,G55))</f>
        <v/>
      </c>
      <c r="J55" s="11" t="str">
        <f>IF(Service_Providers!C54="","",Service_Providers!C54)</f>
        <v/>
      </c>
      <c r="K55" s="11" t="str">
        <f>IF(Service_Providers!D54="","",Service_Providers!D54)</f>
        <v/>
      </c>
    </row>
    <row r="56" spans="7:11" x14ac:dyDescent="0.25">
      <c r="G56" s="11" t="str">
        <f>IF(Service_Providers!A55="","",Service_Providers!A55)</f>
        <v/>
      </c>
      <c r="H56" s="12" t="str">
        <f>IF(G56="","",COUNTIF(Accounts!$K$2:$K$299,G56))</f>
        <v/>
      </c>
      <c r="I56" s="12" t="str">
        <f>IF(G56="","",COUNTIF(Accounts!$M$2:$M$299,G56))</f>
        <v/>
      </c>
      <c r="J56" s="11" t="str">
        <f>IF(Service_Providers!C55="","",Service_Providers!C55)</f>
        <v/>
      </c>
      <c r="K56" s="11" t="str">
        <f>IF(Service_Providers!D55="","",Service_Providers!D55)</f>
        <v/>
      </c>
    </row>
    <row r="57" spans="7:11" x14ac:dyDescent="0.25">
      <c r="G57" s="11" t="str">
        <f>IF(Service_Providers!A56="","",Service_Providers!A56)</f>
        <v/>
      </c>
      <c r="H57" s="12" t="str">
        <f>IF(G57="","",COUNTIF(Accounts!$K$2:$K$299,G57))</f>
        <v/>
      </c>
      <c r="I57" s="12" t="str">
        <f>IF(G57="","",COUNTIF(Accounts!$M$2:$M$299,G57))</f>
        <v/>
      </c>
      <c r="J57" s="11" t="str">
        <f>IF(Service_Providers!C56="","",Service_Providers!C56)</f>
        <v/>
      </c>
      <c r="K57" s="11" t="str">
        <f>IF(Service_Providers!D56="","",Service_Providers!D56)</f>
        <v/>
      </c>
    </row>
    <row r="58" spans="7:11" x14ac:dyDescent="0.25">
      <c r="G58" s="11" t="str">
        <f>IF(Service_Providers!A57="","",Service_Providers!A57)</f>
        <v/>
      </c>
      <c r="H58" s="12" t="str">
        <f>IF(G58="","",COUNTIF(Accounts!$K$2:$K$299,G58))</f>
        <v/>
      </c>
      <c r="I58" s="12" t="str">
        <f>IF(G58="","",COUNTIF(Accounts!$M$2:$M$299,G58))</f>
        <v/>
      </c>
      <c r="J58" s="11" t="str">
        <f>IF(Service_Providers!C57="","",Service_Providers!C57)</f>
        <v/>
      </c>
      <c r="K58" s="11" t="str">
        <f>IF(Service_Providers!D57="","",Service_Providers!D57)</f>
        <v/>
      </c>
    </row>
    <row r="59" spans="7:11" x14ac:dyDescent="0.25">
      <c r="G59" s="11" t="str">
        <f>IF(Service_Providers!A58="","",Service_Providers!A58)</f>
        <v/>
      </c>
      <c r="H59" s="12" t="str">
        <f>IF(G59="","",COUNTIF(Accounts!$K$2:$K$299,G59))</f>
        <v/>
      </c>
      <c r="I59" s="12" t="str">
        <f>IF(G59="","",COUNTIF(Accounts!$M$2:$M$299,G59))</f>
        <v/>
      </c>
      <c r="J59" s="11" t="str">
        <f>IF(Service_Providers!C58="","",Service_Providers!C58)</f>
        <v/>
      </c>
      <c r="K59" s="11" t="str">
        <f>IF(Service_Providers!D58="","",Service_Providers!D58)</f>
        <v/>
      </c>
    </row>
    <row r="60" spans="7:11" x14ac:dyDescent="0.25">
      <c r="G60" s="11" t="str">
        <f>IF(Service_Providers!A59="","",Service_Providers!A59)</f>
        <v/>
      </c>
      <c r="H60" s="12" t="str">
        <f>IF(G60="","",COUNTIF(Accounts!$K$2:$K$299,G60))</f>
        <v/>
      </c>
      <c r="I60" s="12" t="str">
        <f>IF(G60="","",COUNTIF(Accounts!$M$2:$M$299,G60))</f>
        <v/>
      </c>
      <c r="J60" s="11" t="str">
        <f>IF(Service_Providers!C59="","",Service_Providers!C59)</f>
        <v/>
      </c>
      <c r="K60" s="11" t="str">
        <f>IF(Service_Providers!D59="","",Service_Providers!D59)</f>
        <v/>
      </c>
    </row>
    <row r="61" spans="7:11" x14ac:dyDescent="0.25">
      <c r="G61" s="11" t="str">
        <f>IF(Service_Providers!A60="","",Service_Providers!A60)</f>
        <v/>
      </c>
      <c r="H61" s="12" t="str">
        <f>IF(G61="","",COUNTIF(Accounts!$K$2:$K$299,G61))</f>
        <v/>
      </c>
      <c r="I61" s="12" t="str">
        <f>IF(G61="","",COUNTIF(Accounts!$M$2:$M$299,G61))</f>
        <v/>
      </c>
      <c r="J61" s="11" t="str">
        <f>IF(Service_Providers!C60="","",Service_Providers!C60)</f>
        <v/>
      </c>
      <c r="K61" s="11" t="str">
        <f>IF(Service_Providers!D60="","",Service_Providers!D60)</f>
        <v/>
      </c>
    </row>
    <row r="62" spans="7:11" x14ac:dyDescent="0.25">
      <c r="G62" s="11" t="str">
        <f>IF(Service_Providers!A61="","",Service_Providers!A61)</f>
        <v/>
      </c>
      <c r="H62" s="12" t="str">
        <f>IF(G62="","",COUNTIF(Accounts!$K$2:$K$299,G62))</f>
        <v/>
      </c>
      <c r="I62" s="12" t="str">
        <f>IF(G62="","",COUNTIF(Accounts!$M$2:$M$299,G62))</f>
        <v/>
      </c>
      <c r="J62" s="11" t="str">
        <f>IF(Service_Providers!C61="","",Service_Providers!C61)</f>
        <v/>
      </c>
      <c r="K62" s="11" t="str">
        <f>IF(Service_Providers!D61="","",Service_Providers!D61)</f>
        <v/>
      </c>
    </row>
    <row r="63" spans="7:11" x14ac:dyDescent="0.25">
      <c r="G63" s="11" t="str">
        <f>IF(Service_Providers!A62="","",Service_Providers!A62)</f>
        <v/>
      </c>
      <c r="H63" s="12" t="str">
        <f>IF(G63="","",COUNTIF(Accounts!$K$2:$K$299,G63))</f>
        <v/>
      </c>
      <c r="I63" s="12" t="str">
        <f>IF(G63="","",COUNTIF(Accounts!$M$2:$M$299,G63))</f>
        <v/>
      </c>
      <c r="J63" s="11" t="str">
        <f>IF(Service_Providers!C62="","",Service_Providers!C62)</f>
        <v/>
      </c>
      <c r="K63" s="11" t="str">
        <f>IF(Service_Providers!D62="","",Service_Providers!D62)</f>
        <v/>
      </c>
    </row>
    <row r="64" spans="7:11" x14ac:dyDescent="0.25">
      <c r="G64" s="11" t="str">
        <f>IF(Service_Providers!A63="","",Service_Providers!A63)</f>
        <v/>
      </c>
      <c r="H64" s="12" t="str">
        <f>IF(G64="","",COUNTIF(Accounts!$K$2:$K$299,G64))</f>
        <v/>
      </c>
      <c r="I64" s="12" t="str">
        <f>IF(G64="","",COUNTIF(Accounts!$M$2:$M$299,G64))</f>
        <v/>
      </c>
      <c r="J64" s="11" t="str">
        <f>IF(Service_Providers!C63="","",Service_Providers!C63)</f>
        <v/>
      </c>
      <c r="K64" s="11" t="str">
        <f>IF(Service_Providers!D63="","",Service_Providers!D63)</f>
        <v/>
      </c>
    </row>
    <row r="65" spans="7:11" x14ac:dyDescent="0.25">
      <c r="G65" s="11" t="str">
        <f>IF(Service_Providers!A64="","",Service_Providers!A64)</f>
        <v/>
      </c>
      <c r="H65" s="12" t="str">
        <f>IF(G65="","",COUNTIF(Accounts!$K$2:$K$299,G65))</f>
        <v/>
      </c>
      <c r="I65" s="12" t="str">
        <f>IF(G65="","",COUNTIF(Accounts!$M$2:$M$299,G65))</f>
        <v/>
      </c>
      <c r="J65" s="11" t="str">
        <f>IF(Service_Providers!C64="","",Service_Providers!C64)</f>
        <v/>
      </c>
      <c r="K65" s="11" t="str">
        <f>IF(Service_Providers!D64="","",Service_Providers!D64)</f>
        <v/>
      </c>
    </row>
    <row r="66" spans="7:11" x14ac:dyDescent="0.25">
      <c r="G66" s="11" t="str">
        <f>IF(Service_Providers!A65="","",Service_Providers!A65)</f>
        <v/>
      </c>
      <c r="H66" s="12" t="str">
        <f>IF(G66="","",COUNTIF(Accounts!$K$2:$K$299,G66))</f>
        <v/>
      </c>
      <c r="I66" s="12" t="str">
        <f>IF(G66="","",COUNTIF(Accounts!$M$2:$M$299,G66))</f>
        <v/>
      </c>
      <c r="J66" s="11" t="str">
        <f>IF(Service_Providers!C65="","",Service_Providers!C65)</f>
        <v/>
      </c>
      <c r="K66" s="11" t="str">
        <f>IF(Service_Providers!D65="","",Service_Providers!D65)</f>
        <v/>
      </c>
    </row>
    <row r="67" spans="7:11" x14ac:dyDescent="0.25">
      <c r="G67" s="11" t="str">
        <f>IF(Service_Providers!A66="","",Service_Providers!A66)</f>
        <v/>
      </c>
      <c r="H67" s="12" t="str">
        <f>IF(G67="","",COUNTIF(Accounts!$K$2:$K$299,G67))</f>
        <v/>
      </c>
      <c r="I67" s="12" t="str">
        <f>IF(G67="","",COUNTIF(Accounts!$M$2:$M$299,G67))</f>
        <v/>
      </c>
      <c r="J67" s="11" t="str">
        <f>IF(Service_Providers!C66="","",Service_Providers!C66)</f>
        <v/>
      </c>
      <c r="K67" s="11" t="str">
        <f>IF(Service_Providers!D66="","",Service_Providers!D66)</f>
        <v/>
      </c>
    </row>
    <row r="68" spans="7:11" x14ac:dyDescent="0.25">
      <c r="G68" s="11" t="str">
        <f>IF(Service_Providers!A67="","",Service_Providers!A67)</f>
        <v/>
      </c>
      <c r="H68" s="12" t="str">
        <f>IF(G68="","",COUNTIF(Accounts!$K$2:$K$299,G68))</f>
        <v/>
      </c>
      <c r="I68" s="12" t="str">
        <f>IF(G68="","",COUNTIF(Accounts!$M$2:$M$299,G68))</f>
        <v/>
      </c>
      <c r="J68" s="11" t="str">
        <f>IF(Service_Providers!C67="","",Service_Providers!C67)</f>
        <v/>
      </c>
      <c r="K68" s="11" t="str">
        <f>IF(Service_Providers!D67="","",Service_Providers!D67)</f>
        <v/>
      </c>
    </row>
    <row r="69" spans="7:11" x14ac:dyDescent="0.25">
      <c r="G69" s="11" t="str">
        <f>IF(Service_Providers!A68="","",Service_Providers!A68)</f>
        <v/>
      </c>
      <c r="H69" s="12" t="str">
        <f>IF(G69="","",COUNTIF(Accounts!$K$2:$K$299,G69))</f>
        <v/>
      </c>
      <c r="I69" s="12" t="str">
        <f>IF(G69="","",COUNTIF(Accounts!$M$2:$M$299,G69))</f>
        <v/>
      </c>
      <c r="J69" s="11" t="str">
        <f>IF(Service_Providers!C68="","",Service_Providers!C68)</f>
        <v/>
      </c>
      <c r="K69" s="11" t="str">
        <f>IF(Service_Providers!D68="","",Service_Providers!D68)</f>
        <v/>
      </c>
    </row>
    <row r="70" spans="7:11" x14ac:dyDescent="0.25">
      <c r="G70" s="11" t="str">
        <f>IF(Service_Providers!A69="","",Service_Providers!A69)</f>
        <v/>
      </c>
      <c r="H70" s="12" t="str">
        <f>IF(G70="","",COUNTIF(Accounts!$K$2:$K$299,G70))</f>
        <v/>
      </c>
      <c r="I70" s="12" t="str">
        <f>IF(G70="","",COUNTIF(Accounts!$M$2:$M$299,G70))</f>
        <v/>
      </c>
      <c r="J70" s="11" t="str">
        <f>IF(Service_Providers!C69="","",Service_Providers!C69)</f>
        <v/>
      </c>
      <c r="K70" s="11" t="str">
        <f>IF(Service_Providers!D69="","",Service_Providers!D69)</f>
        <v/>
      </c>
    </row>
    <row r="71" spans="7:11" x14ac:dyDescent="0.25">
      <c r="G71" s="11" t="str">
        <f>IF(Service_Providers!A70="","",Service_Providers!A70)</f>
        <v/>
      </c>
      <c r="H71" s="12" t="str">
        <f>IF(G71="","",COUNTIF(Accounts!$K$2:$K$299,G71))</f>
        <v/>
      </c>
      <c r="I71" s="12" t="str">
        <f>IF(G71="","",COUNTIF(Accounts!$M$2:$M$299,G71))</f>
        <v/>
      </c>
      <c r="J71" s="11" t="str">
        <f>IF(Service_Providers!C70="","",Service_Providers!C70)</f>
        <v/>
      </c>
      <c r="K71" s="11" t="str">
        <f>IF(Service_Providers!D70="","",Service_Providers!D70)</f>
        <v/>
      </c>
    </row>
    <row r="72" spans="7:11" x14ac:dyDescent="0.25">
      <c r="G72" s="11" t="str">
        <f>IF(Service_Providers!A71="","",Service_Providers!A71)</f>
        <v/>
      </c>
      <c r="H72" s="12" t="str">
        <f>IF(G72="","",COUNTIF(Accounts!$K$2:$K$299,G72))</f>
        <v/>
      </c>
      <c r="I72" s="12" t="str">
        <f>IF(G72="","",COUNTIF(Accounts!$M$2:$M$299,G72))</f>
        <v/>
      </c>
      <c r="J72" s="11" t="str">
        <f>IF(Service_Providers!C71="","",Service_Providers!C71)</f>
        <v/>
      </c>
      <c r="K72" s="11" t="str">
        <f>IF(Service_Providers!D71="","",Service_Providers!D71)</f>
        <v/>
      </c>
    </row>
    <row r="73" spans="7:11" x14ac:dyDescent="0.25">
      <c r="G73" s="11" t="str">
        <f>IF(Service_Providers!A72="","",Service_Providers!A72)</f>
        <v/>
      </c>
      <c r="H73" s="12" t="str">
        <f>IF(G73="","",COUNTIF(Accounts!$K$2:$K$299,G73))</f>
        <v/>
      </c>
      <c r="I73" s="12" t="str">
        <f>IF(G73="","",COUNTIF(Accounts!$M$2:$M$299,G73))</f>
        <v/>
      </c>
      <c r="J73" s="11" t="str">
        <f>IF(Service_Providers!C72="","",Service_Providers!C72)</f>
        <v/>
      </c>
      <c r="K73" s="11" t="str">
        <f>IF(Service_Providers!D72="","",Service_Providers!D72)</f>
        <v/>
      </c>
    </row>
    <row r="74" spans="7:11" x14ac:dyDescent="0.25">
      <c r="G74" s="11" t="str">
        <f>IF(Service_Providers!A73="","",Service_Providers!A73)</f>
        <v/>
      </c>
      <c r="H74" s="12" t="str">
        <f>IF(G74="","",COUNTIF(Accounts!$K$2:$K$299,G74))</f>
        <v/>
      </c>
      <c r="I74" s="12" t="str">
        <f>IF(G74="","",COUNTIF(Accounts!$M$2:$M$299,G74))</f>
        <v/>
      </c>
      <c r="J74" s="11" t="str">
        <f>IF(Service_Providers!C73="","",Service_Providers!C73)</f>
        <v/>
      </c>
      <c r="K74" s="11" t="str">
        <f>IF(Service_Providers!D73="","",Service_Providers!D73)</f>
        <v/>
      </c>
    </row>
    <row r="75" spans="7:11" x14ac:dyDescent="0.25">
      <c r="G75" s="11" t="str">
        <f>IF(Service_Providers!A74="","",Service_Providers!A74)</f>
        <v/>
      </c>
      <c r="H75" s="12" t="str">
        <f>IF(G75="","",COUNTIF(Accounts!$K$2:$K$299,G75))</f>
        <v/>
      </c>
      <c r="I75" s="12" t="str">
        <f>IF(G75="","",COUNTIF(Accounts!$M$2:$M$299,G75))</f>
        <v/>
      </c>
      <c r="J75" s="11" t="str">
        <f>IF(Service_Providers!C74="","",Service_Providers!C74)</f>
        <v/>
      </c>
      <c r="K75" s="11" t="str">
        <f>IF(Service_Providers!D74="","",Service_Providers!D74)</f>
        <v/>
      </c>
    </row>
    <row r="76" spans="7:11" x14ac:dyDescent="0.25">
      <c r="G76" s="11" t="str">
        <f>IF(Service_Providers!A75="","",Service_Providers!A75)</f>
        <v/>
      </c>
      <c r="H76" s="12" t="str">
        <f>IF(G76="","",COUNTIF(Accounts!$K$2:$K$299,G76))</f>
        <v/>
      </c>
      <c r="I76" s="12" t="str">
        <f>IF(G76="","",COUNTIF(Accounts!$M$2:$M$299,G76))</f>
        <v/>
      </c>
      <c r="J76" s="11" t="str">
        <f>IF(Service_Providers!C75="","",Service_Providers!C75)</f>
        <v/>
      </c>
      <c r="K76" s="11" t="str">
        <f>IF(Service_Providers!D75="","",Service_Providers!D75)</f>
        <v/>
      </c>
    </row>
    <row r="77" spans="7:11" x14ac:dyDescent="0.25">
      <c r="G77" s="11" t="str">
        <f>IF(Service_Providers!A76="","",Service_Providers!A76)</f>
        <v/>
      </c>
      <c r="H77" s="12" t="str">
        <f>IF(G77="","",COUNTIF(Accounts!$K$2:$K$299,G77))</f>
        <v/>
      </c>
      <c r="I77" s="12" t="str">
        <f>IF(G77="","",COUNTIF(Accounts!$M$2:$M$299,G77))</f>
        <v/>
      </c>
      <c r="J77" s="11" t="str">
        <f>IF(Service_Providers!C76="","",Service_Providers!C76)</f>
        <v/>
      </c>
      <c r="K77" s="11" t="str">
        <f>IF(Service_Providers!D76="","",Service_Providers!D76)</f>
        <v/>
      </c>
    </row>
    <row r="78" spans="7:11" x14ac:dyDescent="0.25">
      <c r="G78" s="11" t="str">
        <f>IF(Service_Providers!A77="","",Service_Providers!A77)</f>
        <v/>
      </c>
      <c r="H78" s="12" t="str">
        <f>IF(G78="","",COUNTIF(Accounts!$K$2:$K$299,G78))</f>
        <v/>
      </c>
      <c r="I78" s="12" t="str">
        <f>IF(G78="","",COUNTIF(Accounts!$M$2:$M$299,G78))</f>
        <v/>
      </c>
      <c r="J78" s="11" t="str">
        <f>IF(Service_Providers!C77="","",Service_Providers!C77)</f>
        <v/>
      </c>
      <c r="K78" s="11" t="str">
        <f>IF(Service_Providers!D77="","",Service_Providers!D77)</f>
        <v/>
      </c>
    </row>
    <row r="79" spans="7:11" x14ac:dyDescent="0.25">
      <c r="G79" s="11" t="str">
        <f>IF(Service_Providers!A78="","",Service_Providers!A78)</f>
        <v/>
      </c>
      <c r="H79" s="12" t="str">
        <f>IF(G79="","",COUNTIF(Accounts!$K$2:$K$299,G79))</f>
        <v/>
      </c>
      <c r="I79" s="12" t="str">
        <f>IF(G79="","",COUNTIF(Accounts!$M$2:$M$299,G79))</f>
        <v/>
      </c>
      <c r="J79" s="11" t="str">
        <f>IF(Service_Providers!C78="","",Service_Providers!C78)</f>
        <v/>
      </c>
      <c r="K79" s="11" t="str">
        <f>IF(Service_Providers!D78="","",Service_Providers!D78)</f>
        <v/>
      </c>
    </row>
    <row r="80" spans="7:11" x14ac:dyDescent="0.25">
      <c r="G80" s="11" t="str">
        <f>IF(Service_Providers!A79="","",Service_Providers!A79)</f>
        <v/>
      </c>
      <c r="H80" s="12" t="str">
        <f>IF(G80="","",COUNTIF(Accounts!$K$2:$K$299,G80))</f>
        <v/>
      </c>
      <c r="I80" s="12" t="str">
        <f>IF(G80="","",COUNTIF(Accounts!$M$2:$M$299,G80))</f>
        <v/>
      </c>
      <c r="J80" s="11" t="str">
        <f>IF(Service_Providers!C79="","",Service_Providers!C79)</f>
        <v/>
      </c>
      <c r="K80" s="11" t="str">
        <f>IF(Service_Providers!D79="","",Service_Providers!D79)</f>
        <v/>
      </c>
    </row>
    <row r="81" spans="7:11" x14ac:dyDescent="0.25">
      <c r="G81" s="11" t="str">
        <f>IF(Service_Providers!A80="","",Service_Providers!A80)</f>
        <v/>
      </c>
      <c r="H81" s="12" t="str">
        <f>IF(G81="","",COUNTIF(Accounts!$K$2:$K$299,G81))</f>
        <v/>
      </c>
      <c r="I81" s="12" t="str">
        <f>IF(G81="","",COUNTIF(Accounts!$M$2:$M$299,G81))</f>
        <v/>
      </c>
      <c r="J81" s="11" t="str">
        <f>IF(Service_Providers!C80="","",Service_Providers!C80)</f>
        <v/>
      </c>
      <c r="K81" s="11" t="str">
        <f>IF(Service_Providers!D80="","",Service_Providers!D80)</f>
        <v/>
      </c>
    </row>
    <row r="82" spans="7:11" x14ac:dyDescent="0.25">
      <c r="G82" s="11" t="str">
        <f>IF(Service_Providers!A81="","",Service_Providers!A81)</f>
        <v/>
      </c>
      <c r="H82" s="12" t="str">
        <f>IF(G82="","",COUNTIF(Accounts!$K$2:$K$299,G82))</f>
        <v/>
      </c>
      <c r="I82" s="12" t="str">
        <f>IF(G82="","",COUNTIF(Accounts!$M$2:$M$299,G82))</f>
        <v/>
      </c>
      <c r="J82" s="11" t="str">
        <f>IF(Service_Providers!C81="","",Service_Providers!C81)</f>
        <v/>
      </c>
      <c r="K82" s="11" t="str">
        <f>IF(Service_Providers!D81="","",Service_Providers!D81)</f>
        <v/>
      </c>
    </row>
    <row r="83" spans="7:11" x14ac:dyDescent="0.25">
      <c r="G83" s="11" t="str">
        <f>IF(Service_Providers!A82="","",Service_Providers!A82)</f>
        <v/>
      </c>
      <c r="H83" s="12" t="str">
        <f>IF(G83="","",COUNTIF(Accounts!$K$2:$K$299,G83))</f>
        <v/>
      </c>
      <c r="I83" s="12" t="str">
        <f>IF(G83="","",COUNTIF(Accounts!$M$2:$M$299,G83))</f>
        <v/>
      </c>
      <c r="J83" s="11" t="str">
        <f>IF(Service_Providers!C82="","",Service_Providers!C82)</f>
        <v/>
      </c>
      <c r="K83" s="11" t="str">
        <f>IF(Service_Providers!D82="","",Service_Providers!D82)</f>
        <v/>
      </c>
    </row>
    <row r="84" spans="7:11" x14ac:dyDescent="0.25">
      <c r="G84" s="11" t="str">
        <f>IF(Service_Providers!A83="","",Service_Providers!A83)</f>
        <v/>
      </c>
      <c r="H84" s="12" t="str">
        <f>IF(G84="","",COUNTIF(Accounts!$K$2:$K$299,G84))</f>
        <v/>
      </c>
      <c r="I84" s="12" t="str">
        <f>IF(G84="","",COUNTIF(Accounts!$M$2:$M$299,G84))</f>
        <v/>
      </c>
      <c r="J84" s="11" t="str">
        <f>IF(Service_Providers!C83="","",Service_Providers!C83)</f>
        <v/>
      </c>
      <c r="K84" s="11" t="str">
        <f>IF(Service_Providers!D83="","",Service_Providers!D83)</f>
        <v/>
      </c>
    </row>
    <row r="85" spans="7:11" x14ac:dyDescent="0.25">
      <c r="G85" s="11" t="str">
        <f>IF(Service_Providers!A84="","",Service_Providers!A84)</f>
        <v/>
      </c>
      <c r="H85" s="12" t="str">
        <f>IF(G85="","",COUNTIF(Accounts!$K$2:$K$299,G85))</f>
        <v/>
      </c>
      <c r="I85" s="12" t="str">
        <f>IF(G85="","",COUNTIF(Accounts!$M$2:$M$299,G85))</f>
        <v/>
      </c>
      <c r="J85" s="11" t="str">
        <f>IF(Service_Providers!C84="","",Service_Providers!C84)</f>
        <v/>
      </c>
      <c r="K85" s="11" t="str">
        <f>IF(Service_Providers!D84="","",Service_Providers!D84)</f>
        <v/>
      </c>
    </row>
    <row r="86" spans="7:11" x14ac:dyDescent="0.25">
      <c r="G86" s="11" t="str">
        <f>IF(Service_Providers!A85="","",Service_Providers!A85)</f>
        <v/>
      </c>
      <c r="H86" s="12" t="str">
        <f>IF(G86="","",COUNTIF(Accounts!$K$2:$K$299,G86))</f>
        <v/>
      </c>
      <c r="I86" s="12" t="str">
        <f>IF(G86="","",COUNTIF(Accounts!$M$2:$M$299,G86))</f>
        <v/>
      </c>
      <c r="J86" s="11" t="str">
        <f>IF(Service_Providers!C85="","",Service_Providers!C85)</f>
        <v/>
      </c>
      <c r="K86" s="11" t="str">
        <f>IF(Service_Providers!D85="","",Service_Providers!D85)</f>
        <v/>
      </c>
    </row>
    <row r="87" spans="7:11" x14ac:dyDescent="0.25">
      <c r="G87" s="11" t="str">
        <f>IF(Service_Providers!A86="","",Service_Providers!A86)</f>
        <v/>
      </c>
      <c r="H87" s="12" t="str">
        <f>IF(G87="","",COUNTIF(Accounts!$K$2:$K$299,G87))</f>
        <v/>
      </c>
      <c r="I87" s="12" t="str">
        <f>IF(G87="","",COUNTIF(Accounts!$M$2:$M$299,G87))</f>
        <v/>
      </c>
      <c r="J87" s="11" t="str">
        <f>IF(Service_Providers!C86="","",Service_Providers!C86)</f>
        <v/>
      </c>
      <c r="K87" s="11" t="str">
        <f>IF(Service_Providers!D86="","",Service_Providers!D86)</f>
        <v/>
      </c>
    </row>
    <row r="88" spans="7:11" x14ac:dyDescent="0.25">
      <c r="G88" s="11" t="str">
        <f>IF(Service_Providers!A87="","",Service_Providers!A87)</f>
        <v/>
      </c>
      <c r="H88" s="12" t="str">
        <f>IF(G88="","",COUNTIF(Accounts!$K$2:$K$299,G88))</f>
        <v/>
      </c>
      <c r="I88" s="12" t="str">
        <f>IF(G88="","",COUNTIF(Accounts!$M$2:$M$299,G88))</f>
        <v/>
      </c>
      <c r="J88" s="11" t="str">
        <f>IF(Service_Providers!C87="","",Service_Providers!C87)</f>
        <v/>
      </c>
      <c r="K88" s="11" t="str">
        <f>IF(Service_Providers!D87="","",Service_Providers!D87)</f>
        <v/>
      </c>
    </row>
    <row r="89" spans="7:11" x14ac:dyDescent="0.25">
      <c r="G89" s="11" t="str">
        <f>IF(Service_Providers!A88="","",Service_Providers!A88)</f>
        <v/>
      </c>
      <c r="H89" s="12" t="str">
        <f>IF(G89="","",COUNTIF(Accounts!$K$2:$K$299,G89))</f>
        <v/>
      </c>
      <c r="I89" s="12" t="str">
        <f>IF(G89="","",COUNTIF(Accounts!$M$2:$M$299,G89))</f>
        <v/>
      </c>
      <c r="J89" s="11" t="str">
        <f>IF(Service_Providers!C88="","",Service_Providers!C88)</f>
        <v/>
      </c>
      <c r="K89" s="11" t="str">
        <f>IF(Service_Providers!D88="","",Service_Providers!D88)</f>
        <v/>
      </c>
    </row>
    <row r="90" spans="7:11" x14ac:dyDescent="0.25">
      <c r="G90" s="11" t="str">
        <f>IF(Service_Providers!A89="","",Service_Providers!A89)</f>
        <v/>
      </c>
      <c r="H90" s="12" t="str">
        <f>IF(G90="","",COUNTIF(Accounts!$K$2:$K$299,G90))</f>
        <v/>
      </c>
      <c r="I90" s="12" t="str">
        <f>IF(G90="","",COUNTIF(Accounts!$M$2:$M$299,G90))</f>
        <v/>
      </c>
      <c r="J90" s="11" t="str">
        <f>IF(Service_Providers!C89="","",Service_Providers!C89)</f>
        <v/>
      </c>
      <c r="K90" s="11" t="str">
        <f>IF(Service_Providers!D89="","",Service_Providers!D89)</f>
        <v/>
      </c>
    </row>
    <row r="91" spans="7:11" x14ac:dyDescent="0.25">
      <c r="G91" s="11" t="str">
        <f>IF(Service_Providers!A90="","",Service_Providers!A90)</f>
        <v/>
      </c>
      <c r="H91" s="12" t="str">
        <f>IF(G91="","",COUNTIF(Accounts!$K$2:$K$299,G91))</f>
        <v/>
      </c>
      <c r="I91" s="12" t="str">
        <f>IF(G91="","",COUNTIF(Accounts!$M$2:$M$299,G91))</f>
        <v/>
      </c>
      <c r="J91" s="11" t="str">
        <f>IF(Service_Providers!C90="","",Service_Providers!C90)</f>
        <v/>
      </c>
      <c r="K91" s="11" t="str">
        <f>IF(Service_Providers!D90="","",Service_Providers!D90)</f>
        <v/>
      </c>
    </row>
    <row r="92" spans="7:11" x14ac:dyDescent="0.25">
      <c r="G92" s="11" t="str">
        <f>IF(Service_Providers!A91="","",Service_Providers!A91)</f>
        <v/>
      </c>
      <c r="H92" s="12" t="str">
        <f>IF(G92="","",COUNTIF(Accounts!$K$2:$K$299,G92))</f>
        <v/>
      </c>
      <c r="I92" s="12" t="str">
        <f>IF(G92="","",COUNTIF(Accounts!$M$2:$M$299,G92))</f>
        <v/>
      </c>
      <c r="J92" s="11" t="str">
        <f>IF(Service_Providers!C91="","",Service_Providers!C91)</f>
        <v/>
      </c>
      <c r="K92" s="11" t="str">
        <f>IF(Service_Providers!D91="","",Service_Providers!D91)</f>
        <v/>
      </c>
    </row>
    <row r="93" spans="7:11" x14ac:dyDescent="0.25">
      <c r="G93" s="11" t="str">
        <f>IF(Service_Providers!A92="","",Service_Providers!A92)</f>
        <v/>
      </c>
      <c r="H93" s="12" t="str">
        <f>IF(G93="","",COUNTIF(Accounts!$K$2:$K$299,G93))</f>
        <v/>
      </c>
      <c r="I93" s="12" t="str">
        <f>IF(G93="","",COUNTIF(Accounts!$M$2:$M$299,G93))</f>
        <v/>
      </c>
      <c r="J93" s="11" t="str">
        <f>IF(Service_Providers!C92="","",Service_Providers!C92)</f>
        <v/>
      </c>
      <c r="K93" s="11" t="str">
        <f>IF(Service_Providers!D92="","",Service_Providers!D92)</f>
        <v/>
      </c>
    </row>
    <row r="94" spans="7:11" x14ac:dyDescent="0.25">
      <c r="G94" s="11" t="str">
        <f>IF(Service_Providers!A93="","",Service_Providers!A93)</f>
        <v/>
      </c>
      <c r="H94" s="12" t="str">
        <f>IF(G94="","",COUNTIF(Accounts!$K$2:$K$299,G94))</f>
        <v/>
      </c>
      <c r="I94" s="12" t="str">
        <f>IF(G94="","",COUNTIF(Accounts!$M$2:$M$299,G94))</f>
        <v/>
      </c>
      <c r="J94" s="11" t="str">
        <f>IF(Service_Providers!C93="","",Service_Providers!C93)</f>
        <v/>
      </c>
      <c r="K94" s="11" t="str">
        <f>IF(Service_Providers!D93="","",Service_Providers!D93)</f>
        <v/>
      </c>
    </row>
    <row r="95" spans="7:11" x14ac:dyDescent="0.25">
      <c r="G95" s="11" t="str">
        <f>IF(Service_Providers!A94="","",Service_Providers!A94)</f>
        <v/>
      </c>
      <c r="H95" s="12" t="str">
        <f>IF(G95="","",COUNTIF(Accounts!$K$2:$K$299,G95))</f>
        <v/>
      </c>
      <c r="I95" s="12" t="str">
        <f>IF(G95="","",COUNTIF(Accounts!$M$2:$M$299,G95))</f>
        <v/>
      </c>
      <c r="J95" s="11" t="str">
        <f>IF(Service_Providers!C94="","",Service_Providers!C94)</f>
        <v/>
      </c>
      <c r="K95" s="11" t="str">
        <f>IF(Service_Providers!D94="","",Service_Providers!D94)</f>
        <v/>
      </c>
    </row>
    <row r="96" spans="7:11" x14ac:dyDescent="0.25">
      <c r="G96" s="11" t="str">
        <f>IF(Service_Providers!A95="","",Service_Providers!A95)</f>
        <v/>
      </c>
      <c r="H96" s="12" t="str">
        <f>IF(G96="","",COUNTIF(Accounts!$K$2:$K$299,G96))</f>
        <v/>
      </c>
      <c r="I96" s="12" t="str">
        <f>IF(G96="","",COUNTIF(Accounts!$M$2:$M$299,G96))</f>
        <v/>
      </c>
      <c r="J96" s="11" t="str">
        <f>IF(Service_Providers!C95="","",Service_Providers!C95)</f>
        <v/>
      </c>
      <c r="K96" s="11" t="str">
        <f>IF(Service_Providers!D95="","",Service_Providers!D95)</f>
        <v/>
      </c>
    </row>
    <row r="97" spans="7:11" x14ac:dyDescent="0.25">
      <c r="G97" s="11" t="str">
        <f>IF(Service_Providers!A96="","",Service_Providers!A96)</f>
        <v/>
      </c>
      <c r="H97" s="12" t="str">
        <f>IF(G97="","",COUNTIF(Accounts!$K$2:$K$299,G97))</f>
        <v/>
      </c>
      <c r="I97" s="12" t="str">
        <f>IF(G97="","",COUNTIF(Accounts!$M$2:$M$299,G97))</f>
        <v/>
      </c>
      <c r="J97" s="11" t="str">
        <f>IF(Service_Providers!C96="","",Service_Providers!C96)</f>
        <v/>
      </c>
      <c r="K97" s="11" t="str">
        <f>IF(Service_Providers!D96="","",Service_Providers!D96)</f>
        <v/>
      </c>
    </row>
    <row r="98" spans="7:11" x14ac:dyDescent="0.25">
      <c r="G98" s="11" t="str">
        <f>IF(Service_Providers!A97="","",Service_Providers!A97)</f>
        <v/>
      </c>
      <c r="H98" s="12" t="str">
        <f>IF(G98="","",COUNTIF(Accounts!$K$2:$K$299,G98))</f>
        <v/>
      </c>
      <c r="I98" s="12" t="str">
        <f>IF(G98="","",COUNTIF(Accounts!$M$2:$M$299,G98))</f>
        <v/>
      </c>
      <c r="J98" s="11" t="str">
        <f>IF(Service_Providers!C97="","",Service_Providers!C97)</f>
        <v/>
      </c>
      <c r="K98" s="11" t="str">
        <f>IF(Service_Providers!D97="","",Service_Providers!D97)</f>
        <v/>
      </c>
    </row>
    <row r="99" spans="7:11" x14ac:dyDescent="0.25">
      <c r="G99" s="11" t="str">
        <f>IF(Service_Providers!A98="","",Service_Providers!A98)</f>
        <v/>
      </c>
      <c r="H99" s="12" t="str">
        <f>IF(G99="","",COUNTIF(Accounts!$K$2:$K$299,G99))</f>
        <v/>
      </c>
      <c r="I99" s="12" t="str">
        <f>IF(G99="","",COUNTIF(Accounts!$M$2:$M$299,G99))</f>
        <v/>
      </c>
      <c r="J99" s="11" t="str">
        <f>IF(Service_Providers!C98="","",Service_Providers!C98)</f>
        <v/>
      </c>
      <c r="K99" s="11" t="str">
        <f>IF(Service_Providers!D98="","",Service_Providers!D98)</f>
        <v/>
      </c>
    </row>
    <row r="100" spans="7:11" x14ac:dyDescent="0.25">
      <c r="G100" s="11" t="str">
        <f>IF(Service_Providers!A99="","",Service_Providers!A99)</f>
        <v/>
      </c>
      <c r="H100" s="12" t="str">
        <f>IF(G100="","",COUNTIF(Accounts!$K$2:$K$299,G100))</f>
        <v/>
      </c>
      <c r="I100" s="12" t="str">
        <f>IF(G100="","",COUNTIF(Accounts!$M$2:$M$299,G100))</f>
        <v/>
      </c>
      <c r="J100" s="11" t="str">
        <f>IF(Service_Providers!C99="","",Service_Providers!C99)</f>
        <v/>
      </c>
      <c r="K100" s="11" t="str">
        <f>IF(Service_Providers!D99="","",Service_Providers!D99)</f>
        <v/>
      </c>
    </row>
    <row r="101" spans="7:11" x14ac:dyDescent="0.25">
      <c r="G101" s="11" t="str">
        <f>IF(Service_Providers!A100="","",Service_Providers!A100)</f>
        <v/>
      </c>
      <c r="H101" s="12" t="str">
        <f>IF(G101="","",COUNTIF(Accounts!$K$2:$K$299,G101))</f>
        <v/>
      </c>
      <c r="I101" s="12" t="str">
        <f>IF(G101="","",COUNTIF(Accounts!$M$2:$M$299,G101))</f>
        <v/>
      </c>
      <c r="J101" s="11" t="str">
        <f>IF(Service_Providers!C100="","",Service_Providers!C100)</f>
        <v/>
      </c>
      <c r="K101" s="11" t="str">
        <f>IF(Service_Providers!D100="","",Service_Providers!D100)</f>
        <v/>
      </c>
    </row>
    <row r="102" spans="7:11" x14ac:dyDescent="0.25">
      <c r="G102" s="11" t="str">
        <f>IF(Service_Providers!A101="","",Service_Providers!A101)</f>
        <v/>
      </c>
      <c r="H102" s="12" t="str">
        <f>IF(G102="","",COUNTIF(Accounts!$K$2:$K$299,G102))</f>
        <v/>
      </c>
      <c r="I102" s="12" t="str">
        <f>IF(G102="","",COUNTIF(Accounts!$M$2:$M$299,G102))</f>
        <v/>
      </c>
      <c r="J102" s="11" t="str">
        <f>IF(Service_Providers!C101="","",Service_Providers!C101)</f>
        <v/>
      </c>
      <c r="K102" s="11" t="str">
        <f>IF(Service_Providers!D101="","",Service_Providers!D101)</f>
        <v/>
      </c>
    </row>
    <row r="103" spans="7:11" x14ac:dyDescent="0.25">
      <c r="G103" s="11" t="str">
        <f>IF(Service_Providers!A102="","",Service_Providers!A102)</f>
        <v/>
      </c>
      <c r="H103" s="12" t="str">
        <f>IF(G103="","",COUNTIF(Accounts!$K$2:$K$299,G103))</f>
        <v/>
      </c>
      <c r="I103" s="12" t="str">
        <f>IF(G103="","",COUNTIF(Accounts!$M$2:$M$299,G103))</f>
        <v/>
      </c>
      <c r="J103" s="11" t="str">
        <f>IF(Service_Providers!C102="","",Service_Providers!C102)</f>
        <v/>
      </c>
      <c r="K103" s="11" t="str">
        <f>IF(Service_Providers!D102="","",Service_Providers!D102)</f>
        <v/>
      </c>
    </row>
    <row r="104" spans="7:11" x14ac:dyDescent="0.25">
      <c r="G104" s="11" t="str">
        <f>IF(Service_Providers!A103="","",Service_Providers!A103)</f>
        <v/>
      </c>
      <c r="H104" s="12" t="str">
        <f>IF(G104="","",COUNTIF(Accounts!$K$2:$K$299,G104))</f>
        <v/>
      </c>
      <c r="I104" s="12" t="str">
        <f>IF(G104="","",COUNTIF(Accounts!$M$2:$M$299,G104))</f>
        <v/>
      </c>
      <c r="J104" s="11" t="str">
        <f>IF(Service_Providers!C103="","",Service_Providers!C103)</f>
        <v/>
      </c>
      <c r="K104" s="11" t="str">
        <f>IF(Service_Providers!D103="","",Service_Providers!D103)</f>
        <v/>
      </c>
    </row>
    <row r="105" spans="7:11" x14ac:dyDescent="0.25">
      <c r="G105" s="11" t="str">
        <f>IF(Service_Providers!A104="","",Service_Providers!A104)</f>
        <v/>
      </c>
      <c r="H105" s="12" t="str">
        <f>IF(G105="","",COUNTIF(Accounts!$K$2:$K$299,G105))</f>
        <v/>
      </c>
      <c r="I105" s="12" t="str">
        <f>IF(G105="","",COUNTIF(Accounts!$M$2:$M$299,G105))</f>
        <v/>
      </c>
      <c r="J105" s="11" t="str">
        <f>IF(Service_Providers!C104="","",Service_Providers!C104)</f>
        <v/>
      </c>
      <c r="K105" s="11" t="str">
        <f>IF(Service_Providers!D104="","",Service_Providers!D104)</f>
        <v/>
      </c>
    </row>
    <row r="106" spans="7:11" x14ac:dyDescent="0.25">
      <c r="G106" s="13" t="s">
        <v>38</v>
      </c>
      <c r="H106" s="9">
        <f>SUM(H6:H105)</f>
        <v>72</v>
      </c>
      <c r="I106" s="9">
        <f>SUM(I6:I105)</f>
        <v>9</v>
      </c>
      <c r="J106" s="14"/>
      <c r="K106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2E75B6"/>
  </sheetPr>
  <dimension ref="A1:Q42"/>
  <sheetViews>
    <sheetView topLeftCell="C1" zoomScaleNormal="100" workbookViewId="0">
      <pane ySplit="1" topLeftCell="A2" activePane="bottomLeft" state="frozen"/>
      <selection pane="bottomLeft" activeCell="E19" sqref="E19"/>
    </sheetView>
  </sheetViews>
  <sheetFormatPr defaultColWidth="8.7109375" defaultRowHeight="15" x14ac:dyDescent="0.25"/>
  <cols>
    <col min="1" max="1" width="32" customWidth="1"/>
    <col min="2" max="2" width="12" customWidth="1"/>
    <col min="3" max="3" width="20" customWidth="1"/>
    <col min="4" max="4" width="35" customWidth="1"/>
    <col min="5" max="5" width="20" customWidth="1"/>
    <col min="6" max="6" width="27.85546875" bestFit="1" customWidth="1"/>
    <col min="7" max="7" width="30" customWidth="1"/>
    <col min="8" max="9" width="28" customWidth="1"/>
    <col min="10" max="10" width="30" customWidth="1"/>
    <col min="11" max="11" width="38" customWidth="1"/>
    <col min="12" max="12" width="34" customWidth="1"/>
    <col min="13" max="13" width="44" customWidth="1"/>
    <col min="14" max="14" width="28" customWidth="1"/>
    <col min="15" max="15" width="34" customWidth="1"/>
    <col min="16" max="16" width="46" customWidth="1"/>
    <col min="17" max="17" width="12" customWidth="1"/>
  </cols>
  <sheetData>
    <row r="1" spans="1:17" ht="25.5" x14ac:dyDescent="0.2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</row>
    <row r="2" spans="1:17" ht="25.5" x14ac:dyDescent="0.25">
      <c r="A2" s="15" t="s">
        <v>56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 t="s">
        <v>35</v>
      </c>
      <c r="M2" s="15" t="s">
        <v>57</v>
      </c>
      <c r="N2" s="15"/>
      <c r="O2" s="15"/>
      <c r="P2" s="15"/>
      <c r="Q2" s="15" t="s">
        <v>58</v>
      </c>
    </row>
    <row r="3" spans="1:17" ht="38.25" x14ac:dyDescent="0.25">
      <c r="A3" s="15" t="s">
        <v>59</v>
      </c>
      <c r="B3" s="15"/>
      <c r="C3" s="15" t="s">
        <v>60</v>
      </c>
      <c r="D3" s="15" t="s">
        <v>61</v>
      </c>
      <c r="E3" s="15"/>
      <c r="F3" s="15"/>
      <c r="G3" s="15"/>
      <c r="H3" s="15"/>
      <c r="I3" s="15"/>
      <c r="J3" s="15"/>
      <c r="K3" s="15"/>
      <c r="L3" s="15" t="s">
        <v>16</v>
      </c>
      <c r="M3" s="15" t="s">
        <v>62</v>
      </c>
      <c r="N3" s="15"/>
      <c r="O3" s="15"/>
      <c r="P3" s="15"/>
      <c r="Q3" s="15" t="s">
        <v>58</v>
      </c>
    </row>
    <row r="4" spans="1:17" ht="25.5" x14ac:dyDescent="0.25">
      <c r="A4" s="15" t="s">
        <v>63</v>
      </c>
      <c r="B4" s="15"/>
      <c r="C4" s="15" t="s">
        <v>64</v>
      </c>
      <c r="D4" s="15"/>
      <c r="E4" s="15"/>
      <c r="F4" s="15"/>
      <c r="G4" s="15"/>
      <c r="H4" s="15"/>
      <c r="I4" s="15"/>
      <c r="J4" s="15"/>
      <c r="K4" s="15"/>
      <c r="L4" s="15" t="s">
        <v>26</v>
      </c>
      <c r="M4" s="15" t="s">
        <v>65</v>
      </c>
      <c r="N4" s="15"/>
      <c r="O4" s="15"/>
      <c r="P4" s="15"/>
      <c r="Q4" s="15" t="s">
        <v>58</v>
      </c>
    </row>
    <row r="5" spans="1:17" ht="38.25" x14ac:dyDescent="0.25">
      <c r="A5" s="15" t="s">
        <v>66</v>
      </c>
      <c r="B5" s="15" t="s">
        <v>96</v>
      </c>
      <c r="C5" s="15" t="s">
        <v>849</v>
      </c>
      <c r="D5" s="15" t="s">
        <v>67</v>
      </c>
      <c r="E5" s="15" t="s">
        <v>850</v>
      </c>
      <c r="F5" s="19" t="s">
        <v>851</v>
      </c>
      <c r="G5" s="15"/>
      <c r="H5" s="15" t="s">
        <v>859</v>
      </c>
      <c r="I5" s="15" t="s">
        <v>860</v>
      </c>
      <c r="J5" s="15"/>
      <c r="K5" s="15"/>
      <c r="L5" s="15" t="s">
        <v>19</v>
      </c>
      <c r="M5" s="15" t="s">
        <v>68</v>
      </c>
      <c r="N5" s="15"/>
      <c r="O5" s="15"/>
      <c r="P5" s="15"/>
      <c r="Q5" s="15" t="s">
        <v>58</v>
      </c>
    </row>
    <row r="6" spans="1:17" ht="38.25" x14ac:dyDescent="0.25">
      <c r="A6" s="15" t="s">
        <v>69</v>
      </c>
      <c r="B6" s="15" t="s">
        <v>96</v>
      </c>
      <c r="C6" s="15" t="s">
        <v>70</v>
      </c>
      <c r="D6" s="19" t="s">
        <v>848</v>
      </c>
      <c r="E6" s="15" t="s">
        <v>71</v>
      </c>
      <c r="F6" s="15"/>
      <c r="G6" s="15"/>
      <c r="H6" s="15" t="s">
        <v>861</v>
      </c>
      <c r="I6" s="15"/>
      <c r="J6" s="15"/>
      <c r="K6" s="15"/>
      <c r="L6" s="15" t="s">
        <v>16</v>
      </c>
      <c r="M6" s="15" t="s">
        <v>72</v>
      </c>
      <c r="N6" s="15"/>
      <c r="O6" s="15"/>
      <c r="P6" s="15"/>
      <c r="Q6" s="15" t="s">
        <v>58</v>
      </c>
    </row>
    <row r="7" spans="1:17" ht="165.75" x14ac:dyDescent="0.25">
      <c r="A7" s="15" t="s">
        <v>73</v>
      </c>
      <c r="B7" s="15" t="s">
        <v>96</v>
      </c>
      <c r="C7" s="15" t="s">
        <v>845</v>
      </c>
      <c r="D7" s="19" t="s">
        <v>75</v>
      </c>
      <c r="E7" s="15" t="s">
        <v>846</v>
      </c>
      <c r="F7" s="19" t="s">
        <v>74</v>
      </c>
      <c r="G7" s="15"/>
      <c r="H7" s="15"/>
      <c r="I7" s="15"/>
      <c r="J7" s="15"/>
      <c r="K7" s="15"/>
      <c r="L7" s="15" t="s">
        <v>76</v>
      </c>
      <c r="M7" s="15" t="s">
        <v>847</v>
      </c>
      <c r="N7" s="15"/>
      <c r="O7" s="15"/>
      <c r="P7" s="15"/>
      <c r="Q7" s="15" t="s">
        <v>58</v>
      </c>
    </row>
    <row r="8" spans="1:17" ht="63.75" x14ac:dyDescent="0.25">
      <c r="A8" s="15" t="s">
        <v>77</v>
      </c>
      <c r="B8" s="15"/>
      <c r="C8" s="15" t="s">
        <v>78</v>
      </c>
      <c r="D8" s="15"/>
      <c r="E8" s="15"/>
      <c r="F8" s="15"/>
      <c r="G8" s="15"/>
      <c r="H8" s="15"/>
      <c r="I8" s="15"/>
      <c r="J8" s="15"/>
      <c r="K8" s="15"/>
      <c r="L8" s="15" t="s">
        <v>35</v>
      </c>
      <c r="M8" s="15" t="s">
        <v>79</v>
      </c>
      <c r="N8" s="15"/>
      <c r="O8" s="15"/>
      <c r="P8" s="15" t="s">
        <v>80</v>
      </c>
      <c r="Q8" s="15" t="s">
        <v>58</v>
      </c>
    </row>
    <row r="9" spans="1:17" ht="63.75" x14ac:dyDescent="0.25">
      <c r="A9" s="15" t="s">
        <v>81</v>
      </c>
      <c r="B9" s="15" t="s">
        <v>96</v>
      </c>
      <c r="C9" s="15" t="s">
        <v>82</v>
      </c>
      <c r="D9" s="15" t="s">
        <v>83</v>
      </c>
      <c r="E9" s="15"/>
      <c r="F9" s="15"/>
      <c r="G9" s="15"/>
      <c r="H9" s="15"/>
      <c r="I9" s="15"/>
      <c r="J9" s="15"/>
      <c r="K9" s="15"/>
      <c r="L9" s="15" t="s">
        <v>18</v>
      </c>
      <c r="M9" s="15" t="s">
        <v>84</v>
      </c>
      <c r="N9" s="15"/>
      <c r="O9" s="15"/>
      <c r="P9" s="15"/>
      <c r="Q9" s="15" t="s">
        <v>58</v>
      </c>
    </row>
    <row r="10" spans="1:17" ht="89.25" x14ac:dyDescent="0.25">
      <c r="A10" s="15" t="s">
        <v>85</v>
      </c>
      <c r="B10" s="15" t="s">
        <v>96</v>
      </c>
      <c r="C10" s="15" t="s">
        <v>86</v>
      </c>
      <c r="D10" s="15" t="s">
        <v>87</v>
      </c>
      <c r="E10" s="15"/>
      <c r="F10" s="15"/>
      <c r="G10" s="15"/>
      <c r="H10" s="15"/>
      <c r="I10" s="15"/>
      <c r="J10" s="15"/>
      <c r="K10" s="15"/>
      <c r="L10" s="15" t="s">
        <v>88</v>
      </c>
      <c r="M10" s="15" t="s">
        <v>89</v>
      </c>
      <c r="N10" s="15"/>
      <c r="O10" s="15"/>
      <c r="P10" s="15"/>
      <c r="Q10" s="15" t="s">
        <v>58</v>
      </c>
    </row>
    <row r="11" spans="1:17" ht="140.25" x14ac:dyDescent="0.25">
      <c r="A11" s="15" t="s">
        <v>90</v>
      </c>
      <c r="B11" s="15"/>
      <c r="C11" s="15" t="s">
        <v>91</v>
      </c>
      <c r="D11" s="15"/>
      <c r="E11" s="15" t="s">
        <v>92</v>
      </c>
      <c r="F11" s="15"/>
      <c r="G11" s="15"/>
      <c r="H11" s="15"/>
      <c r="I11" s="15"/>
      <c r="J11" s="15"/>
      <c r="K11" s="15"/>
      <c r="L11" s="15" t="s">
        <v>93</v>
      </c>
      <c r="M11" s="15" t="s">
        <v>94</v>
      </c>
      <c r="N11" s="15"/>
      <c r="O11" s="15"/>
      <c r="P11" s="15"/>
      <c r="Q11" s="15" t="s">
        <v>58</v>
      </c>
    </row>
    <row r="12" spans="1:17" ht="89.25" x14ac:dyDescent="0.25">
      <c r="A12" s="15" t="s">
        <v>95</v>
      </c>
      <c r="B12" s="15" t="s">
        <v>96</v>
      </c>
      <c r="C12" s="15" t="s">
        <v>97</v>
      </c>
      <c r="D12" s="15" t="s">
        <v>98</v>
      </c>
      <c r="E12" s="15"/>
      <c r="F12" s="15" t="s">
        <v>99</v>
      </c>
      <c r="G12" s="15" t="s">
        <v>100</v>
      </c>
      <c r="H12" s="15" t="s">
        <v>101</v>
      </c>
      <c r="I12" s="15" t="s">
        <v>102</v>
      </c>
      <c r="J12" s="15" t="s">
        <v>103</v>
      </c>
      <c r="K12" s="15" t="s">
        <v>104</v>
      </c>
      <c r="L12" s="15" t="s">
        <v>105</v>
      </c>
      <c r="M12" s="15" t="s">
        <v>106</v>
      </c>
      <c r="N12" s="15" t="s">
        <v>107</v>
      </c>
      <c r="O12" s="15" t="s">
        <v>108</v>
      </c>
      <c r="P12" s="15" t="s">
        <v>109</v>
      </c>
      <c r="Q12" s="15" t="s">
        <v>110</v>
      </c>
    </row>
    <row r="13" spans="1:17" ht="89.25" x14ac:dyDescent="0.25">
      <c r="A13" s="15" t="s">
        <v>111</v>
      </c>
      <c r="B13" s="15" t="s">
        <v>96</v>
      </c>
      <c r="C13" s="15" t="s">
        <v>112</v>
      </c>
      <c r="D13" s="15" t="s">
        <v>113</v>
      </c>
      <c r="E13" s="15"/>
      <c r="F13" s="15" t="s">
        <v>114</v>
      </c>
      <c r="G13" s="15"/>
      <c r="H13" s="15"/>
      <c r="I13" s="15"/>
      <c r="J13" s="15"/>
      <c r="K13" s="15"/>
      <c r="L13" s="15" t="s">
        <v>115</v>
      </c>
      <c r="M13" s="15" t="s">
        <v>116</v>
      </c>
      <c r="N13" s="15"/>
      <c r="O13" s="15"/>
      <c r="P13" s="15"/>
      <c r="Q13" s="15" t="s">
        <v>58</v>
      </c>
    </row>
    <row r="14" spans="1:17" x14ac:dyDescent="0.25">
      <c r="A14" s="15" t="s">
        <v>117</v>
      </c>
      <c r="B14" s="15"/>
      <c r="C14" s="15" t="s">
        <v>118</v>
      </c>
      <c r="D14" s="15"/>
      <c r="E14" s="15"/>
      <c r="F14" s="15"/>
      <c r="G14" s="15"/>
      <c r="H14" s="15"/>
      <c r="I14" s="15"/>
      <c r="J14" s="15"/>
      <c r="K14" s="15"/>
      <c r="L14" s="15" t="s">
        <v>35</v>
      </c>
      <c r="M14" s="15" t="s">
        <v>119</v>
      </c>
      <c r="N14" s="15"/>
      <c r="O14" s="15"/>
      <c r="P14" s="15"/>
      <c r="Q14" s="15" t="s">
        <v>58</v>
      </c>
    </row>
    <row r="15" spans="1:17" x14ac:dyDescent="0.25">
      <c r="A15" s="15" t="s">
        <v>120</v>
      </c>
      <c r="B15" s="15"/>
      <c r="C15" s="15" t="s">
        <v>121</v>
      </c>
      <c r="D15" s="15"/>
      <c r="E15" s="15"/>
      <c r="F15" s="15"/>
      <c r="G15" s="15"/>
      <c r="H15" s="15"/>
      <c r="I15" s="15"/>
      <c r="J15" s="15"/>
      <c r="K15" s="15"/>
      <c r="L15" s="15" t="s">
        <v>16</v>
      </c>
      <c r="M15" s="15" t="s">
        <v>122</v>
      </c>
      <c r="N15" s="15"/>
      <c r="O15" s="15"/>
      <c r="P15" s="15"/>
      <c r="Q15" s="15" t="s">
        <v>58</v>
      </c>
    </row>
    <row r="16" spans="1:17" ht="38.25" x14ac:dyDescent="0.25">
      <c r="A16" s="15" t="s">
        <v>123</v>
      </c>
      <c r="B16" s="15" t="s">
        <v>96</v>
      </c>
      <c r="C16" s="15" t="s">
        <v>124</v>
      </c>
      <c r="D16" s="15" t="s">
        <v>125</v>
      </c>
      <c r="E16" s="15"/>
      <c r="F16" s="15"/>
      <c r="G16" s="15"/>
      <c r="H16" s="15"/>
      <c r="I16" s="15"/>
      <c r="J16" s="15"/>
      <c r="K16" s="15"/>
      <c r="L16" s="15" t="s">
        <v>22</v>
      </c>
      <c r="M16" s="15" t="s">
        <v>126</v>
      </c>
      <c r="N16" s="15"/>
      <c r="O16" s="15"/>
      <c r="P16" s="15" t="s">
        <v>871</v>
      </c>
      <c r="Q16" s="15" t="s">
        <v>58</v>
      </c>
    </row>
    <row r="17" spans="1:17" ht="89.25" x14ac:dyDescent="0.25">
      <c r="A17" s="15" t="s">
        <v>127</v>
      </c>
      <c r="B17" s="15" t="s">
        <v>96</v>
      </c>
      <c r="C17" s="15" t="s">
        <v>128</v>
      </c>
      <c r="D17" s="15" t="s">
        <v>129</v>
      </c>
      <c r="E17" s="15"/>
      <c r="F17" s="19" t="s">
        <v>856</v>
      </c>
      <c r="G17" s="15" t="s">
        <v>857</v>
      </c>
      <c r="H17" s="15" t="s">
        <v>858</v>
      </c>
      <c r="I17" s="15" t="s">
        <v>872</v>
      </c>
      <c r="J17" s="15" t="s">
        <v>870</v>
      </c>
      <c r="K17" s="15" t="s">
        <v>865</v>
      </c>
      <c r="L17" s="15" t="s">
        <v>866</v>
      </c>
      <c r="M17" s="15" t="s">
        <v>867</v>
      </c>
      <c r="N17" s="15" t="s">
        <v>869</v>
      </c>
      <c r="O17" s="15" t="s">
        <v>868</v>
      </c>
      <c r="P17" s="15" t="s">
        <v>866</v>
      </c>
      <c r="Q17" s="15" t="s">
        <v>58</v>
      </c>
    </row>
    <row r="18" spans="1:17" ht="216.75" x14ac:dyDescent="0.25">
      <c r="A18" s="15" t="s">
        <v>130</v>
      </c>
      <c r="B18" s="15" t="s">
        <v>96</v>
      </c>
      <c r="C18" s="15" t="s">
        <v>131</v>
      </c>
      <c r="D18" s="15" t="s">
        <v>132</v>
      </c>
      <c r="E18" s="15"/>
      <c r="F18" s="15" t="s">
        <v>133</v>
      </c>
      <c r="G18" s="15" t="s">
        <v>134</v>
      </c>
      <c r="H18" s="15" t="s">
        <v>862</v>
      </c>
      <c r="I18" s="15" t="s">
        <v>135</v>
      </c>
      <c r="J18" s="15" t="s">
        <v>136</v>
      </c>
      <c r="K18" s="15" t="s">
        <v>137</v>
      </c>
      <c r="L18" s="15" t="s">
        <v>138</v>
      </c>
      <c r="M18" s="15" t="s">
        <v>139</v>
      </c>
      <c r="N18" s="15" t="s">
        <v>140</v>
      </c>
      <c r="O18" s="15" t="s">
        <v>141</v>
      </c>
      <c r="P18" s="15" t="s">
        <v>142</v>
      </c>
      <c r="Q18" s="15" t="s">
        <v>58</v>
      </c>
    </row>
    <row r="19" spans="1:17" ht="121.5" customHeight="1" x14ac:dyDescent="0.25">
      <c r="A19" s="15" t="s">
        <v>893</v>
      </c>
      <c r="B19" s="15" t="s">
        <v>96</v>
      </c>
      <c r="C19" s="15" t="s">
        <v>894</v>
      </c>
      <c r="D19" s="21" t="s">
        <v>902</v>
      </c>
      <c r="E19" s="15" t="s">
        <v>895</v>
      </c>
      <c r="F19" s="19" t="s">
        <v>896</v>
      </c>
      <c r="G19" s="15"/>
      <c r="H19" s="15" t="s">
        <v>897</v>
      </c>
      <c r="I19" s="15"/>
      <c r="J19" s="15"/>
      <c r="K19" s="15" t="s">
        <v>898</v>
      </c>
      <c r="L19" s="15" t="s">
        <v>899</v>
      </c>
      <c r="M19" s="15" t="s">
        <v>900</v>
      </c>
      <c r="N19" s="15"/>
      <c r="O19" s="15"/>
      <c r="P19" s="15" t="s">
        <v>901</v>
      </c>
      <c r="Q19" s="15"/>
    </row>
    <row r="20" spans="1:17" ht="102" x14ac:dyDescent="0.25">
      <c r="A20" s="15" t="s">
        <v>143</v>
      </c>
      <c r="B20" s="15" t="s">
        <v>885</v>
      </c>
      <c r="C20" s="15" t="s">
        <v>144</v>
      </c>
      <c r="D20" s="15" t="s">
        <v>145</v>
      </c>
      <c r="E20" s="15" t="s">
        <v>146</v>
      </c>
      <c r="F20" s="15"/>
      <c r="G20" s="15"/>
      <c r="H20" s="15"/>
      <c r="I20" s="15"/>
      <c r="J20" s="15"/>
      <c r="K20" s="15"/>
      <c r="L20" s="15" t="s">
        <v>20</v>
      </c>
      <c r="M20" s="15" t="s">
        <v>147</v>
      </c>
      <c r="N20" s="15"/>
      <c r="O20" s="15"/>
      <c r="P20" s="15"/>
      <c r="Q20" s="15" t="s">
        <v>58</v>
      </c>
    </row>
    <row r="21" spans="1:17" ht="63.75" x14ac:dyDescent="0.25">
      <c r="A21" s="15" t="s">
        <v>148</v>
      </c>
      <c r="B21" s="15" t="s">
        <v>886</v>
      </c>
      <c r="C21" s="15" t="s">
        <v>149</v>
      </c>
      <c r="D21" s="15" t="s">
        <v>150</v>
      </c>
      <c r="E21" s="15"/>
      <c r="F21" s="15"/>
      <c r="G21" s="15"/>
      <c r="H21" s="15"/>
      <c r="I21" s="15"/>
      <c r="J21" s="15"/>
      <c r="K21" s="15"/>
      <c r="L21" s="15" t="s">
        <v>29</v>
      </c>
      <c r="M21" s="15" t="s">
        <v>151</v>
      </c>
      <c r="N21" s="15"/>
      <c r="O21" s="15"/>
      <c r="P21" s="15"/>
      <c r="Q21" s="15" t="s">
        <v>58</v>
      </c>
    </row>
    <row r="22" spans="1:17" ht="102" x14ac:dyDescent="0.25">
      <c r="A22" s="15" t="s">
        <v>873</v>
      </c>
      <c r="B22" s="15" t="s">
        <v>96</v>
      </c>
      <c r="C22" s="15" t="s">
        <v>874</v>
      </c>
      <c r="D22" s="19" t="s">
        <v>875</v>
      </c>
      <c r="E22" s="15" t="s">
        <v>874</v>
      </c>
      <c r="F22" s="19" t="s">
        <v>875</v>
      </c>
      <c r="G22" s="15" t="s">
        <v>876</v>
      </c>
      <c r="H22" s="15" t="s">
        <v>877</v>
      </c>
      <c r="I22" s="15" t="s">
        <v>878</v>
      </c>
      <c r="J22" s="15" t="s">
        <v>879</v>
      </c>
      <c r="K22" s="15" t="s">
        <v>880</v>
      </c>
      <c r="L22" s="15" t="s">
        <v>33</v>
      </c>
      <c r="M22" s="15" t="s">
        <v>883</v>
      </c>
      <c r="N22" s="15" t="s">
        <v>881</v>
      </c>
      <c r="O22" s="15" t="s">
        <v>882</v>
      </c>
      <c r="P22" s="15" t="s">
        <v>884</v>
      </c>
      <c r="Q22" s="15" t="s">
        <v>58</v>
      </c>
    </row>
    <row r="23" spans="1:17" ht="38.25" x14ac:dyDescent="0.25">
      <c r="A23" s="15" t="s">
        <v>152</v>
      </c>
      <c r="B23" s="15"/>
      <c r="C23" s="15" t="s">
        <v>153</v>
      </c>
      <c r="D23" s="15" t="s">
        <v>154</v>
      </c>
      <c r="E23" s="15"/>
      <c r="F23" s="15"/>
      <c r="G23" s="15"/>
      <c r="H23" s="15"/>
      <c r="I23" s="15"/>
      <c r="J23" s="15"/>
      <c r="K23" s="15"/>
      <c r="L23" s="15" t="s">
        <v>23</v>
      </c>
      <c r="M23" s="15" t="s">
        <v>155</v>
      </c>
      <c r="N23" s="15"/>
      <c r="O23" s="15"/>
      <c r="P23" s="15"/>
      <c r="Q23" s="15" t="s">
        <v>58</v>
      </c>
    </row>
    <row r="24" spans="1:17" ht="38.25" x14ac:dyDescent="0.25">
      <c r="A24" s="15" t="s">
        <v>156</v>
      </c>
      <c r="B24" s="15"/>
      <c r="C24" s="15" t="s">
        <v>157</v>
      </c>
      <c r="D24" s="15" t="s">
        <v>158</v>
      </c>
      <c r="E24" s="15"/>
      <c r="F24" s="15"/>
      <c r="G24" s="15"/>
      <c r="H24" s="15"/>
      <c r="I24" s="15"/>
      <c r="J24" s="15"/>
      <c r="K24" s="15"/>
      <c r="L24" s="15" t="s">
        <v>19</v>
      </c>
      <c r="M24" s="15" t="s">
        <v>159</v>
      </c>
      <c r="N24" s="15"/>
      <c r="O24" s="15"/>
      <c r="P24" s="15"/>
      <c r="Q24" s="15" t="s">
        <v>58</v>
      </c>
    </row>
    <row r="25" spans="1:17" ht="51" x14ac:dyDescent="0.25">
      <c r="A25" s="15" t="s">
        <v>160</v>
      </c>
      <c r="B25" s="15" t="s">
        <v>96</v>
      </c>
      <c r="C25" s="15" t="s">
        <v>161</v>
      </c>
      <c r="D25" s="15" t="s">
        <v>162</v>
      </c>
      <c r="E25" s="15"/>
      <c r="F25" s="15"/>
      <c r="G25" s="15"/>
      <c r="H25" s="15"/>
      <c r="I25" s="15"/>
      <c r="J25" s="15"/>
      <c r="K25" s="15"/>
      <c r="L25" s="15" t="s">
        <v>36</v>
      </c>
      <c r="M25" s="15" t="s">
        <v>163</v>
      </c>
      <c r="N25" s="15"/>
      <c r="O25" s="15"/>
      <c r="P25" s="15"/>
      <c r="Q25" s="15" t="s">
        <v>58</v>
      </c>
    </row>
    <row r="26" spans="1:17" x14ac:dyDescent="0.25">
      <c r="A26" s="15" t="s">
        <v>852</v>
      </c>
      <c r="B26" s="15" t="s">
        <v>96</v>
      </c>
      <c r="C26" s="15" t="s">
        <v>853</v>
      </c>
      <c r="D26" s="19" t="s">
        <v>854</v>
      </c>
      <c r="E26" s="15" t="s">
        <v>855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0">
        <v>46219</v>
      </c>
    </row>
    <row r="27" spans="1:17" ht="38.25" x14ac:dyDescent="0.25">
      <c r="A27" s="15" t="s">
        <v>164</v>
      </c>
      <c r="B27" s="15"/>
      <c r="C27" s="15" t="s">
        <v>165</v>
      </c>
      <c r="D27" s="15" t="s">
        <v>166</v>
      </c>
      <c r="E27" s="15"/>
      <c r="F27" s="15"/>
      <c r="G27" s="15"/>
      <c r="H27" s="15"/>
      <c r="I27" s="15"/>
      <c r="J27" s="15"/>
      <c r="K27" s="15"/>
      <c r="L27" s="15" t="s">
        <v>22</v>
      </c>
      <c r="M27" s="15" t="s">
        <v>167</v>
      </c>
      <c r="N27" s="15"/>
      <c r="O27" s="15"/>
      <c r="P27" s="15"/>
      <c r="Q27" s="15" t="s">
        <v>58</v>
      </c>
    </row>
    <row r="28" spans="1:17" ht="127.5" x14ac:dyDescent="0.25">
      <c r="A28" s="15" t="s">
        <v>168</v>
      </c>
      <c r="B28" s="15" t="s">
        <v>96</v>
      </c>
      <c r="C28" s="15" t="s">
        <v>169</v>
      </c>
      <c r="D28" s="15" t="s">
        <v>170</v>
      </c>
      <c r="E28" s="15" t="s">
        <v>171</v>
      </c>
      <c r="F28" s="15" t="s">
        <v>172</v>
      </c>
      <c r="G28" s="15" t="s">
        <v>173</v>
      </c>
      <c r="H28" s="15" t="s">
        <v>174</v>
      </c>
      <c r="I28" s="15" t="s">
        <v>175</v>
      </c>
      <c r="J28" s="15" t="s">
        <v>176</v>
      </c>
      <c r="K28" s="15" t="s">
        <v>177</v>
      </c>
      <c r="L28" s="15" t="s">
        <v>178</v>
      </c>
      <c r="M28" s="15" t="s">
        <v>179</v>
      </c>
      <c r="N28" s="15" t="s">
        <v>180</v>
      </c>
      <c r="O28" s="15" t="s">
        <v>177</v>
      </c>
      <c r="P28" s="15" t="s">
        <v>181</v>
      </c>
      <c r="Q28" s="15" t="s">
        <v>182</v>
      </c>
    </row>
    <row r="29" spans="1:17" ht="51" x14ac:dyDescent="0.25">
      <c r="A29" s="15" t="s">
        <v>887</v>
      </c>
      <c r="B29" s="15" t="s">
        <v>96</v>
      </c>
      <c r="C29" s="15" t="s">
        <v>888</v>
      </c>
      <c r="D29" s="19" t="s">
        <v>889</v>
      </c>
      <c r="E29" s="15" t="s">
        <v>888</v>
      </c>
      <c r="F29" s="19" t="s">
        <v>890</v>
      </c>
      <c r="G29" s="15"/>
      <c r="H29" s="15"/>
      <c r="I29" s="15"/>
      <c r="J29" s="15"/>
      <c r="K29" s="15" t="s">
        <v>892</v>
      </c>
      <c r="L29" s="15" t="s">
        <v>32</v>
      </c>
      <c r="M29" s="15" t="s">
        <v>891</v>
      </c>
      <c r="N29" s="15"/>
      <c r="O29" s="15"/>
      <c r="P29" s="15"/>
      <c r="Q29" s="20">
        <v>46223</v>
      </c>
    </row>
    <row r="30" spans="1:17" ht="25.5" x14ac:dyDescent="0.25">
      <c r="A30" s="15" t="s">
        <v>183</v>
      </c>
      <c r="B30" s="15"/>
      <c r="C30" s="15" t="s">
        <v>184</v>
      </c>
      <c r="D30" s="15"/>
      <c r="E30" s="15"/>
      <c r="F30" s="15"/>
      <c r="G30" s="15"/>
      <c r="H30" s="15"/>
      <c r="I30" s="15"/>
      <c r="J30" s="15"/>
      <c r="K30" s="15"/>
      <c r="L30" s="15" t="s">
        <v>16</v>
      </c>
      <c r="M30" s="15" t="s">
        <v>185</v>
      </c>
      <c r="N30" s="15"/>
      <c r="O30" s="15"/>
      <c r="P30" s="15"/>
      <c r="Q30" s="15" t="s">
        <v>58</v>
      </c>
    </row>
    <row r="31" spans="1:17" ht="51" x14ac:dyDescent="0.25">
      <c r="A31" s="15" t="s">
        <v>186</v>
      </c>
      <c r="B31" s="15"/>
      <c r="C31" s="15" t="s">
        <v>187</v>
      </c>
      <c r="D31" s="15" t="s">
        <v>188</v>
      </c>
      <c r="E31" s="15" t="s">
        <v>189</v>
      </c>
      <c r="F31" s="15"/>
      <c r="G31" s="15"/>
      <c r="H31" s="15"/>
      <c r="I31" s="15"/>
      <c r="J31" s="15"/>
      <c r="K31" s="15"/>
      <c r="L31" s="15" t="s">
        <v>190</v>
      </c>
      <c r="M31" s="15" t="s">
        <v>191</v>
      </c>
      <c r="N31" s="15"/>
      <c r="O31" s="15"/>
      <c r="P31" s="15"/>
      <c r="Q31" s="15" t="s">
        <v>58</v>
      </c>
    </row>
    <row r="32" spans="1:17" ht="89.25" x14ac:dyDescent="0.25">
      <c r="A32" s="15" t="s">
        <v>192</v>
      </c>
      <c r="B32" s="15" t="s">
        <v>96</v>
      </c>
      <c r="C32" s="15" t="s">
        <v>193</v>
      </c>
      <c r="D32" s="15" t="s">
        <v>194</v>
      </c>
      <c r="E32" s="15" t="s">
        <v>195</v>
      </c>
      <c r="F32" s="15"/>
      <c r="G32" s="15"/>
      <c r="H32" s="15"/>
      <c r="I32" s="15"/>
      <c r="J32" s="15"/>
      <c r="K32" s="15"/>
      <c r="L32" s="15" t="s">
        <v>24</v>
      </c>
      <c r="M32" s="15" t="s">
        <v>196</v>
      </c>
      <c r="N32" s="15"/>
      <c r="O32" s="15"/>
      <c r="P32" s="15"/>
      <c r="Q32" s="15" t="s">
        <v>58</v>
      </c>
    </row>
    <row r="33" spans="1:17" ht="25.5" x14ac:dyDescent="0.25">
      <c r="A33" s="15" t="s">
        <v>197</v>
      </c>
      <c r="B33" s="15" t="s">
        <v>96</v>
      </c>
      <c r="C33" s="15" t="s">
        <v>198</v>
      </c>
      <c r="D33" s="15" t="s">
        <v>199</v>
      </c>
      <c r="E33" s="15"/>
      <c r="F33" s="15"/>
      <c r="G33" s="15"/>
      <c r="H33" s="15"/>
      <c r="I33" s="15"/>
      <c r="J33" s="15"/>
      <c r="K33" s="15"/>
      <c r="L33" s="15" t="s">
        <v>200</v>
      </c>
      <c r="M33" s="15" t="s">
        <v>201</v>
      </c>
      <c r="N33" s="15"/>
      <c r="O33" s="15"/>
      <c r="P33" s="15"/>
      <c r="Q33" s="15" t="s">
        <v>58</v>
      </c>
    </row>
    <row r="34" spans="1:17" ht="102" x14ac:dyDescent="0.25">
      <c r="A34" s="15" t="s">
        <v>202</v>
      </c>
      <c r="B34" s="15" t="s">
        <v>96</v>
      </c>
      <c r="C34" s="15" t="s">
        <v>203</v>
      </c>
      <c r="D34" s="15" t="s">
        <v>204</v>
      </c>
      <c r="E34" s="15" t="s">
        <v>205</v>
      </c>
      <c r="F34" s="15"/>
      <c r="G34" s="15" t="s">
        <v>206</v>
      </c>
      <c r="H34" s="15" t="s">
        <v>207</v>
      </c>
      <c r="I34" s="15" t="s">
        <v>208</v>
      </c>
      <c r="J34" s="15" t="s">
        <v>209</v>
      </c>
      <c r="K34" s="15" t="s">
        <v>210</v>
      </c>
      <c r="L34" s="15" t="s">
        <v>211</v>
      </c>
      <c r="M34" s="15" t="s">
        <v>212</v>
      </c>
      <c r="N34" s="15" t="s">
        <v>213</v>
      </c>
      <c r="O34" s="15" t="s">
        <v>214</v>
      </c>
      <c r="P34" s="15" t="s">
        <v>215</v>
      </c>
      <c r="Q34" s="15" t="s">
        <v>110</v>
      </c>
    </row>
    <row r="35" spans="1:17" ht="25.5" x14ac:dyDescent="0.25">
      <c r="A35" s="15" t="s">
        <v>216</v>
      </c>
      <c r="B35" s="15"/>
      <c r="C35" s="15" t="s">
        <v>217</v>
      </c>
      <c r="D35" s="19" t="s">
        <v>838</v>
      </c>
      <c r="E35" s="15" t="s">
        <v>217</v>
      </c>
      <c r="F35" s="19" t="s">
        <v>839</v>
      </c>
      <c r="G35" s="15"/>
      <c r="H35" s="15"/>
      <c r="I35" s="15"/>
      <c r="J35" s="15"/>
      <c r="K35" s="15"/>
      <c r="L35" s="15" t="s">
        <v>14</v>
      </c>
      <c r="M35" s="15" t="s">
        <v>218</v>
      </c>
      <c r="N35" s="15"/>
      <c r="O35" s="15"/>
      <c r="P35" s="15"/>
      <c r="Q35" s="15" t="s">
        <v>58</v>
      </c>
    </row>
    <row r="36" spans="1:17" ht="89.25" x14ac:dyDescent="0.25">
      <c r="A36" s="15" t="s">
        <v>219</v>
      </c>
      <c r="B36" s="15"/>
      <c r="C36" s="15" t="s">
        <v>220</v>
      </c>
      <c r="D36" s="15" t="s">
        <v>221</v>
      </c>
      <c r="E36" s="15" t="s">
        <v>222</v>
      </c>
      <c r="F36" s="15"/>
      <c r="G36" s="15"/>
      <c r="H36" s="15"/>
      <c r="I36" s="15"/>
      <c r="J36" s="15"/>
      <c r="K36" s="15"/>
      <c r="L36" s="15" t="s">
        <v>20</v>
      </c>
      <c r="M36" s="15" t="s">
        <v>223</v>
      </c>
      <c r="N36" s="15"/>
      <c r="O36" s="15"/>
      <c r="P36" s="15"/>
      <c r="Q36" s="15" t="s">
        <v>58</v>
      </c>
    </row>
    <row r="37" spans="1:17" ht="63.75" x14ac:dyDescent="0.25">
      <c r="A37" s="15" t="s">
        <v>224</v>
      </c>
      <c r="B37" s="15" t="s">
        <v>96</v>
      </c>
      <c r="C37" s="15" t="s">
        <v>225</v>
      </c>
      <c r="D37" s="15" t="s">
        <v>226</v>
      </c>
      <c r="E37" s="15"/>
      <c r="F37" s="15"/>
      <c r="G37" s="15"/>
      <c r="H37" s="15"/>
      <c r="I37" s="15"/>
      <c r="J37" s="15"/>
      <c r="K37" s="15"/>
      <c r="L37" s="15" t="s">
        <v>35</v>
      </c>
      <c r="M37" s="15" t="s">
        <v>227</v>
      </c>
      <c r="N37" s="15"/>
      <c r="O37" s="15"/>
      <c r="P37" s="15"/>
      <c r="Q37" s="15" t="s">
        <v>58</v>
      </c>
    </row>
    <row r="38" spans="1:17" ht="25.5" x14ac:dyDescent="0.25">
      <c r="A38" s="15" t="s">
        <v>228</v>
      </c>
      <c r="B38" s="15"/>
      <c r="C38" s="15" t="s">
        <v>229</v>
      </c>
      <c r="D38" s="15"/>
      <c r="E38" s="15"/>
      <c r="F38" s="15"/>
      <c r="G38" s="15"/>
      <c r="H38" s="15"/>
      <c r="I38" s="15"/>
      <c r="J38" s="15"/>
      <c r="K38" s="15"/>
      <c r="L38" s="15" t="s">
        <v>35</v>
      </c>
      <c r="M38" s="15" t="s">
        <v>230</v>
      </c>
      <c r="N38" s="15"/>
      <c r="O38" s="15"/>
      <c r="P38" s="15"/>
      <c r="Q38" s="15" t="s">
        <v>58</v>
      </c>
    </row>
    <row r="39" spans="1:17" ht="76.5" x14ac:dyDescent="0.25">
      <c r="A39" s="15" t="s">
        <v>231</v>
      </c>
      <c r="B39" s="15" t="s">
        <v>96</v>
      </c>
      <c r="C39" s="15" t="s">
        <v>232</v>
      </c>
      <c r="D39" s="15" t="s">
        <v>233</v>
      </c>
      <c r="E39" s="15"/>
      <c r="F39" s="15"/>
      <c r="G39" s="15" t="s">
        <v>234</v>
      </c>
      <c r="H39" s="15" t="s">
        <v>863</v>
      </c>
      <c r="I39" s="15" t="s">
        <v>235</v>
      </c>
      <c r="J39" s="15" t="s">
        <v>236</v>
      </c>
      <c r="K39" s="15" t="s">
        <v>237</v>
      </c>
      <c r="L39" s="15" t="s">
        <v>238</v>
      </c>
      <c r="M39" s="15" t="s">
        <v>239</v>
      </c>
      <c r="N39" s="15" t="s">
        <v>240</v>
      </c>
      <c r="O39" s="15" t="s">
        <v>241</v>
      </c>
      <c r="P39" s="15" t="s">
        <v>242</v>
      </c>
      <c r="Q39" s="15" t="s">
        <v>243</v>
      </c>
    </row>
    <row r="40" spans="1:17" ht="114.75" x14ac:dyDescent="0.25">
      <c r="A40" s="15" t="s">
        <v>244</v>
      </c>
      <c r="B40" s="15" t="s">
        <v>96</v>
      </c>
      <c r="C40" s="15" t="s">
        <v>245</v>
      </c>
      <c r="D40" s="19" t="s">
        <v>841</v>
      </c>
      <c r="E40" s="15" t="s">
        <v>840</v>
      </c>
      <c r="F40" s="19" t="s">
        <v>842</v>
      </c>
      <c r="G40" s="15" t="s">
        <v>843</v>
      </c>
      <c r="H40" s="15" t="s">
        <v>864</v>
      </c>
      <c r="I40" s="15"/>
      <c r="J40" s="15"/>
      <c r="K40" s="15" t="s">
        <v>844</v>
      </c>
      <c r="L40" s="15" t="s">
        <v>15</v>
      </c>
      <c r="M40" s="15" t="s">
        <v>246</v>
      </c>
      <c r="N40" s="15"/>
      <c r="O40" s="15"/>
      <c r="P40" s="15"/>
      <c r="Q40" s="15" t="s">
        <v>58</v>
      </c>
    </row>
    <row r="41" spans="1:17" ht="127.5" x14ac:dyDescent="0.25">
      <c r="A41" s="15" t="s">
        <v>247</v>
      </c>
      <c r="B41" s="15" t="s">
        <v>96</v>
      </c>
      <c r="C41" s="15" t="s">
        <v>248</v>
      </c>
      <c r="D41" s="15" t="s">
        <v>249</v>
      </c>
      <c r="E41" s="15"/>
      <c r="F41" s="15"/>
      <c r="G41" s="15"/>
      <c r="H41" s="15"/>
      <c r="I41" s="15"/>
      <c r="J41" s="15"/>
      <c r="K41" s="15"/>
      <c r="L41" s="15" t="s">
        <v>26</v>
      </c>
      <c r="M41" s="15" t="s">
        <v>250</v>
      </c>
      <c r="N41" s="15"/>
      <c r="O41" s="15"/>
      <c r="P41" s="15"/>
      <c r="Q41" s="15" t="s">
        <v>58</v>
      </c>
    </row>
    <row r="42" spans="1:17" ht="89.25" x14ac:dyDescent="0.25">
      <c r="A42" s="15" t="s">
        <v>251</v>
      </c>
      <c r="B42" s="15" t="s">
        <v>96</v>
      </c>
      <c r="C42" s="15" t="s">
        <v>252</v>
      </c>
      <c r="D42" s="15" t="s">
        <v>253</v>
      </c>
      <c r="E42" s="15" t="s">
        <v>254</v>
      </c>
      <c r="F42" s="15" t="s">
        <v>255</v>
      </c>
      <c r="G42" s="15" t="s">
        <v>256</v>
      </c>
      <c r="H42" s="15" t="s">
        <v>257</v>
      </c>
      <c r="I42" s="15" t="s">
        <v>175</v>
      </c>
      <c r="J42" s="15" t="s">
        <v>258</v>
      </c>
      <c r="K42" s="15" t="s">
        <v>259</v>
      </c>
      <c r="L42" s="15" t="s">
        <v>260</v>
      </c>
      <c r="M42" s="15" t="s">
        <v>261</v>
      </c>
      <c r="N42" s="15" t="s">
        <v>262</v>
      </c>
      <c r="O42" s="15" t="s">
        <v>259</v>
      </c>
      <c r="P42" s="15" t="s">
        <v>263</v>
      </c>
      <c r="Q42" s="15" t="s">
        <v>182</v>
      </c>
    </row>
  </sheetData>
  <autoFilter ref="A1:Q42" xr:uid="{00000000-0009-0000-0000-000001000000}"/>
  <conditionalFormatting sqref="B2:B104">
    <cfRule type="expression" dxfId="1" priority="2">
      <formula>AND($A2&lt;&gt;"",$B2="")</formula>
    </cfRule>
  </conditionalFormatting>
  <dataValidations count="1">
    <dataValidation type="list" allowBlank="1" sqref="B2:B104" xr:uid="{00000000-0002-0000-0100-000000000000}">
      <formula1>"Active,Pending Setup,Prospect,Inactive"</formula1>
      <formula2>0</formula2>
    </dataValidation>
  </dataValidations>
  <hyperlinks>
    <hyperlink ref="D35" r:id="rId1" xr:uid="{015FC60F-E98D-48DA-A3DE-ACF1C03DE718}"/>
    <hyperlink ref="F35" r:id="rId2" xr:uid="{DF50EFC5-A4C6-4AA6-8D90-01E7905A2100}"/>
    <hyperlink ref="D40" r:id="rId3" xr:uid="{A26ED7FD-74A5-498F-9D99-678300D36EAA}"/>
    <hyperlink ref="F40" r:id="rId4" xr:uid="{24F81DF6-7F55-4D27-854D-539D7F8BF0DD}"/>
    <hyperlink ref="D7" r:id="rId5" xr:uid="{7C8283A1-2713-44A0-91BF-3D30A99C58FE}"/>
    <hyperlink ref="F7" r:id="rId6" xr:uid="{FFA7D34A-7119-4A38-B587-0A1FE0A9551B}"/>
    <hyperlink ref="D6" r:id="rId7" xr:uid="{27A835FF-AF29-421C-8E06-69A2C02B97EA}"/>
    <hyperlink ref="F5" r:id="rId8" xr:uid="{1C119EFE-9B31-46A0-85D9-DC1483BCA952}"/>
    <hyperlink ref="D26" r:id="rId9" xr:uid="{45E9C4C1-5655-4105-B076-5DCCDC6CEB7A}"/>
    <hyperlink ref="F17" r:id="rId10" xr:uid="{C7416318-8D0C-412F-8AA8-52C9A9356552}"/>
    <hyperlink ref="D22" r:id="rId11" xr:uid="{A21C5724-C3E0-4C91-8E9B-95D253184DA5}"/>
    <hyperlink ref="F22" r:id="rId12" xr:uid="{F94890B5-A60E-44E6-9F20-BDDB5D523ECA}"/>
    <hyperlink ref="D29" r:id="rId13" xr:uid="{523D5660-16B2-47B2-8395-20E9CA351320}"/>
    <hyperlink ref="F29" r:id="rId14" xr:uid="{6A1CE529-6EB7-4C23-918E-65A91BC197AD}"/>
    <hyperlink ref="F19" r:id="rId15" xr:uid="{A0F08BE9-E6AB-41C5-8C9B-ACDFDF5FBFC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2E75B6"/>
  </sheetPr>
  <dimension ref="A1:P299"/>
  <sheetViews>
    <sheetView tabSelected="1" topLeftCell="B1" zoomScaleNormal="100" workbookViewId="0">
      <pane ySplit="1" topLeftCell="A2" activePane="bottomLeft" state="frozen"/>
      <selection pane="bottomLeft" activeCell="M31" sqref="M31"/>
    </sheetView>
  </sheetViews>
  <sheetFormatPr defaultColWidth="8.7109375" defaultRowHeight="15" x14ac:dyDescent="0.25"/>
  <cols>
    <col min="1" max="1" width="34" customWidth="1"/>
    <col min="2" max="2" width="30" customWidth="1"/>
    <col min="3" max="3" width="20" customWidth="1"/>
    <col min="4" max="4" width="15" customWidth="1"/>
    <col min="5" max="5" width="28" customWidth="1"/>
    <col min="6" max="6" width="16" customWidth="1"/>
    <col min="7" max="7" width="7" customWidth="1"/>
    <col min="8" max="8" width="10.7109375" customWidth="1"/>
    <col min="9" max="9" width="45" customWidth="1"/>
    <col min="10" max="10" width="14" customWidth="1"/>
    <col min="11" max="11" width="24" customWidth="1"/>
    <col min="12" max="12" width="30" customWidth="1"/>
    <col min="13" max="13" width="24" customWidth="1"/>
    <col min="14" max="14" width="30" customWidth="1"/>
    <col min="15" max="15" width="22" customWidth="1"/>
    <col min="16" max="16" width="12" customWidth="1"/>
  </cols>
  <sheetData>
    <row r="1" spans="1:16" ht="25.5" x14ac:dyDescent="0.25">
      <c r="A1" s="4" t="s">
        <v>264</v>
      </c>
      <c r="B1" s="4" t="s">
        <v>265</v>
      </c>
      <c r="C1" s="4" t="s">
        <v>266</v>
      </c>
      <c r="D1" s="4" t="s">
        <v>267</v>
      </c>
      <c r="E1" s="4" t="s">
        <v>268</v>
      </c>
      <c r="F1" s="4" t="s">
        <v>269</v>
      </c>
      <c r="G1" s="4" t="s">
        <v>4</v>
      </c>
      <c r="H1" s="4" t="s">
        <v>270</v>
      </c>
      <c r="I1" s="4" t="s">
        <v>271</v>
      </c>
      <c r="J1" s="4" t="s">
        <v>272</v>
      </c>
      <c r="K1" s="4" t="s">
        <v>273</v>
      </c>
      <c r="L1" s="4" t="s">
        <v>274</v>
      </c>
      <c r="M1" s="4" t="s">
        <v>275</v>
      </c>
      <c r="N1" s="4" t="s">
        <v>276</v>
      </c>
      <c r="O1" s="4" t="s">
        <v>277</v>
      </c>
      <c r="P1" s="4" t="s">
        <v>278</v>
      </c>
    </row>
    <row r="2" spans="1:16" ht="25.5" x14ac:dyDescent="0.25">
      <c r="A2" s="15" t="s">
        <v>279</v>
      </c>
      <c r="B2" s="15" t="s">
        <v>280</v>
      </c>
      <c r="C2" s="15" t="s">
        <v>281</v>
      </c>
      <c r="D2" s="15" t="s">
        <v>282</v>
      </c>
      <c r="E2" s="15" t="s">
        <v>283</v>
      </c>
      <c r="F2" s="15" t="s">
        <v>284</v>
      </c>
      <c r="G2" s="5" t="s">
        <v>14</v>
      </c>
      <c r="H2" s="5" t="s">
        <v>285</v>
      </c>
      <c r="I2" s="15" t="s">
        <v>286</v>
      </c>
      <c r="J2" s="15" t="s">
        <v>287</v>
      </c>
      <c r="K2" s="15" t="s">
        <v>216</v>
      </c>
      <c r="L2" s="8" t="str">
        <f>IF($K2="","",IFERROR(IF(INDEX(Service_Providers!$C$2:$C$104,MATCH($K2,Service_Providers!$A$2:$A$104,0))="","",INDEX(Service_Providers!$C$2:$C$104,MATCH($K2,Service_Providers!$A$2:$A$104,0)))&amp;IF(AND(INDEX(Service_Providers!$C$2:$C$104,MATCH($K2,Service_Providers!$A$2:$A$104,0))&lt;&gt;"",INDEX(Service_Providers!$D$2:$D$104,MATCH($K2,Service_Providers!$A$2:$A$104,0))&lt;&gt;""),CHAR(10),"")&amp;IF(INDEX(Service_Providers!$D$2:$D$104,MATCH($K2,Service_Providers!$A$2:$A$104,0))="","",INDEX(Service_Providers!$D$2:$D$104,MATCH($K2,Service_Providers!$A$2:$A$104,0))),"Provider not found"))</f>
        <v>479.647.6800
tech@fidel.coffee</v>
      </c>
      <c r="M2" s="15" t="s">
        <v>85</v>
      </c>
      <c r="N2" s="8" t="str">
        <f>IF($M2="","",IFERROR(IF(INDEX(Service_Providers!$C$2:$C$104,MATCH($M2,Service_Providers!$A$2:$A$104,0))="","",INDEX(Service_Providers!$C$2:$C$104,MATCH($M2,Service_Providers!$A$2:$A$104,0)))&amp;IF(AND(INDEX(Service_Providers!$C$2:$C$104,MATCH($M2,Service_Providers!$A$2:$A$104,0))&lt;&gt;"",INDEX(Service_Providers!$D$2:$D$104,MATCH($M2,Service_Providers!$A$2:$A$104,0))&lt;&gt;""),CHAR(10),"")&amp;IF(INDEX(Service_Providers!$D$2:$D$104,MATCH($M2,Service_Providers!$A$2:$A$104,0))="","",INDEX(Service_Providers!$D$2:$D$104,MATCH($M2,Service_Providers!$A$2:$A$104,0))),"Provider not found"))</f>
        <v>866-966-5799 ext 1
service@bestbeverage.net</v>
      </c>
      <c r="O2" s="15" t="s">
        <v>288</v>
      </c>
      <c r="P2" s="15" t="s">
        <v>58</v>
      </c>
    </row>
    <row r="3" spans="1:16" ht="38.25" x14ac:dyDescent="0.25">
      <c r="A3" s="15" t="s">
        <v>289</v>
      </c>
      <c r="B3" s="15" t="s">
        <v>290</v>
      </c>
      <c r="C3" s="15" t="s">
        <v>291</v>
      </c>
      <c r="D3" s="15" t="s">
        <v>292</v>
      </c>
      <c r="E3" s="15" t="s">
        <v>293</v>
      </c>
      <c r="F3" s="15" t="s">
        <v>284</v>
      </c>
      <c r="G3" s="5" t="s">
        <v>14</v>
      </c>
      <c r="H3" s="5" t="s">
        <v>294</v>
      </c>
      <c r="I3" s="15" t="s">
        <v>295</v>
      </c>
      <c r="J3" s="15" t="s">
        <v>296</v>
      </c>
      <c r="K3" s="15" t="s">
        <v>216</v>
      </c>
      <c r="L3" s="8" t="str">
        <f>IF($K3="","",IFERROR(IF(INDEX(Service_Providers!$C$2:$C$104,MATCH($K3,Service_Providers!$A$2:$A$104,0))="","",INDEX(Service_Providers!$C$2:$C$104,MATCH($K3,Service_Providers!$A$2:$A$104,0)))&amp;IF(AND(INDEX(Service_Providers!$C$2:$C$104,MATCH($K3,Service_Providers!$A$2:$A$104,0))&lt;&gt;"",INDEX(Service_Providers!$D$2:$D$104,MATCH($K3,Service_Providers!$A$2:$A$104,0))&lt;&gt;""),CHAR(10),"")&amp;IF(INDEX(Service_Providers!$D$2:$D$104,MATCH($K3,Service_Providers!$A$2:$A$104,0))="","",INDEX(Service_Providers!$D$2:$D$104,MATCH($K3,Service_Providers!$A$2:$A$104,0))),"Provider not found"))</f>
        <v>479.647.6800
tech@fidel.coffee</v>
      </c>
      <c r="M3" s="15" t="s">
        <v>85</v>
      </c>
      <c r="N3" s="8" t="str">
        <f>IF($M3="","",IFERROR(IF(INDEX(Service_Providers!$C$2:$C$104,MATCH($M3,Service_Providers!$A$2:$A$104,0))="","",INDEX(Service_Providers!$C$2:$C$104,MATCH($M3,Service_Providers!$A$2:$A$104,0)))&amp;IF(AND(INDEX(Service_Providers!$C$2:$C$104,MATCH($M3,Service_Providers!$A$2:$A$104,0))&lt;&gt;"",INDEX(Service_Providers!$D$2:$D$104,MATCH($M3,Service_Providers!$A$2:$A$104,0))&lt;&gt;""),CHAR(10),"")&amp;IF(INDEX(Service_Providers!$D$2:$D$104,MATCH($M3,Service_Providers!$A$2:$A$104,0))="","",INDEX(Service_Providers!$D$2:$D$104,MATCH($M3,Service_Providers!$A$2:$A$104,0))),"Provider not found"))</f>
        <v>866-966-5799 ext 1
service@bestbeverage.net</v>
      </c>
      <c r="O3" s="15" t="s">
        <v>288</v>
      </c>
      <c r="P3" s="15" t="s">
        <v>58</v>
      </c>
    </row>
    <row r="4" spans="1:16" ht="89.25" x14ac:dyDescent="0.25">
      <c r="A4" s="15" t="s">
        <v>297</v>
      </c>
      <c r="B4" s="15" t="s">
        <v>298</v>
      </c>
      <c r="C4" s="15"/>
      <c r="D4" s="15" t="s">
        <v>299</v>
      </c>
      <c r="E4" s="15" t="s">
        <v>300</v>
      </c>
      <c r="F4" s="15" t="s">
        <v>301</v>
      </c>
      <c r="G4" s="5" t="s">
        <v>15</v>
      </c>
      <c r="H4" s="5" t="s">
        <v>302</v>
      </c>
      <c r="I4" s="15" t="s">
        <v>303</v>
      </c>
      <c r="J4" s="15" t="s">
        <v>304</v>
      </c>
      <c r="K4" s="15" t="s">
        <v>244</v>
      </c>
      <c r="L4" s="8" t="str">
        <f>IF($K4="","",IFERROR(IF(INDEX(Service_Providers!$C$2:$C$104,MATCH($K4,Service_Providers!$A$2:$A$104,0))="","",INDEX(Service_Providers!$C$2:$C$104,MATCH($K4,Service_Providers!$A$2:$A$104,0)))&amp;IF(AND(INDEX(Service_Providers!$C$2:$C$104,MATCH($K4,Service_Providers!$A$2:$A$104,0))&lt;&gt;"",INDEX(Service_Providers!$D$2:$D$104,MATCH($K4,Service_Providers!$A$2:$A$104,0))&lt;&gt;""),CHAR(10),"")&amp;IF(INDEX(Service_Providers!$D$2:$D$104,MATCH($K4,Service_Providers!$A$2:$A$104,0))="","",INDEX(Service_Providers!$D$2:$D$104,MATCH($K4,Service_Providers!$A$2:$A$104,0))),"Provider not found"))</f>
        <v xml:space="preserve">480-294-2434
service@thunderbirdequipment.com
</v>
      </c>
      <c r="M4" s="15" t="s">
        <v>893</v>
      </c>
      <c r="N4" s="8" t="str">
        <f>IF($M4="","",IFERROR(IF(INDEX(Service_Providers!$C$2:$C$104,MATCH($M4,Service_Providers!$A$2:$A$104,0))="","",INDEX(Service_Providers!$C$2:$C$104,MATCH($M4,Service_Providers!$A$2:$A$104,0)))&amp;IF(AND(INDEX(Service_Providers!$C$2:$C$104,MATCH($M4,Service_Providers!$A$2:$A$104,0))&lt;&gt;"",INDEX(Service_Providers!$D$2:$D$104,MATCH($M4,Service_Providers!$A$2:$A$104,0))&lt;&gt;""),CHAR(10),"")&amp;IF(INDEX(Service_Providers!$D$2:$D$104,MATCH($M4,Service_Providers!$A$2:$A$104,0))="","",INDEX(Service_Providers!$D$2:$D$104,MATCH($M4,Service_Providers!$A$2:$A$104,0))),"Provider not found"))</f>
        <v>Office: (833) 203-2285
Service@FASTCILITYCORP.COM
https://app.servicefusion.com/fastcility
Username: Jesus@katzcoffee.com
F!xmy5!t03</v>
      </c>
      <c r="O4" s="15" t="s">
        <v>305</v>
      </c>
      <c r="P4" s="15" t="s">
        <v>58</v>
      </c>
    </row>
    <row r="5" spans="1:16" ht="89.25" x14ac:dyDescent="0.25">
      <c r="A5" s="15" t="s">
        <v>306</v>
      </c>
      <c r="B5" s="15" t="s">
        <v>307</v>
      </c>
      <c r="C5" s="15" t="s">
        <v>308</v>
      </c>
      <c r="D5" s="15" t="s">
        <v>309</v>
      </c>
      <c r="E5" s="15" t="s">
        <v>310</v>
      </c>
      <c r="F5" s="15" t="s">
        <v>311</v>
      </c>
      <c r="G5" s="5" t="s">
        <v>15</v>
      </c>
      <c r="H5" s="5" t="s">
        <v>312</v>
      </c>
      <c r="I5" s="15" t="s">
        <v>313</v>
      </c>
      <c r="J5" s="15" t="s">
        <v>314</v>
      </c>
      <c r="K5" s="15" t="s">
        <v>244</v>
      </c>
      <c r="L5" s="8" t="str">
        <f>IF($K5="","",IFERROR(IF(INDEX(Service_Providers!$C$2:$C$104,MATCH($K5,Service_Providers!$A$2:$A$104,0))="","",INDEX(Service_Providers!$C$2:$C$104,MATCH($K5,Service_Providers!$A$2:$A$104,0)))&amp;IF(AND(INDEX(Service_Providers!$C$2:$C$104,MATCH($K5,Service_Providers!$A$2:$A$104,0))&lt;&gt;"",INDEX(Service_Providers!$D$2:$D$104,MATCH($K5,Service_Providers!$A$2:$A$104,0))&lt;&gt;""),CHAR(10),"")&amp;IF(INDEX(Service_Providers!$D$2:$D$104,MATCH($K5,Service_Providers!$A$2:$A$104,0))="","",INDEX(Service_Providers!$D$2:$D$104,MATCH($K5,Service_Providers!$A$2:$A$104,0))),"Provider not found"))</f>
        <v xml:space="preserve">480-294-2434
service@thunderbirdequipment.com
</v>
      </c>
      <c r="M5" s="15" t="s">
        <v>893</v>
      </c>
      <c r="N5" s="8" t="str">
        <f>IF($M5="","",IFERROR(IF(INDEX(Service_Providers!$C$2:$C$104,MATCH($M5,Service_Providers!$A$2:$A$104,0))="","",INDEX(Service_Providers!$C$2:$C$104,MATCH($M5,Service_Providers!$A$2:$A$104,0)))&amp;IF(AND(INDEX(Service_Providers!$C$2:$C$104,MATCH($M5,Service_Providers!$A$2:$A$104,0))&lt;&gt;"",INDEX(Service_Providers!$D$2:$D$104,MATCH($M5,Service_Providers!$A$2:$A$104,0))&lt;&gt;""),CHAR(10),"")&amp;IF(INDEX(Service_Providers!$D$2:$D$104,MATCH($M5,Service_Providers!$A$2:$A$104,0))="","",INDEX(Service_Providers!$D$2:$D$104,MATCH($M5,Service_Providers!$A$2:$A$104,0))),"Provider not found"))</f>
        <v>Office: (833) 203-2285
Service@FASTCILITYCORP.COM
https://app.servicefusion.com/fastcility
Username: Jesus@katzcoffee.com
F!xmy5!t03</v>
      </c>
      <c r="O5" s="15" t="s">
        <v>305</v>
      </c>
      <c r="P5" s="15" t="s">
        <v>58</v>
      </c>
    </row>
    <row r="6" spans="1:16" ht="89.25" x14ac:dyDescent="0.25">
      <c r="A6" s="15" t="s">
        <v>315</v>
      </c>
      <c r="B6" s="15" t="s">
        <v>316</v>
      </c>
      <c r="C6" s="15"/>
      <c r="D6" s="15" t="s">
        <v>317</v>
      </c>
      <c r="E6" s="15" t="s">
        <v>318</v>
      </c>
      <c r="F6" s="15" t="s">
        <v>301</v>
      </c>
      <c r="G6" s="5" t="s">
        <v>15</v>
      </c>
      <c r="H6" s="5" t="s">
        <v>319</v>
      </c>
      <c r="I6" s="15" t="s">
        <v>320</v>
      </c>
      <c r="J6" s="15" t="s">
        <v>304</v>
      </c>
      <c r="K6" s="15" t="s">
        <v>244</v>
      </c>
      <c r="L6" s="8" t="str">
        <f>IF($K6="","",IFERROR(IF(INDEX(Service_Providers!$C$2:$C$104,MATCH($K6,Service_Providers!$A$2:$A$104,0))="","",INDEX(Service_Providers!$C$2:$C$104,MATCH($K6,Service_Providers!$A$2:$A$104,0)))&amp;IF(AND(INDEX(Service_Providers!$C$2:$C$104,MATCH($K6,Service_Providers!$A$2:$A$104,0))&lt;&gt;"",INDEX(Service_Providers!$D$2:$D$104,MATCH($K6,Service_Providers!$A$2:$A$104,0))&lt;&gt;""),CHAR(10),"")&amp;IF(INDEX(Service_Providers!$D$2:$D$104,MATCH($K6,Service_Providers!$A$2:$A$104,0))="","",INDEX(Service_Providers!$D$2:$D$104,MATCH($K6,Service_Providers!$A$2:$A$104,0))),"Provider not found"))</f>
        <v xml:space="preserve">480-294-2434
service@thunderbirdequipment.com
</v>
      </c>
      <c r="M6" s="15" t="s">
        <v>893</v>
      </c>
      <c r="N6" s="8" t="str">
        <f>IF($M6="","",IFERROR(IF(INDEX(Service_Providers!$C$2:$C$104,MATCH($M6,Service_Providers!$A$2:$A$104,0))="","",INDEX(Service_Providers!$C$2:$C$104,MATCH($M6,Service_Providers!$A$2:$A$104,0)))&amp;IF(AND(INDEX(Service_Providers!$C$2:$C$104,MATCH($M6,Service_Providers!$A$2:$A$104,0))&lt;&gt;"",INDEX(Service_Providers!$D$2:$D$104,MATCH($M6,Service_Providers!$A$2:$A$104,0))&lt;&gt;""),CHAR(10),"")&amp;IF(INDEX(Service_Providers!$D$2:$D$104,MATCH($M6,Service_Providers!$A$2:$A$104,0))="","",INDEX(Service_Providers!$D$2:$D$104,MATCH($M6,Service_Providers!$A$2:$A$104,0))),"Provider not found"))</f>
        <v>Office: (833) 203-2285
Service@FASTCILITYCORP.COM
https://app.servicefusion.com/fastcility
Username: Jesus@katzcoffee.com
F!xmy5!t03</v>
      </c>
      <c r="O6" s="15" t="s">
        <v>305</v>
      </c>
      <c r="P6" s="15" t="s">
        <v>58</v>
      </c>
    </row>
    <row r="7" spans="1:16" ht="89.25" x14ac:dyDescent="0.25">
      <c r="A7" s="15" t="s">
        <v>321</v>
      </c>
      <c r="B7" s="15" t="s">
        <v>322</v>
      </c>
      <c r="C7" s="15"/>
      <c r="D7" s="15" t="s">
        <v>323</v>
      </c>
      <c r="E7" s="15" t="s">
        <v>324</v>
      </c>
      <c r="F7" s="15" t="s">
        <v>311</v>
      </c>
      <c r="G7" s="5" t="s">
        <v>15</v>
      </c>
      <c r="H7" s="5" t="s">
        <v>325</v>
      </c>
      <c r="I7" s="15" t="s">
        <v>326</v>
      </c>
      <c r="J7" s="15" t="s">
        <v>304</v>
      </c>
      <c r="K7" s="15" t="s">
        <v>244</v>
      </c>
      <c r="L7" s="8" t="str">
        <f>IF($K7="","",IFERROR(IF(INDEX(Service_Providers!$C$2:$C$104,MATCH($K7,Service_Providers!$A$2:$A$104,0))="","",INDEX(Service_Providers!$C$2:$C$104,MATCH($K7,Service_Providers!$A$2:$A$104,0)))&amp;IF(AND(INDEX(Service_Providers!$C$2:$C$104,MATCH($K7,Service_Providers!$A$2:$A$104,0))&lt;&gt;"",INDEX(Service_Providers!$D$2:$D$104,MATCH($K7,Service_Providers!$A$2:$A$104,0))&lt;&gt;""),CHAR(10),"")&amp;IF(INDEX(Service_Providers!$D$2:$D$104,MATCH($K7,Service_Providers!$A$2:$A$104,0))="","",INDEX(Service_Providers!$D$2:$D$104,MATCH($K7,Service_Providers!$A$2:$A$104,0))),"Provider not found"))</f>
        <v xml:space="preserve">480-294-2434
service@thunderbirdequipment.com
</v>
      </c>
      <c r="M7" s="15" t="s">
        <v>893</v>
      </c>
      <c r="N7" s="8" t="str">
        <f>IF($M7="","",IFERROR(IF(INDEX(Service_Providers!$C$2:$C$104,MATCH($M7,Service_Providers!$A$2:$A$104,0))="","",INDEX(Service_Providers!$C$2:$C$104,MATCH($M7,Service_Providers!$A$2:$A$104,0)))&amp;IF(AND(INDEX(Service_Providers!$C$2:$C$104,MATCH($M7,Service_Providers!$A$2:$A$104,0))&lt;&gt;"",INDEX(Service_Providers!$D$2:$D$104,MATCH($M7,Service_Providers!$A$2:$A$104,0))&lt;&gt;""),CHAR(10),"")&amp;IF(INDEX(Service_Providers!$D$2:$D$104,MATCH($M7,Service_Providers!$A$2:$A$104,0))="","",INDEX(Service_Providers!$D$2:$D$104,MATCH($M7,Service_Providers!$A$2:$A$104,0))),"Provider not found"))</f>
        <v>Office: (833) 203-2285
Service@FASTCILITYCORP.COM
https://app.servicefusion.com/fastcility
Username: Jesus@katzcoffee.com
F!xmy5!t03</v>
      </c>
      <c r="O7" s="15" t="s">
        <v>305</v>
      </c>
      <c r="P7" s="15" t="s">
        <v>58</v>
      </c>
    </row>
    <row r="8" spans="1:16" ht="89.25" x14ac:dyDescent="0.25">
      <c r="A8" s="15" t="s">
        <v>327</v>
      </c>
      <c r="B8" s="15" t="s">
        <v>328</v>
      </c>
      <c r="C8" s="15" t="s">
        <v>329</v>
      </c>
      <c r="D8" s="15" t="s">
        <v>330</v>
      </c>
      <c r="E8" s="15" t="s">
        <v>331</v>
      </c>
      <c r="F8" s="15" t="s">
        <v>332</v>
      </c>
      <c r="G8" s="5" t="s">
        <v>16</v>
      </c>
      <c r="H8" s="5" t="s">
        <v>333</v>
      </c>
      <c r="I8" s="15" t="s">
        <v>334</v>
      </c>
      <c r="J8" s="15" t="s">
        <v>287</v>
      </c>
      <c r="K8" s="15" t="s">
        <v>73</v>
      </c>
      <c r="L8" s="8" t="str">
        <f>IF($K8="","",IFERROR(IF(INDEX(Service_Providers!$C$2:$C$104,MATCH($K8,Service_Providers!$A$2:$A$104,0))="","",INDEX(Service_Providers!$C$2:$C$104,MATCH($K8,Service_Providers!$A$2:$A$104,0)))&amp;IF(AND(INDEX(Service_Providers!$C$2:$C$104,MATCH($K8,Service_Providers!$A$2:$A$104,0))&lt;&gt;"",INDEX(Service_Providers!$D$2:$D$104,MATCH($K8,Service_Providers!$A$2:$A$104,0))&lt;&gt;""),CHAR(10),"")&amp;IF(INDEX(Service_Providers!$D$2:$D$104,MATCH($K8,Service_Providers!$A$2:$A$104,0))="","",INDEX(Service_Providers!$D$2:$D$104,MATCH($K8,Service_Providers!$A$2:$A$104,0))),"Provider not found"))</f>
        <v>Contact: Cynthia                                         Phone: 714-335-9964
Cell: 714-395-8108
anytimebeverageservice@gmail.com</v>
      </c>
      <c r="M8" s="15" t="s">
        <v>893</v>
      </c>
      <c r="N8" s="8" t="str">
        <f>IF($M8="","",IFERROR(IF(INDEX(Service_Providers!$C$2:$C$104,MATCH($M8,Service_Providers!$A$2:$A$104,0))="","",INDEX(Service_Providers!$C$2:$C$104,MATCH($M8,Service_Providers!$A$2:$A$104,0)))&amp;IF(AND(INDEX(Service_Providers!$C$2:$C$104,MATCH($M8,Service_Providers!$A$2:$A$104,0))&lt;&gt;"",INDEX(Service_Providers!$D$2:$D$104,MATCH($M8,Service_Providers!$A$2:$A$104,0))&lt;&gt;""),CHAR(10),"")&amp;IF(INDEX(Service_Providers!$D$2:$D$104,MATCH($M8,Service_Providers!$A$2:$A$104,0))="","",INDEX(Service_Providers!$D$2:$D$104,MATCH($M8,Service_Providers!$A$2:$A$104,0))),"Provider not found"))</f>
        <v>Office: (833) 203-2285
Service@FASTCILITYCORP.COM
https://app.servicefusion.com/fastcility
Username: Jesus@katzcoffee.com
F!xmy5!t03</v>
      </c>
      <c r="O8" s="15" t="s">
        <v>335</v>
      </c>
      <c r="P8" s="15" t="s">
        <v>58</v>
      </c>
    </row>
    <row r="9" spans="1:16" ht="63.75" x14ac:dyDescent="0.25">
      <c r="A9" s="15" t="s">
        <v>336</v>
      </c>
      <c r="B9" s="15" t="s">
        <v>337</v>
      </c>
      <c r="C9" s="15" t="s">
        <v>338</v>
      </c>
      <c r="D9" s="15" t="s">
        <v>339</v>
      </c>
      <c r="E9" s="15" t="s">
        <v>340</v>
      </c>
      <c r="F9" s="15" t="s">
        <v>341</v>
      </c>
      <c r="G9" s="5" t="s">
        <v>16</v>
      </c>
      <c r="H9" s="5" t="s">
        <v>342</v>
      </c>
      <c r="I9" s="15" t="s">
        <v>343</v>
      </c>
      <c r="J9" s="15" t="s">
        <v>344</v>
      </c>
      <c r="K9" s="15" t="s">
        <v>69</v>
      </c>
      <c r="L9" s="8" t="str">
        <f>IF($K9="","",IFERROR(IF(INDEX(Service_Providers!$C$2:$C$104,MATCH($K9,Service_Providers!$A$2:$A$104,0))="","",INDEX(Service_Providers!$C$2:$C$104,MATCH($K9,Service_Providers!$A$2:$A$104,0)))&amp;IF(AND(INDEX(Service_Providers!$C$2:$C$104,MATCH($K9,Service_Providers!$A$2:$A$104,0))&lt;&gt;"",INDEX(Service_Providers!$D$2:$D$104,MATCH($K9,Service_Providers!$A$2:$A$104,0))&lt;&gt;""),CHAR(10),"")&amp;IF(INDEX(Service_Providers!$D$2:$D$104,MATCH($K9,Service_Providers!$A$2:$A$104,0))="","",INDEX(Service_Providers!$D$2:$D$104,MATCH($K9,Service_Providers!$A$2:$A$104,0))),"Provider not found"))</f>
        <v>626-315-8498
allstarcoffeeservice@gmail.com</v>
      </c>
      <c r="M9" s="15" t="s">
        <v>73</v>
      </c>
      <c r="N9" s="8" t="str">
        <f>IF($M9="","",IFERROR(IF(INDEX(Service_Providers!$C$2:$C$104,MATCH($M9,Service_Providers!$A$2:$A$104,0))="","",INDEX(Service_Providers!$C$2:$C$104,MATCH($M9,Service_Providers!$A$2:$A$104,0)))&amp;IF(AND(INDEX(Service_Providers!$C$2:$C$104,MATCH($M9,Service_Providers!$A$2:$A$104,0))&lt;&gt;"",INDEX(Service_Providers!$D$2:$D$104,MATCH($M9,Service_Providers!$A$2:$A$104,0))&lt;&gt;""),CHAR(10),"")&amp;IF(INDEX(Service_Providers!$D$2:$D$104,MATCH($M9,Service_Providers!$A$2:$A$104,0))="","",INDEX(Service_Providers!$D$2:$D$104,MATCH($M9,Service_Providers!$A$2:$A$104,0))),"Provider not found"))</f>
        <v>Contact: Cynthia                                         Phone: 714-335-9964
Cell: 714-395-8108
anytimebeverageservice@gmail.com</v>
      </c>
      <c r="O9" s="15" t="s">
        <v>335</v>
      </c>
      <c r="P9" s="15" t="s">
        <v>58</v>
      </c>
    </row>
    <row r="10" spans="1:16" ht="63.75" x14ac:dyDescent="0.25">
      <c r="A10" s="15" t="s">
        <v>345</v>
      </c>
      <c r="B10" s="15" t="s">
        <v>346</v>
      </c>
      <c r="C10" s="15" t="s">
        <v>347</v>
      </c>
      <c r="D10" s="15" t="s">
        <v>348</v>
      </c>
      <c r="E10" s="15" t="s">
        <v>349</v>
      </c>
      <c r="F10" s="15" t="s">
        <v>350</v>
      </c>
      <c r="G10" s="5" t="s">
        <v>16</v>
      </c>
      <c r="H10" s="5" t="s">
        <v>351</v>
      </c>
      <c r="I10" s="15" t="s">
        <v>352</v>
      </c>
      <c r="J10" s="15" t="s">
        <v>353</v>
      </c>
      <c r="K10" s="15" t="s">
        <v>69</v>
      </c>
      <c r="L10" s="8" t="str">
        <f>IF($K10="","",IFERROR(IF(INDEX(Service_Providers!$C$2:$C$104,MATCH($K10,Service_Providers!$A$2:$A$104,0))="","",INDEX(Service_Providers!$C$2:$C$104,MATCH($K10,Service_Providers!$A$2:$A$104,0)))&amp;IF(AND(INDEX(Service_Providers!$C$2:$C$104,MATCH($K10,Service_Providers!$A$2:$A$104,0))&lt;&gt;"",INDEX(Service_Providers!$D$2:$D$104,MATCH($K10,Service_Providers!$A$2:$A$104,0))&lt;&gt;""),CHAR(10),"")&amp;IF(INDEX(Service_Providers!$D$2:$D$104,MATCH($K10,Service_Providers!$A$2:$A$104,0))="","",INDEX(Service_Providers!$D$2:$D$104,MATCH($K10,Service_Providers!$A$2:$A$104,0))),"Provider not found"))</f>
        <v>626-315-8498
allstarcoffeeservice@gmail.com</v>
      </c>
      <c r="M10" s="15" t="s">
        <v>73</v>
      </c>
      <c r="N10" s="8" t="str">
        <f>IF($M10="","",IFERROR(IF(INDEX(Service_Providers!$C$2:$C$104,MATCH($M10,Service_Providers!$A$2:$A$104,0))="","",INDEX(Service_Providers!$C$2:$C$104,MATCH($M10,Service_Providers!$A$2:$A$104,0)))&amp;IF(AND(INDEX(Service_Providers!$C$2:$C$104,MATCH($M10,Service_Providers!$A$2:$A$104,0))&lt;&gt;"",INDEX(Service_Providers!$D$2:$D$104,MATCH($M10,Service_Providers!$A$2:$A$104,0))&lt;&gt;""),CHAR(10),"")&amp;IF(INDEX(Service_Providers!$D$2:$D$104,MATCH($M10,Service_Providers!$A$2:$A$104,0))="","",INDEX(Service_Providers!$D$2:$D$104,MATCH($M10,Service_Providers!$A$2:$A$104,0))),"Provider not found"))</f>
        <v>Contact: Cynthia                                         Phone: 714-335-9964
Cell: 714-395-8108
anytimebeverageservice@gmail.com</v>
      </c>
      <c r="O10" s="15" t="s">
        <v>335</v>
      </c>
      <c r="P10" s="15" t="s">
        <v>58</v>
      </c>
    </row>
    <row r="11" spans="1:16" ht="89.25" x14ac:dyDescent="0.25">
      <c r="A11" s="15" t="s">
        <v>354</v>
      </c>
      <c r="B11" s="15" t="s">
        <v>355</v>
      </c>
      <c r="C11" s="15"/>
      <c r="D11" s="15" t="s">
        <v>356</v>
      </c>
      <c r="E11" s="15" t="s">
        <v>357</v>
      </c>
      <c r="F11" s="15" t="s">
        <v>358</v>
      </c>
      <c r="G11" s="5" t="s">
        <v>16</v>
      </c>
      <c r="H11" s="5" t="s">
        <v>359</v>
      </c>
      <c r="I11" s="15" t="s">
        <v>320</v>
      </c>
      <c r="J11" s="15" t="s">
        <v>304</v>
      </c>
      <c r="K11" s="15" t="s">
        <v>73</v>
      </c>
      <c r="L11" s="8" t="str">
        <f>IF($K11="","",IFERROR(IF(INDEX(Service_Providers!$C$2:$C$104,MATCH($K11,Service_Providers!$A$2:$A$104,0))="","",INDEX(Service_Providers!$C$2:$C$104,MATCH($K11,Service_Providers!$A$2:$A$104,0)))&amp;IF(AND(INDEX(Service_Providers!$C$2:$C$104,MATCH($K11,Service_Providers!$A$2:$A$104,0))&lt;&gt;"",INDEX(Service_Providers!$D$2:$D$104,MATCH($K11,Service_Providers!$A$2:$A$104,0))&lt;&gt;""),CHAR(10),"")&amp;IF(INDEX(Service_Providers!$D$2:$D$104,MATCH($K11,Service_Providers!$A$2:$A$104,0))="","",INDEX(Service_Providers!$D$2:$D$104,MATCH($K11,Service_Providers!$A$2:$A$104,0))),"Provider not found"))</f>
        <v>Contact: Cynthia                                         Phone: 714-335-9964
Cell: 714-395-8108
anytimebeverageservice@gmail.com</v>
      </c>
      <c r="M11" s="15" t="s">
        <v>893</v>
      </c>
      <c r="N11" s="8" t="str">
        <f>IF($M11="","",IFERROR(IF(INDEX(Service_Providers!$C$2:$C$104,MATCH($M11,Service_Providers!$A$2:$A$104,0))="","",INDEX(Service_Providers!$C$2:$C$104,MATCH($M11,Service_Providers!$A$2:$A$104,0)))&amp;IF(AND(INDEX(Service_Providers!$C$2:$C$104,MATCH($M11,Service_Providers!$A$2:$A$104,0))&lt;&gt;"",INDEX(Service_Providers!$D$2:$D$104,MATCH($M11,Service_Providers!$A$2:$A$104,0))&lt;&gt;""),CHAR(10),"")&amp;IF(INDEX(Service_Providers!$D$2:$D$104,MATCH($M11,Service_Providers!$A$2:$A$104,0))="","",INDEX(Service_Providers!$D$2:$D$104,MATCH($M11,Service_Providers!$A$2:$A$104,0))),"Provider not found"))</f>
        <v>Office: (833) 203-2285
Service@FASTCILITYCORP.COM
https://app.servicefusion.com/fastcility
Username: Jesus@katzcoffee.com
F!xmy5!t03</v>
      </c>
      <c r="O11" s="15" t="s">
        <v>335</v>
      </c>
      <c r="P11" s="15" t="s">
        <v>58</v>
      </c>
    </row>
    <row r="12" spans="1:16" ht="89.25" x14ac:dyDescent="0.25">
      <c r="A12" s="15" t="s">
        <v>360</v>
      </c>
      <c r="B12" s="15" t="s">
        <v>361</v>
      </c>
      <c r="C12" s="15"/>
      <c r="D12" s="15" t="s">
        <v>362</v>
      </c>
      <c r="E12" s="15" t="s">
        <v>363</v>
      </c>
      <c r="F12" s="15" t="s">
        <v>364</v>
      </c>
      <c r="G12" s="5" t="s">
        <v>16</v>
      </c>
      <c r="H12" s="5" t="s">
        <v>365</v>
      </c>
      <c r="I12" s="15" t="s">
        <v>366</v>
      </c>
      <c r="J12" s="15" t="s">
        <v>367</v>
      </c>
      <c r="K12" s="15" t="s">
        <v>183</v>
      </c>
      <c r="L12" s="8" t="str">
        <f>IF($K12="","",IFERROR(IF(INDEX(Service_Providers!$C$2:$C$104,MATCH($K12,Service_Providers!$A$2:$A$104,0))="","",INDEX(Service_Providers!$C$2:$C$104,MATCH($K12,Service_Providers!$A$2:$A$104,0)))&amp;IF(AND(INDEX(Service_Providers!$C$2:$C$104,MATCH($K12,Service_Providers!$A$2:$A$104,0))&lt;&gt;"",INDEX(Service_Providers!$D$2:$D$104,MATCH($K12,Service_Providers!$A$2:$A$104,0))&lt;&gt;""),CHAR(10),"")&amp;IF(INDEX(Service_Providers!$D$2:$D$104,MATCH($K12,Service_Providers!$A$2:$A$104,0))="","",INDEX(Service_Providers!$D$2:$D$104,MATCH($K12,Service_Providers!$A$2:$A$104,0))),"Provider not found"))</f>
        <v>509.302.7071</v>
      </c>
      <c r="M12" s="15" t="s">
        <v>893</v>
      </c>
      <c r="N12" s="8" t="str">
        <f>IF($M12="","",IFERROR(IF(INDEX(Service_Providers!$C$2:$C$104,MATCH($M12,Service_Providers!$A$2:$A$104,0))="","",INDEX(Service_Providers!$C$2:$C$104,MATCH($M12,Service_Providers!$A$2:$A$104,0)))&amp;IF(AND(INDEX(Service_Providers!$C$2:$C$104,MATCH($M12,Service_Providers!$A$2:$A$104,0))&lt;&gt;"",INDEX(Service_Providers!$D$2:$D$104,MATCH($M12,Service_Providers!$A$2:$A$104,0))&lt;&gt;""),CHAR(10),"")&amp;IF(INDEX(Service_Providers!$D$2:$D$104,MATCH($M12,Service_Providers!$A$2:$A$104,0))="","",INDEX(Service_Providers!$D$2:$D$104,MATCH($M12,Service_Providers!$A$2:$A$104,0))),"Provider not found"))</f>
        <v>Office: (833) 203-2285
Service@FASTCILITYCORP.COM
https://app.servicefusion.com/fastcility
Username: Jesus@katzcoffee.com
F!xmy5!t03</v>
      </c>
      <c r="O12" s="15" t="s">
        <v>335</v>
      </c>
      <c r="P12" s="15" t="s">
        <v>58</v>
      </c>
    </row>
    <row r="13" spans="1:16" ht="89.25" x14ac:dyDescent="0.25">
      <c r="A13" s="15" t="s">
        <v>368</v>
      </c>
      <c r="B13" s="15" t="s">
        <v>369</v>
      </c>
      <c r="C13" s="15" t="s">
        <v>370</v>
      </c>
      <c r="D13" s="15" t="s">
        <v>371</v>
      </c>
      <c r="E13" s="15" t="s">
        <v>372</v>
      </c>
      <c r="F13" s="15" t="s">
        <v>373</v>
      </c>
      <c r="G13" s="5" t="s">
        <v>16</v>
      </c>
      <c r="H13" s="5" t="s">
        <v>374</v>
      </c>
      <c r="I13" s="15" t="s">
        <v>334</v>
      </c>
      <c r="J13" s="15" t="s">
        <v>287</v>
      </c>
      <c r="K13" s="15" t="s">
        <v>73</v>
      </c>
      <c r="L13" s="8" t="str">
        <f>IF($K13="","",IFERROR(IF(INDEX(Service_Providers!$C$2:$C$104,MATCH($K13,Service_Providers!$A$2:$A$104,0))="","",INDEX(Service_Providers!$C$2:$C$104,MATCH($K13,Service_Providers!$A$2:$A$104,0)))&amp;IF(AND(INDEX(Service_Providers!$C$2:$C$104,MATCH($K13,Service_Providers!$A$2:$A$104,0))&lt;&gt;"",INDEX(Service_Providers!$D$2:$D$104,MATCH($K13,Service_Providers!$A$2:$A$104,0))&lt;&gt;""),CHAR(10),"")&amp;IF(INDEX(Service_Providers!$D$2:$D$104,MATCH($K13,Service_Providers!$A$2:$A$104,0))="","",INDEX(Service_Providers!$D$2:$D$104,MATCH($K13,Service_Providers!$A$2:$A$104,0))),"Provider not found"))</f>
        <v>Contact: Cynthia                                         Phone: 714-335-9964
Cell: 714-395-8108
anytimebeverageservice@gmail.com</v>
      </c>
      <c r="M13" s="15" t="s">
        <v>893</v>
      </c>
      <c r="N13" s="8" t="str">
        <f>IF($M13="","",IFERROR(IF(INDEX(Service_Providers!$C$2:$C$104,MATCH($M13,Service_Providers!$A$2:$A$104,0))="","",INDEX(Service_Providers!$C$2:$C$104,MATCH($M13,Service_Providers!$A$2:$A$104,0)))&amp;IF(AND(INDEX(Service_Providers!$C$2:$C$104,MATCH($M13,Service_Providers!$A$2:$A$104,0))&lt;&gt;"",INDEX(Service_Providers!$D$2:$D$104,MATCH($M13,Service_Providers!$A$2:$A$104,0))&lt;&gt;""),CHAR(10),"")&amp;IF(INDEX(Service_Providers!$D$2:$D$104,MATCH($M13,Service_Providers!$A$2:$A$104,0))="","",INDEX(Service_Providers!$D$2:$D$104,MATCH($M13,Service_Providers!$A$2:$A$104,0))),"Provider not found"))</f>
        <v>Office: (833) 203-2285
Service@FASTCILITYCORP.COM
https://app.servicefusion.com/fastcility
Username: Jesus@katzcoffee.com
F!xmy5!t03</v>
      </c>
      <c r="O13" s="15" t="s">
        <v>335</v>
      </c>
      <c r="P13" s="15" t="s">
        <v>58</v>
      </c>
    </row>
    <row r="14" spans="1:16" ht="89.25" x14ac:dyDescent="0.25">
      <c r="A14" s="15" t="s">
        <v>375</v>
      </c>
      <c r="B14" s="15" t="s">
        <v>376</v>
      </c>
      <c r="C14" s="15"/>
      <c r="D14" s="15" t="s">
        <v>377</v>
      </c>
      <c r="E14" s="15" t="s">
        <v>378</v>
      </c>
      <c r="F14" s="15" t="s">
        <v>379</v>
      </c>
      <c r="G14" s="5" t="s">
        <v>16</v>
      </c>
      <c r="H14" s="5" t="s">
        <v>380</v>
      </c>
      <c r="I14" s="15" t="s">
        <v>381</v>
      </c>
      <c r="J14" s="15" t="s">
        <v>304</v>
      </c>
      <c r="K14" s="15" t="s">
        <v>73</v>
      </c>
      <c r="L14" s="8" t="str">
        <f>IF($K14="","",IFERROR(IF(INDEX(Service_Providers!$C$2:$C$104,MATCH($K14,Service_Providers!$A$2:$A$104,0))="","",INDEX(Service_Providers!$C$2:$C$104,MATCH($K14,Service_Providers!$A$2:$A$104,0)))&amp;IF(AND(INDEX(Service_Providers!$C$2:$C$104,MATCH($K14,Service_Providers!$A$2:$A$104,0))&lt;&gt;"",INDEX(Service_Providers!$D$2:$D$104,MATCH($K14,Service_Providers!$A$2:$A$104,0))&lt;&gt;""),CHAR(10),"")&amp;IF(INDEX(Service_Providers!$D$2:$D$104,MATCH($K14,Service_Providers!$A$2:$A$104,0))="","",INDEX(Service_Providers!$D$2:$D$104,MATCH($K14,Service_Providers!$A$2:$A$104,0))),"Provider not found"))</f>
        <v>Contact: Cynthia                                         Phone: 714-335-9964
Cell: 714-395-8108
anytimebeverageservice@gmail.com</v>
      </c>
      <c r="M14" s="15" t="s">
        <v>893</v>
      </c>
      <c r="N14" s="8" t="str">
        <f>IF($M14="","",IFERROR(IF(INDEX(Service_Providers!$C$2:$C$104,MATCH($M14,Service_Providers!$A$2:$A$104,0))="","",INDEX(Service_Providers!$C$2:$C$104,MATCH($M14,Service_Providers!$A$2:$A$104,0)))&amp;IF(AND(INDEX(Service_Providers!$C$2:$C$104,MATCH($M14,Service_Providers!$A$2:$A$104,0))&lt;&gt;"",INDEX(Service_Providers!$D$2:$D$104,MATCH($M14,Service_Providers!$A$2:$A$104,0))&lt;&gt;""),CHAR(10),"")&amp;IF(INDEX(Service_Providers!$D$2:$D$104,MATCH($M14,Service_Providers!$A$2:$A$104,0))="","",INDEX(Service_Providers!$D$2:$D$104,MATCH($M14,Service_Providers!$A$2:$A$104,0))),"Provider not found"))</f>
        <v>Office: (833) 203-2285
Service@FASTCILITYCORP.COM
https://app.servicefusion.com/fastcility
Username: Jesus@katzcoffee.com
F!xmy5!t03</v>
      </c>
      <c r="O14" s="15" t="s">
        <v>335</v>
      </c>
      <c r="P14" s="15" t="s">
        <v>58</v>
      </c>
    </row>
    <row r="15" spans="1:16" ht="89.25" x14ac:dyDescent="0.25">
      <c r="A15" s="15" t="s">
        <v>382</v>
      </c>
      <c r="B15" s="15" t="s">
        <v>383</v>
      </c>
      <c r="C15" s="15"/>
      <c r="D15" s="15" t="s">
        <v>384</v>
      </c>
      <c r="E15" s="15" t="s">
        <v>385</v>
      </c>
      <c r="F15" s="15" t="s">
        <v>386</v>
      </c>
      <c r="G15" s="5" t="s">
        <v>16</v>
      </c>
      <c r="H15" s="5" t="s">
        <v>387</v>
      </c>
      <c r="I15" s="15" t="s">
        <v>320</v>
      </c>
      <c r="J15" s="15" t="s">
        <v>304</v>
      </c>
      <c r="K15" s="15" t="s">
        <v>73</v>
      </c>
      <c r="L15" s="8" t="str">
        <f>IF($K15="","",IFERROR(IF(INDEX(Service_Providers!$C$2:$C$104,MATCH($K15,Service_Providers!$A$2:$A$104,0))="","",INDEX(Service_Providers!$C$2:$C$104,MATCH($K15,Service_Providers!$A$2:$A$104,0)))&amp;IF(AND(INDEX(Service_Providers!$C$2:$C$104,MATCH($K15,Service_Providers!$A$2:$A$104,0))&lt;&gt;"",INDEX(Service_Providers!$D$2:$D$104,MATCH($K15,Service_Providers!$A$2:$A$104,0))&lt;&gt;""),CHAR(10),"")&amp;IF(INDEX(Service_Providers!$D$2:$D$104,MATCH($K15,Service_Providers!$A$2:$A$104,0))="","",INDEX(Service_Providers!$D$2:$D$104,MATCH($K15,Service_Providers!$A$2:$A$104,0))),"Provider not found"))</f>
        <v>Contact: Cynthia                                         Phone: 714-335-9964
Cell: 714-395-8108
anytimebeverageservice@gmail.com</v>
      </c>
      <c r="M15" s="15" t="s">
        <v>893</v>
      </c>
      <c r="N15" s="8" t="str">
        <f>IF($M15="","",IFERROR(IF(INDEX(Service_Providers!$C$2:$C$104,MATCH($M15,Service_Providers!$A$2:$A$104,0))="","",INDEX(Service_Providers!$C$2:$C$104,MATCH($M15,Service_Providers!$A$2:$A$104,0)))&amp;IF(AND(INDEX(Service_Providers!$C$2:$C$104,MATCH($M15,Service_Providers!$A$2:$A$104,0))&lt;&gt;"",INDEX(Service_Providers!$D$2:$D$104,MATCH($M15,Service_Providers!$A$2:$A$104,0))&lt;&gt;""),CHAR(10),"")&amp;IF(INDEX(Service_Providers!$D$2:$D$104,MATCH($M15,Service_Providers!$A$2:$A$104,0))="","",INDEX(Service_Providers!$D$2:$D$104,MATCH($M15,Service_Providers!$A$2:$A$104,0))),"Provider not found"))</f>
        <v>Office: (833) 203-2285
Service@FASTCILITYCORP.COM
https://app.servicefusion.com/fastcility
Username: Jesus@katzcoffee.com
F!xmy5!t03</v>
      </c>
      <c r="O15" s="15" t="s">
        <v>335</v>
      </c>
      <c r="P15" s="15" t="s">
        <v>58</v>
      </c>
    </row>
    <row r="16" spans="1:16" ht="25.5" x14ac:dyDescent="0.25">
      <c r="A16" s="15" t="s">
        <v>388</v>
      </c>
      <c r="B16" s="15" t="s">
        <v>389</v>
      </c>
      <c r="C16" s="15" t="s">
        <v>390</v>
      </c>
      <c r="D16" s="15" t="s">
        <v>391</v>
      </c>
      <c r="E16" s="15" t="s">
        <v>392</v>
      </c>
      <c r="F16" s="15" t="s">
        <v>393</v>
      </c>
      <c r="G16" s="5" t="s">
        <v>17</v>
      </c>
      <c r="H16" s="5" t="s">
        <v>394</v>
      </c>
      <c r="I16" s="15" t="s">
        <v>395</v>
      </c>
      <c r="J16" s="15" t="s">
        <v>287</v>
      </c>
      <c r="K16" s="15" t="s">
        <v>202</v>
      </c>
      <c r="L16" s="8" t="str">
        <f>IF($K16="","",IFERROR(IF(INDEX(Service_Providers!$C$2:$C$104,MATCH($K16,Service_Providers!$A$2:$A$104,0))="","",INDEX(Service_Providers!$C$2:$C$104,MATCH($K16,Service_Providers!$A$2:$A$104,0)))&amp;IF(AND(INDEX(Service_Providers!$C$2:$C$104,MATCH($K16,Service_Providers!$A$2:$A$104,0))&lt;&gt;"",INDEX(Service_Providers!$D$2:$D$104,MATCH($K16,Service_Providers!$A$2:$A$104,0))&lt;&gt;""),CHAR(10),"")&amp;IF(INDEX(Service_Providers!$D$2:$D$104,MATCH($K16,Service_Providers!$A$2:$A$104,0))="","",INDEX(Service_Providers!$D$2:$D$104,MATCH($K16,Service_Providers!$A$2:$A$104,0))),"Provider not found"))</f>
        <v>(800) 226-7146
service@priorityone247.com</v>
      </c>
      <c r="M16" s="15"/>
      <c r="N16" s="8" t="str">
        <f>IF($M16="","",IFERROR(IF(INDEX(Service_Providers!$C$2:$C$104,MATCH($M16,Service_Providers!$A$2:$A$104,0))="","",INDEX(Service_Providers!$C$2:$C$104,MATCH($M16,Service_Providers!$A$2:$A$104,0)))&amp;IF(AND(INDEX(Service_Providers!$C$2:$C$104,MATCH($M16,Service_Providers!$A$2:$A$104,0))&lt;&gt;"",INDEX(Service_Providers!$D$2:$D$104,MATCH($M16,Service_Providers!$A$2:$A$104,0))&lt;&gt;""),CHAR(10),"")&amp;IF(INDEX(Service_Providers!$D$2:$D$104,MATCH($M16,Service_Providers!$A$2:$A$104,0))="","",INDEX(Service_Providers!$D$2:$D$104,MATCH($M16,Service_Providers!$A$2:$A$104,0))),"Provider not found"))</f>
        <v/>
      </c>
      <c r="O16" s="15" t="s">
        <v>396</v>
      </c>
      <c r="P16" s="15" t="s">
        <v>58</v>
      </c>
    </row>
    <row r="17" spans="1:16" ht="25.5" x14ac:dyDescent="0.25">
      <c r="A17" s="15" t="s">
        <v>397</v>
      </c>
      <c r="B17" s="15" t="s">
        <v>398</v>
      </c>
      <c r="C17" s="15" t="s">
        <v>399</v>
      </c>
      <c r="D17" s="15" t="s">
        <v>400</v>
      </c>
      <c r="E17" s="15" t="s">
        <v>401</v>
      </c>
      <c r="F17" s="15" t="s">
        <v>402</v>
      </c>
      <c r="G17" s="5" t="s">
        <v>17</v>
      </c>
      <c r="H17" s="5" t="s">
        <v>403</v>
      </c>
      <c r="I17" s="15" t="s">
        <v>404</v>
      </c>
      <c r="J17" s="15" t="s">
        <v>353</v>
      </c>
      <c r="K17" s="15" t="s">
        <v>202</v>
      </c>
      <c r="L17" s="8" t="str">
        <f>IF($K17="","",IFERROR(IF(INDEX(Service_Providers!$C$2:$C$104,MATCH($K17,Service_Providers!$A$2:$A$104,0))="","",INDEX(Service_Providers!$C$2:$C$104,MATCH($K17,Service_Providers!$A$2:$A$104,0)))&amp;IF(AND(INDEX(Service_Providers!$C$2:$C$104,MATCH($K17,Service_Providers!$A$2:$A$104,0))&lt;&gt;"",INDEX(Service_Providers!$D$2:$D$104,MATCH($K17,Service_Providers!$A$2:$A$104,0))&lt;&gt;""),CHAR(10),"")&amp;IF(INDEX(Service_Providers!$D$2:$D$104,MATCH($K17,Service_Providers!$A$2:$A$104,0))="","",INDEX(Service_Providers!$D$2:$D$104,MATCH($K17,Service_Providers!$A$2:$A$104,0))),"Provider not found"))</f>
        <v>(800) 226-7146
service@priorityone247.com</v>
      </c>
      <c r="M17" s="15"/>
      <c r="N17" s="8" t="str">
        <f>IF($M17="","",IFERROR(IF(INDEX(Service_Providers!$C$2:$C$104,MATCH($M17,Service_Providers!$A$2:$A$104,0))="","",INDEX(Service_Providers!$C$2:$C$104,MATCH($M17,Service_Providers!$A$2:$A$104,0)))&amp;IF(AND(INDEX(Service_Providers!$C$2:$C$104,MATCH($M17,Service_Providers!$A$2:$A$104,0))&lt;&gt;"",INDEX(Service_Providers!$D$2:$D$104,MATCH($M17,Service_Providers!$A$2:$A$104,0))&lt;&gt;""),CHAR(10),"")&amp;IF(INDEX(Service_Providers!$D$2:$D$104,MATCH($M17,Service_Providers!$A$2:$A$104,0))="","",INDEX(Service_Providers!$D$2:$D$104,MATCH($M17,Service_Providers!$A$2:$A$104,0))),"Provider not found"))</f>
        <v/>
      </c>
      <c r="O17" s="15" t="s">
        <v>396</v>
      </c>
      <c r="P17" s="15" t="s">
        <v>58</v>
      </c>
    </row>
    <row r="18" spans="1:16" ht="25.5" x14ac:dyDescent="0.25">
      <c r="A18" s="15" t="s">
        <v>405</v>
      </c>
      <c r="B18" s="15" t="s">
        <v>406</v>
      </c>
      <c r="C18" s="15" t="s">
        <v>407</v>
      </c>
      <c r="D18" s="15" t="s">
        <v>408</v>
      </c>
      <c r="E18" s="15" t="s">
        <v>409</v>
      </c>
      <c r="F18" s="15" t="s">
        <v>410</v>
      </c>
      <c r="G18" s="5" t="s">
        <v>17</v>
      </c>
      <c r="H18" s="5" t="s">
        <v>411</v>
      </c>
      <c r="I18" s="15" t="s">
        <v>404</v>
      </c>
      <c r="J18" s="15" t="s">
        <v>353</v>
      </c>
      <c r="K18" s="15" t="s">
        <v>202</v>
      </c>
      <c r="L18" s="8" t="str">
        <f>IF($K18="","",IFERROR(IF(INDEX(Service_Providers!$C$2:$C$104,MATCH($K18,Service_Providers!$A$2:$A$104,0))="","",INDEX(Service_Providers!$C$2:$C$104,MATCH($K18,Service_Providers!$A$2:$A$104,0)))&amp;IF(AND(INDEX(Service_Providers!$C$2:$C$104,MATCH($K18,Service_Providers!$A$2:$A$104,0))&lt;&gt;"",INDEX(Service_Providers!$D$2:$D$104,MATCH($K18,Service_Providers!$A$2:$A$104,0))&lt;&gt;""),CHAR(10),"")&amp;IF(INDEX(Service_Providers!$D$2:$D$104,MATCH($K18,Service_Providers!$A$2:$A$104,0))="","",INDEX(Service_Providers!$D$2:$D$104,MATCH($K18,Service_Providers!$A$2:$A$104,0))),"Provider not found"))</f>
        <v>(800) 226-7146
service@priorityone247.com</v>
      </c>
      <c r="M18" s="15"/>
      <c r="N18" s="8" t="str">
        <f>IF($M18="","",IFERROR(IF(INDEX(Service_Providers!$C$2:$C$104,MATCH($M18,Service_Providers!$A$2:$A$104,0))="","",INDEX(Service_Providers!$C$2:$C$104,MATCH($M18,Service_Providers!$A$2:$A$104,0)))&amp;IF(AND(INDEX(Service_Providers!$C$2:$C$104,MATCH($M18,Service_Providers!$A$2:$A$104,0))&lt;&gt;"",INDEX(Service_Providers!$D$2:$D$104,MATCH($M18,Service_Providers!$A$2:$A$104,0))&lt;&gt;""),CHAR(10),"")&amp;IF(INDEX(Service_Providers!$D$2:$D$104,MATCH($M18,Service_Providers!$A$2:$A$104,0))="","",INDEX(Service_Providers!$D$2:$D$104,MATCH($M18,Service_Providers!$A$2:$A$104,0))),"Provider not found"))</f>
        <v/>
      </c>
      <c r="O18" s="15" t="s">
        <v>396</v>
      </c>
      <c r="P18" s="15" t="s">
        <v>58</v>
      </c>
    </row>
    <row r="19" spans="1:16" ht="25.5" x14ac:dyDescent="0.25">
      <c r="A19" s="15" t="s">
        <v>412</v>
      </c>
      <c r="B19" s="15" t="s">
        <v>413</v>
      </c>
      <c r="C19" s="15" t="s">
        <v>414</v>
      </c>
      <c r="D19" s="15" t="s">
        <v>415</v>
      </c>
      <c r="E19" s="15" t="s">
        <v>416</v>
      </c>
      <c r="F19" s="15" t="s">
        <v>417</v>
      </c>
      <c r="G19" s="5" t="s">
        <v>17</v>
      </c>
      <c r="H19" s="5" t="s">
        <v>418</v>
      </c>
      <c r="I19" s="15" t="s">
        <v>404</v>
      </c>
      <c r="J19" s="15" t="s">
        <v>353</v>
      </c>
      <c r="K19" s="15" t="s">
        <v>202</v>
      </c>
      <c r="L19" s="8" t="str">
        <f>IF($K19="","",IFERROR(IF(INDEX(Service_Providers!$C$2:$C$104,MATCH($K19,Service_Providers!$A$2:$A$104,0))="","",INDEX(Service_Providers!$C$2:$C$104,MATCH($K19,Service_Providers!$A$2:$A$104,0)))&amp;IF(AND(INDEX(Service_Providers!$C$2:$C$104,MATCH($K19,Service_Providers!$A$2:$A$104,0))&lt;&gt;"",INDEX(Service_Providers!$D$2:$D$104,MATCH($K19,Service_Providers!$A$2:$A$104,0))&lt;&gt;""),CHAR(10),"")&amp;IF(INDEX(Service_Providers!$D$2:$D$104,MATCH($K19,Service_Providers!$A$2:$A$104,0))="","",INDEX(Service_Providers!$D$2:$D$104,MATCH($K19,Service_Providers!$A$2:$A$104,0))),"Provider not found"))</f>
        <v>(800) 226-7146
service@priorityone247.com</v>
      </c>
      <c r="M19" s="15"/>
      <c r="N19" s="8" t="str">
        <f>IF($M19="","",IFERROR(IF(INDEX(Service_Providers!$C$2:$C$104,MATCH($M19,Service_Providers!$A$2:$A$104,0))="","",INDEX(Service_Providers!$C$2:$C$104,MATCH($M19,Service_Providers!$A$2:$A$104,0)))&amp;IF(AND(INDEX(Service_Providers!$C$2:$C$104,MATCH($M19,Service_Providers!$A$2:$A$104,0))&lt;&gt;"",INDEX(Service_Providers!$D$2:$D$104,MATCH($M19,Service_Providers!$A$2:$A$104,0))&lt;&gt;""),CHAR(10),"")&amp;IF(INDEX(Service_Providers!$D$2:$D$104,MATCH($M19,Service_Providers!$A$2:$A$104,0))="","",INDEX(Service_Providers!$D$2:$D$104,MATCH($M19,Service_Providers!$A$2:$A$104,0))),"Provider not found"))</f>
        <v/>
      </c>
      <c r="O19" s="15" t="s">
        <v>396</v>
      </c>
      <c r="P19" s="15" t="s">
        <v>58</v>
      </c>
    </row>
    <row r="20" spans="1:16" ht="25.5" x14ac:dyDescent="0.25">
      <c r="A20" s="15" t="s">
        <v>419</v>
      </c>
      <c r="B20" s="15" t="s">
        <v>420</v>
      </c>
      <c r="C20" s="15" t="s">
        <v>407</v>
      </c>
      <c r="D20" s="15" t="s">
        <v>421</v>
      </c>
      <c r="E20" s="15" t="s">
        <v>422</v>
      </c>
      <c r="F20" s="15" t="s">
        <v>423</v>
      </c>
      <c r="G20" s="5" t="s">
        <v>17</v>
      </c>
      <c r="H20" s="5" t="s">
        <v>424</v>
      </c>
      <c r="I20" s="15" t="s">
        <v>404</v>
      </c>
      <c r="J20" s="15" t="s">
        <v>353</v>
      </c>
      <c r="K20" s="15" t="s">
        <v>202</v>
      </c>
      <c r="L20" s="8" t="str">
        <f>IF($K20="","",IFERROR(IF(INDEX(Service_Providers!$C$2:$C$104,MATCH($K20,Service_Providers!$A$2:$A$104,0))="","",INDEX(Service_Providers!$C$2:$C$104,MATCH($K20,Service_Providers!$A$2:$A$104,0)))&amp;IF(AND(INDEX(Service_Providers!$C$2:$C$104,MATCH($K20,Service_Providers!$A$2:$A$104,0))&lt;&gt;"",INDEX(Service_Providers!$D$2:$D$104,MATCH($K20,Service_Providers!$A$2:$A$104,0))&lt;&gt;""),CHAR(10),"")&amp;IF(INDEX(Service_Providers!$D$2:$D$104,MATCH($K20,Service_Providers!$A$2:$A$104,0))="","",INDEX(Service_Providers!$D$2:$D$104,MATCH($K20,Service_Providers!$A$2:$A$104,0))),"Provider not found"))</f>
        <v>(800) 226-7146
service@priorityone247.com</v>
      </c>
      <c r="M20" s="15"/>
      <c r="N20" s="8" t="str">
        <f>IF($M20="","",IFERROR(IF(INDEX(Service_Providers!$C$2:$C$104,MATCH($M20,Service_Providers!$A$2:$A$104,0))="","",INDEX(Service_Providers!$C$2:$C$104,MATCH($M20,Service_Providers!$A$2:$A$104,0)))&amp;IF(AND(INDEX(Service_Providers!$C$2:$C$104,MATCH($M20,Service_Providers!$A$2:$A$104,0))&lt;&gt;"",INDEX(Service_Providers!$D$2:$D$104,MATCH($M20,Service_Providers!$A$2:$A$104,0))&lt;&gt;""),CHAR(10),"")&amp;IF(INDEX(Service_Providers!$D$2:$D$104,MATCH($M20,Service_Providers!$A$2:$A$104,0))="","",INDEX(Service_Providers!$D$2:$D$104,MATCH($M20,Service_Providers!$A$2:$A$104,0))),"Provider not found"))</f>
        <v/>
      </c>
      <c r="O20" s="15" t="s">
        <v>396</v>
      </c>
      <c r="P20" s="15" t="s">
        <v>58</v>
      </c>
    </row>
    <row r="21" spans="1:16" ht="25.5" x14ac:dyDescent="0.25">
      <c r="A21" s="15" t="s">
        <v>425</v>
      </c>
      <c r="B21" s="15" t="s">
        <v>426</v>
      </c>
      <c r="C21" s="15" t="s">
        <v>427</v>
      </c>
      <c r="D21" s="15" t="s">
        <v>428</v>
      </c>
      <c r="E21" s="15" t="s">
        <v>429</v>
      </c>
      <c r="F21" s="15" t="s">
        <v>393</v>
      </c>
      <c r="G21" s="5" t="s">
        <v>17</v>
      </c>
      <c r="H21" s="5" t="s">
        <v>394</v>
      </c>
      <c r="I21" s="15" t="s">
        <v>430</v>
      </c>
      <c r="J21" s="15" t="s">
        <v>353</v>
      </c>
      <c r="K21" s="15" t="s">
        <v>202</v>
      </c>
      <c r="L21" s="8" t="str">
        <f>IF($K21="","",IFERROR(IF(INDEX(Service_Providers!$C$2:$C$104,MATCH($K21,Service_Providers!$A$2:$A$104,0))="","",INDEX(Service_Providers!$C$2:$C$104,MATCH($K21,Service_Providers!$A$2:$A$104,0)))&amp;IF(AND(INDEX(Service_Providers!$C$2:$C$104,MATCH($K21,Service_Providers!$A$2:$A$104,0))&lt;&gt;"",INDEX(Service_Providers!$D$2:$D$104,MATCH($K21,Service_Providers!$A$2:$A$104,0))&lt;&gt;""),CHAR(10),"")&amp;IF(INDEX(Service_Providers!$D$2:$D$104,MATCH($K21,Service_Providers!$A$2:$A$104,0))="","",INDEX(Service_Providers!$D$2:$D$104,MATCH($K21,Service_Providers!$A$2:$A$104,0))),"Provider not found"))</f>
        <v>(800) 226-7146
service@priorityone247.com</v>
      </c>
      <c r="M21" s="15"/>
      <c r="N21" s="8" t="str">
        <f>IF($M21="","",IFERROR(IF(INDEX(Service_Providers!$C$2:$C$104,MATCH($M21,Service_Providers!$A$2:$A$104,0))="","",INDEX(Service_Providers!$C$2:$C$104,MATCH($M21,Service_Providers!$A$2:$A$104,0)))&amp;IF(AND(INDEX(Service_Providers!$C$2:$C$104,MATCH($M21,Service_Providers!$A$2:$A$104,0))&lt;&gt;"",INDEX(Service_Providers!$D$2:$D$104,MATCH($M21,Service_Providers!$A$2:$A$104,0))&lt;&gt;""),CHAR(10),"")&amp;IF(INDEX(Service_Providers!$D$2:$D$104,MATCH($M21,Service_Providers!$A$2:$A$104,0))="","",INDEX(Service_Providers!$D$2:$D$104,MATCH($M21,Service_Providers!$A$2:$A$104,0))),"Provider not found"))</f>
        <v/>
      </c>
      <c r="O21" s="15" t="s">
        <v>396</v>
      </c>
      <c r="P21" s="15" t="s">
        <v>58</v>
      </c>
    </row>
    <row r="22" spans="1:16" ht="25.5" x14ac:dyDescent="0.25">
      <c r="A22" s="15" t="s">
        <v>431</v>
      </c>
      <c r="B22" s="15" t="s">
        <v>432</v>
      </c>
      <c r="C22" s="15"/>
      <c r="D22" s="15" t="s">
        <v>433</v>
      </c>
      <c r="E22" s="15" t="s">
        <v>434</v>
      </c>
      <c r="F22" s="15" t="s">
        <v>435</v>
      </c>
      <c r="G22" s="5" t="s">
        <v>18</v>
      </c>
      <c r="H22" s="5" t="s">
        <v>436</v>
      </c>
      <c r="I22" s="15" t="s">
        <v>437</v>
      </c>
      <c r="J22" s="15" t="s">
        <v>438</v>
      </c>
      <c r="K22" s="15" t="s">
        <v>202</v>
      </c>
      <c r="L22" s="8" t="str">
        <f>IF($K22="","",IFERROR(IF(INDEX(Service_Providers!$C$2:$C$104,MATCH($K22,Service_Providers!$A$2:$A$104,0))="","",INDEX(Service_Providers!$C$2:$C$104,MATCH($K22,Service_Providers!$A$2:$A$104,0)))&amp;IF(AND(INDEX(Service_Providers!$C$2:$C$104,MATCH($K22,Service_Providers!$A$2:$A$104,0))&lt;&gt;"",INDEX(Service_Providers!$D$2:$D$104,MATCH($K22,Service_Providers!$A$2:$A$104,0))&lt;&gt;""),CHAR(10),"")&amp;IF(INDEX(Service_Providers!$D$2:$D$104,MATCH($K22,Service_Providers!$A$2:$A$104,0))="","",INDEX(Service_Providers!$D$2:$D$104,MATCH($K22,Service_Providers!$A$2:$A$104,0))),"Provider not found"))</f>
        <v>(800) 226-7146
service@priorityone247.com</v>
      </c>
      <c r="M22" s="15"/>
      <c r="N22" s="8" t="str">
        <f>IF($M22="","",IFERROR(IF(INDEX(Service_Providers!$C$2:$C$104,MATCH($M22,Service_Providers!$A$2:$A$104,0))="","",INDEX(Service_Providers!$C$2:$C$104,MATCH($M22,Service_Providers!$A$2:$A$104,0)))&amp;IF(AND(INDEX(Service_Providers!$C$2:$C$104,MATCH($M22,Service_Providers!$A$2:$A$104,0))&lt;&gt;"",INDEX(Service_Providers!$D$2:$D$104,MATCH($M22,Service_Providers!$A$2:$A$104,0))&lt;&gt;""),CHAR(10),"")&amp;IF(INDEX(Service_Providers!$D$2:$D$104,MATCH($M22,Service_Providers!$A$2:$A$104,0))="","",INDEX(Service_Providers!$D$2:$D$104,MATCH($M22,Service_Providers!$A$2:$A$104,0))),"Provider not found"))</f>
        <v/>
      </c>
      <c r="O22" s="15" t="s">
        <v>439</v>
      </c>
      <c r="P22" s="15" t="s">
        <v>58</v>
      </c>
    </row>
    <row r="23" spans="1:16" ht="25.5" x14ac:dyDescent="0.25">
      <c r="A23" s="15" t="s">
        <v>440</v>
      </c>
      <c r="B23" s="15" t="s">
        <v>441</v>
      </c>
      <c r="C23" s="15" t="s">
        <v>442</v>
      </c>
      <c r="D23" s="15" t="s">
        <v>443</v>
      </c>
      <c r="E23" s="15" t="s">
        <v>444</v>
      </c>
      <c r="F23" s="15" t="s">
        <v>445</v>
      </c>
      <c r="G23" s="5" t="s">
        <v>19</v>
      </c>
      <c r="H23" s="5" t="s">
        <v>446</v>
      </c>
      <c r="I23" s="15" t="s">
        <v>447</v>
      </c>
      <c r="J23" s="15" t="s">
        <v>353</v>
      </c>
      <c r="K23" s="15" t="s">
        <v>66</v>
      </c>
      <c r="L23" s="8" t="str">
        <f>IF($K23="","",IFERROR(IF(INDEX(Service_Providers!$C$2:$C$104,MATCH($K23,Service_Providers!$A$2:$A$104,0))="","",INDEX(Service_Providers!$C$2:$C$104,MATCH($K23,Service_Providers!$A$2:$A$104,0)))&amp;IF(AND(INDEX(Service_Providers!$C$2:$C$104,MATCH($K23,Service_Providers!$A$2:$A$104,0))&lt;&gt;"",INDEX(Service_Providers!$D$2:$D$104,MATCH($K23,Service_Providers!$A$2:$A$104,0))&lt;&gt;""),CHAR(10),"")&amp;IF(INDEX(Service_Providers!$D$2:$D$104,MATCH($K23,Service_Providers!$A$2:$A$104,0))="","",INDEX(Service_Providers!$D$2:$D$104,MATCH($K23,Service_Providers!$A$2:$A$104,0))),"Provider not found"))</f>
        <v>754.205.5076
service@allespressoservice.com</v>
      </c>
      <c r="M23" s="15" t="s">
        <v>156</v>
      </c>
      <c r="N23" s="8" t="str">
        <f>IF($M23="","",IFERROR(IF(INDEX(Service_Providers!$C$2:$C$104,MATCH($M23,Service_Providers!$A$2:$A$104,0))="","",INDEX(Service_Providers!$C$2:$C$104,MATCH($M23,Service_Providers!$A$2:$A$104,0)))&amp;IF(AND(INDEX(Service_Providers!$C$2:$C$104,MATCH($M23,Service_Providers!$A$2:$A$104,0))&lt;&gt;"",INDEX(Service_Providers!$D$2:$D$104,MATCH($M23,Service_Providers!$A$2:$A$104,0))&lt;&gt;""),CHAR(10),"")&amp;IF(INDEX(Service_Providers!$D$2:$D$104,MATCH($M23,Service_Providers!$A$2:$A$104,0))="","",INDEX(Service_Providers!$D$2:$D$104,MATCH($M23,Service_Providers!$A$2:$A$104,0))),"Provider not found"))</f>
        <v>352 442 2506
sam.mendez@jaguarcoffee.com</v>
      </c>
      <c r="O23" s="15" t="s">
        <v>448</v>
      </c>
      <c r="P23" s="15" t="s">
        <v>58</v>
      </c>
    </row>
    <row r="24" spans="1:16" ht="25.5" x14ac:dyDescent="0.25">
      <c r="A24" s="15" t="s">
        <v>449</v>
      </c>
      <c r="B24" s="15" t="s">
        <v>450</v>
      </c>
      <c r="C24" s="15" t="s">
        <v>451</v>
      </c>
      <c r="D24" s="15" t="s">
        <v>452</v>
      </c>
      <c r="E24" s="15" t="s">
        <v>453</v>
      </c>
      <c r="F24" s="15" t="s">
        <v>454</v>
      </c>
      <c r="G24" s="5" t="s">
        <v>19</v>
      </c>
      <c r="H24" s="5" t="s">
        <v>455</v>
      </c>
      <c r="I24" s="15" t="s">
        <v>456</v>
      </c>
      <c r="J24" s="15" t="s">
        <v>353</v>
      </c>
      <c r="K24" s="15" t="s">
        <v>156</v>
      </c>
      <c r="L24" s="8" t="str">
        <f>IF($K24="","",IFERROR(IF(INDEX(Service_Providers!$C$2:$C$104,MATCH($K24,Service_Providers!$A$2:$A$104,0))="","",INDEX(Service_Providers!$C$2:$C$104,MATCH($K24,Service_Providers!$A$2:$A$104,0)))&amp;IF(AND(INDEX(Service_Providers!$C$2:$C$104,MATCH($K24,Service_Providers!$A$2:$A$104,0))&lt;&gt;"",INDEX(Service_Providers!$D$2:$D$104,MATCH($K24,Service_Providers!$A$2:$A$104,0))&lt;&gt;""),CHAR(10),"")&amp;IF(INDEX(Service_Providers!$D$2:$D$104,MATCH($K24,Service_Providers!$A$2:$A$104,0))="","",INDEX(Service_Providers!$D$2:$D$104,MATCH($K24,Service_Providers!$A$2:$A$104,0))),"Provider not found"))</f>
        <v>352 442 2506
sam.mendez@jaguarcoffee.com</v>
      </c>
      <c r="M24" s="15"/>
      <c r="N24" s="8" t="str">
        <f>IF($M24="","",IFERROR(IF(INDEX(Service_Providers!$C$2:$C$104,MATCH($M24,Service_Providers!$A$2:$A$104,0))="","",INDEX(Service_Providers!$C$2:$C$104,MATCH($M24,Service_Providers!$A$2:$A$104,0)))&amp;IF(AND(INDEX(Service_Providers!$C$2:$C$104,MATCH($M24,Service_Providers!$A$2:$A$104,0))&lt;&gt;"",INDEX(Service_Providers!$D$2:$D$104,MATCH($M24,Service_Providers!$A$2:$A$104,0))&lt;&gt;""),CHAR(10),"")&amp;IF(INDEX(Service_Providers!$D$2:$D$104,MATCH($M24,Service_Providers!$A$2:$A$104,0))="","",INDEX(Service_Providers!$D$2:$D$104,MATCH($M24,Service_Providers!$A$2:$A$104,0))),"Provider not found"))</f>
        <v/>
      </c>
      <c r="O24" s="15" t="s">
        <v>448</v>
      </c>
      <c r="P24" s="15" t="s">
        <v>58</v>
      </c>
    </row>
    <row r="25" spans="1:16" ht="25.5" x14ac:dyDescent="0.25">
      <c r="A25" s="15" t="s">
        <v>457</v>
      </c>
      <c r="B25" s="15" t="s">
        <v>458</v>
      </c>
      <c r="C25" s="15" t="s">
        <v>459</v>
      </c>
      <c r="D25" s="15" t="s">
        <v>460</v>
      </c>
      <c r="E25" s="15" t="s">
        <v>461</v>
      </c>
      <c r="F25" s="15" t="s">
        <v>462</v>
      </c>
      <c r="G25" s="5" t="s">
        <v>19</v>
      </c>
      <c r="H25" s="5" t="s">
        <v>463</v>
      </c>
      <c r="I25" s="15" t="s">
        <v>456</v>
      </c>
      <c r="J25" s="15" t="s">
        <v>353</v>
      </c>
      <c r="K25" s="15" t="s">
        <v>156</v>
      </c>
      <c r="L25" s="8" t="str">
        <f>IF($K25="","",IFERROR(IF(INDEX(Service_Providers!$C$2:$C$104,MATCH($K25,Service_Providers!$A$2:$A$104,0))="","",INDEX(Service_Providers!$C$2:$C$104,MATCH($K25,Service_Providers!$A$2:$A$104,0)))&amp;IF(AND(INDEX(Service_Providers!$C$2:$C$104,MATCH($K25,Service_Providers!$A$2:$A$104,0))&lt;&gt;"",INDEX(Service_Providers!$D$2:$D$104,MATCH($K25,Service_Providers!$A$2:$A$104,0))&lt;&gt;""),CHAR(10),"")&amp;IF(INDEX(Service_Providers!$D$2:$D$104,MATCH($K25,Service_Providers!$A$2:$A$104,0))="","",INDEX(Service_Providers!$D$2:$D$104,MATCH($K25,Service_Providers!$A$2:$A$104,0))),"Provider not found"))</f>
        <v>352 442 2506
sam.mendez@jaguarcoffee.com</v>
      </c>
      <c r="M25" s="15"/>
      <c r="N25" s="8" t="str">
        <f>IF($M25="","",IFERROR(IF(INDEX(Service_Providers!$C$2:$C$104,MATCH($M25,Service_Providers!$A$2:$A$104,0))="","",INDEX(Service_Providers!$C$2:$C$104,MATCH($M25,Service_Providers!$A$2:$A$104,0)))&amp;IF(AND(INDEX(Service_Providers!$C$2:$C$104,MATCH($M25,Service_Providers!$A$2:$A$104,0))&lt;&gt;"",INDEX(Service_Providers!$D$2:$D$104,MATCH($M25,Service_Providers!$A$2:$A$104,0))&lt;&gt;""),CHAR(10),"")&amp;IF(INDEX(Service_Providers!$D$2:$D$104,MATCH($M25,Service_Providers!$A$2:$A$104,0))="","",INDEX(Service_Providers!$D$2:$D$104,MATCH($M25,Service_Providers!$A$2:$A$104,0))),"Provider not found"))</f>
        <v/>
      </c>
      <c r="O25" s="15" t="s">
        <v>448</v>
      </c>
      <c r="P25" s="15" t="s">
        <v>58</v>
      </c>
    </row>
    <row r="26" spans="1:16" ht="25.5" x14ac:dyDescent="0.25">
      <c r="A26" s="15" t="s">
        <v>464</v>
      </c>
      <c r="B26" s="15" t="s">
        <v>465</v>
      </c>
      <c r="C26" s="15" t="s">
        <v>466</v>
      </c>
      <c r="D26" s="15" t="s">
        <v>467</v>
      </c>
      <c r="E26" s="15" t="s">
        <v>468</v>
      </c>
      <c r="F26" s="15" t="s">
        <v>469</v>
      </c>
      <c r="G26" s="5" t="s">
        <v>19</v>
      </c>
      <c r="H26" s="5" t="s">
        <v>470</v>
      </c>
      <c r="I26" s="15" t="s">
        <v>456</v>
      </c>
      <c r="J26" s="15" t="s">
        <v>353</v>
      </c>
      <c r="K26" s="15" t="s">
        <v>156</v>
      </c>
      <c r="L26" s="8" t="str">
        <f>IF($K26="","",IFERROR(IF(INDEX(Service_Providers!$C$2:$C$104,MATCH($K26,Service_Providers!$A$2:$A$104,0))="","",INDEX(Service_Providers!$C$2:$C$104,MATCH($K26,Service_Providers!$A$2:$A$104,0)))&amp;IF(AND(INDEX(Service_Providers!$C$2:$C$104,MATCH($K26,Service_Providers!$A$2:$A$104,0))&lt;&gt;"",INDEX(Service_Providers!$D$2:$D$104,MATCH($K26,Service_Providers!$A$2:$A$104,0))&lt;&gt;""),CHAR(10),"")&amp;IF(INDEX(Service_Providers!$D$2:$D$104,MATCH($K26,Service_Providers!$A$2:$A$104,0))="","",INDEX(Service_Providers!$D$2:$D$104,MATCH($K26,Service_Providers!$A$2:$A$104,0))),"Provider not found"))</f>
        <v>352 442 2506
sam.mendez@jaguarcoffee.com</v>
      </c>
      <c r="M26" s="15"/>
      <c r="N26" s="8" t="str">
        <f>IF($M26="","",IFERROR(IF(INDEX(Service_Providers!$C$2:$C$104,MATCH($M26,Service_Providers!$A$2:$A$104,0))="","",INDEX(Service_Providers!$C$2:$C$104,MATCH($M26,Service_Providers!$A$2:$A$104,0)))&amp;IF(AND(INDEX(Service_Providers!$C$2:$C$104,MATCH($M26,Service_Providers!$A$2:$A$104,0))&lt;&gt;"",INDEX(Service_Providers!$D$2:$D$104,MATCH($M26,Service_Providers!$A$2:$A$104,0))&lt;&gt;""),CHAR(10),"")&amp;IF(INDEX(Service_Providers!$D$2:$D$104,MATCH($M26,Service_Providers!$A$2:$A$104,0))="","",INDEX(Service_Providers!$D$2:$D$104,MATCH($M26,Service_Providers!$A$2:$A$104,0))),"Provider not found"))</f>
        <v/>
      </c>
      <c r="O26" s="15" t="s">
        <v>448</v>
      </c>
      <c r="P26" s="15" t="s">
        <v>58</v>
      </c>
    </row>
    <row r="27" spans="1:16" ht="25.5" x14ac:dyDescent="0.25">
      <c r="A27" s="15" t="s">
        <v>471</v>
      </c>
      <c r="B27" s="15" t="s">
        <v>472</v>
      </c>
      <c r="C27" s="15" t="s">
        <v>473</v>
      </c>
      <c r="D27" s="15" t="s">
        <v>474</v>
      </c>
      <c r="E27" s="15" t="s">
        <v>475</v>
      </c>
      <c r="F27" s="15" t="s">
        <v>476</v>
      </c>
      <c r="G27" s="5" t="s">
        <v>19</v>
      </c>
      <c r="H27" s="5" t="s">
        <v>477</v>
      </c>
      <c r="I27" s="15" t="s">
        <v>447</v>
      </c>
      <c r="J27" s="15" t="s">
        <v>353</v>
      </c>
      <c r="K27" s="15" t="s">
        <v>156</v>
      </c>
      <c r="L27" s="8" t="str">
        <f>IF($K27="","",IFERROR(IF(INDEX(Service_Providers!$C$2:$C$104,MATCH($K27,Service_Providers!$A$2:$A$104,0))="","",INDEX(Service_Providers!$C$2:$C$104,MATCH($K27,Service_Providers!$A$2:$A$104,0)))&amp;IF(AND(INDEX(Service_Providers!$C$2:$C$104,MATCH($K27,Service_Providers!$A$2:$A$104,0))&lt;&gt;"",INDEX(Service_Providers!$D$2:$D$104,MATCH($K27,Service_Providers!$A$2:$A$104,0))&lt;&gt;""),CHAR(10),"")&amp;IF(INDEX(Service_Providers!$D$2:$D$104,MATCH($K27,Service_Providers!$A$2:$A$104,0))="","",INDEX(Service_Providers!$D$2:$D$104,MATCH($K27,Service_Providers!$A$2:$A$104,0))),"Provider not found"))</f>
        <v>352 442 2506
sam.mendez@jaguarcoffee.com</v>
      </c>
      <c r="M27" s="15"/>
      <c r="N27" s="8" t="str">
        <f>IF($M27="","",IFERROR(IF(INDEX(Service_Providers!$C$2:$C$104,MATCH($M27,Service_Providers!$A$2:$A$104,0))="","",INDEX(Service_Providers!$C$2:$C$104,MATCH($M27,Service_Providers!$A$2:$A$104,0)))&amp;IF(AND(INDEX(Service_Providers!$C$2:$C$104,MATCH($M27,Service_Providers!$A$2:$A$104,0))&lt;&gt;"",INDEX(Service_Providers!$D$2:$D$104,MATCH($M27,Service_Providers!$A$2:$A$104,0))&lt;&gt;""),CHAR(10),"")&amp;IF(INDEX(Service_Providers!$D$2:$D$104,MATCH($M27,Service_Providers!$A$2:$A$104,0))="","",INDEX(Service_Providers!$D$2:$D$104,MATCH($M27,Service_Providers!$A$2:$A$104,0))),"Provider not found"))</f>
        <v/>
      </c>
      <c r="O27" s="15" t="s">
        <v>448</v>
      </c>
      <c r="P27" s="15" t="s">
        <v>58</v>
      </c>
    </row>
    <row r="28" spans="1:16" ht="25.5" x14ac:dyDescent="0.25">
      <c r="A28" s="15" t="s">
        <v>478</v>
      </c>
      <c r="B28" s="15" t="s">
        <v>479</v>
      </c>
      <c r="C28" s="15" t="s">
        <v>480</v>
      </c>
      <c r="D28" s="15" t="s">
        <v>481</v>
      </c>
      <c r="E28" s="15" t="s">
        <v>482</v>
      </c>
      <c r="F28" s="15" t="s">
        <v>483</v>
      </c>
      <c r="G28" s="5" t="s">
        <v>19</v>
      </c>
      <c r="H28" s="5" t="s">
        <v>484</v>
      </c>
      <c r="I28" s="15" t="s">
        <v>456</v>
      </c>
      <c r="J28" s="15" t="s">
        <v>353</v>
      </c>
      <c r="K28" s="15" t="s">
        <v>156</v>
      </c>
      <c r="L28" s="8" t="str">
        <f>IF($K28="","",IFERROR(IF(INDEX(Service_Providers!$C$2:$C$104,MATCH($K28,Service_Providers!$A$2:$A$104,0))="","",INDEX(Service_Providers!$C$2:$C$104,MATCH($K28,Service_Providers!$A$2:$A$104,0)))&amp;IF(AND(INDEX(Service_Providers!$C$2:$C$104,MATCH($K28,Service_Providers!$A$2:$A$104,0))&lt;&gt;"",INDEX(Service_Providers!$D$2:$D$104,MATCH($K28,Service_Providers!$A$2:$A$104,0))&lt;&gt;""),CHAR(10),"")&amp;IF(INDEX(Service_Providers!$D$2:$D$104,MATCH($K28,Service_Providers!$A$2:$A$104,0))="","",INDEX(Service_Providers!$D$2:$D$104,MATCH($K28,Service_Providers!$A$2:$A$104,0))),"Provider not found"))</f>
        <v>352 442 2506
sam.mendez@jaguarcoffee.com</v>
      </c>
      <c r="M28" s="15"/>
      <c r="N28" s="8" t="str">
        <f>IF($M28="","",IFERROR(IF(INDEX(Service_Providers!$C$2:$C$104,MATCH($M28,Service_Providers!$A$2:$A$104,0))="","",INDEX(Service_Providers!$C$2:$C$104,MATCH($M28,Service_Providers!$A$2:$A$104,0)))&amp;IF(AND(INDEX(Service_Providers!$C$2:$C$104,MATCH($M28,Service_Providers!$A$2:$A$104,0))&lt;&gt;"",INDEX(Service_Providers!$D$2:$D$104,MATCH($M28,Service_Providers!$A$2:$A$104,0))&lt;&gt;""),CHAR(10),"")&amp;IF(INDEX(Service_Providers!$D$2:$D$104,MATCH($M28,Service_Providers!$A$2:$A$104,0))="","",INDEX(Service_Providers!$D$2:$D$104,MATCH($M28,Service_Providers!$A$2:$A$104,0))),"Provider not found"))</f>
        <v/>
      </c>
      <c r="O28" s="15" t="s">
        <v>448</v>
      </c>
      <c r="P28" s="15" t="s">
        <v>58</v>
      </c>
    </row>
    <row r="29" spans="1:16" ht="51" x14ac:dyDescent="0.25">
      <c r="A29" s="15" t="s">
        <v>485</v>
      </c>
      <c r="B29" s="15" t="s">
        <v>486</v>
      </c>
      <c r="C29" s="15"/>
      <c r="D29" s="15" t="s">
        <v>487</v>
      </c>
      <c r="E29" s="15" t="s">
        <v>488</v>
      </c>
      <c r="F29" s="15" t="s">
        <v>489</v>
      </c>
      <c r="G29" s="5" t="s">
        <v>19</v>
      </c>
      <c r="H29" s="5" t="s">
        <v>490</v>
      </c>
      <c r="I29" s="15" t="s">
        <v>491</v>
      </c>
      <c r="J29" s="15" t="s">
        <v>492</v>
      </c>
      <c r="K29" s="15" t="s">
        <v>66</v>
      </c>
      <c r="L29" s="8" t="str">
        <f>IF($K29="","",IFERROR(IF(INDEX(Service_Providers!$C$2:$C$104,MATCH($K29,Service_Providers!$A$2:$A$104,0))="","",INDEX(Service_Providers!$C$2:$C$104,MATCH($K29,Service_Providers!$A$2:$A$104,0)))&amp;IF(AND(INDEX(Service_Providers!$C$2:$C$104,MATCH($K29,Service_Providers!$A$2:$A$104,0))&lt;&gt;"",INDEX(Service_Providers!$D$2:$D$104,MATCH($K29,Service_Providers!$A$2:$A$104,0))&lt;&gt;""),CHAR(10),"")&amp;IF(INDEX(Service_Providers!$D$2:$D$104,MATCH($K29,Service_Providers!$A$2:$A$104,0))="","",INDEX(Service_Providers!$D$2:$D$104,MATCH($K29,Service_Providers!$A$2:$A$104,0))),"Provider not found"))</f>
        <v>754.205.5076
service@allespressoservice.com</v>
      </c>
      <c r="M29" s="15"/>
      <c r="N29" s="8" t="str">
        <f>IF($M29="","",IFERROR(IF(INDEX(Service_Providers!$C$2:$C$104,MATCH($M29,Service_Providers!$A$2:$A$104,0))="","",INDEX(Service_Providers!$C$2:$C$104,MATCH($M29,Service_Providers!$A$2:$A$104,0)))&amp;IF(AND(INDEX(Service_Providers!$C$2:$C$104,MATCH($M29,Service_Providers!$A$2:$A$104,0))&lt;&gt;"",INDEX(Service_Providers!$D$2:$D$104,MATCH($M29,Service_Providers!$A$2:$A$104,0))&lt;&gt;""),CHAR(10),"")&amp;IF(INDEX(Service_Providers!$D$2:$D$104,MATCH($M29,Service_Providers!$A$2:$A$104,0))="","",INDEX(Service_Providers!$D$2:$D$104,MATCH($M29,Service_Providers!$A$2:$A$104,0))),"Provider not found"))</f>
        <v/>
      </c>
      <c r="O29" s="15" t="s">
        <v>448</v>
      </c>
      <c r="P29" s="15" t="s">
        <v>58</v>
      </c>
    </row>
    <row r="30" spans="1:16" ht="25.5" x14ac:dyDescent="0.25">
      <c r="A30" s="15" t="s">
        <v>493</v>
      </c>
      <c r="B30" s="15" t="s">
        <v>494</v>
      </c>
      <c r="C30" s="15"/>
      <c r="D30" s="15" t="s">
        <v>495</v>
      </c>
      <c r="E30" s="15" t="s">
        <v>496</v>
      </c>
      <c r="F30" s="15" t="s">
        <v>497</v>
      </c>
      <c r="G30" s="5" t="s">
        <v>19</v>
      </c>
      <c r="H30" s="5">
        <v>33131</v>
      </c>
      <c r="I30" s="15" t="s">
        <v>498</v>
      </c>
      <c r="J30" s="15" t="s">
        <v>438</v>
      </c>
      <c r="K30" s="15" t="s">
        <v>66</v>
      </c>
      <c r="L30" s="8" t="str">
        <f>IF($K30="","",IFERROR(IF(INDEX(Service_Providers!$C$2:$C$104,MATCH($K30,Service_Providers!$A$2:$A$104,0))="","",INDEX(Service_Providers!$C$2:$C$104,MATCH($K30,Service_Providers!$A$2:$A$104,0)))&amp;IF(AND(INDEX(Service_Providers!$C$2:$C$104,MATCH($K30,Service_Providers!$A$2:$A$104,0))&lt;&gt;"",INDEX(Service_Providers!$D$2:$D$104,MATCH($K30,Service_Providers!$A$2:$A$104,0))&lt;&gt;""),CHAR(10),"")&amp;IF(INDEX(Service_Providers!$D$2:$D$104,MATCH($K30,Service_Providers!$A$2:$A$104,0))="","",INDEX(Service_Providers!$D$2:$D$104,MATCH($K30,Service_Providers!$A$2:$A$104,0))),"Provider not found"))</f>
        <v>754.205.5076
service@allespressoservice.com</v>
      </c>
      <c r="M30" s="15"/>
      <c r="N30" s="8" t="str">
        <f>IF($M30="","",IFERROR(IF(INDEX(Service_Providers!$C$2:$C$104,MATCH($M30,Service_Providers!$A$2:$A$104,0))="","",INDEX(Service_Providers!$C$2:$C$104,MATCH($M30,Service_Providers!$A$2:$A$104,0)))&amp;IF(AND(INDEX(Service_Providers!$C$2:$C$104,MATCH($M30,Service_Providers!$A$2:$A$104,0))&lt;&gt;"",INDEX(Service_Providers!$D$2:$D$104,MATCH($M30,Service_Providers!$A$2:$A$104,0))&lt;&gt;""),CHAR(10),"")&amp;IF(INDEX(Service_Providers!$D$2:$D$104,MATCH($M30,Service_Providers!$A$2:$A$104,0))="","",INDEX(Service_Providers!$D$2:$D$104,MATCH($M30,Service_Providers!$A$2:$A$104,0))),"Provider not found"))</f>
        <v/>
      </c>
      <c r="O30" s="15" t="s">
        <v>448</v>
      </c>
      <c r="P30" s="15" t="s">
        <v>58</v>
      </c>
    </row>
    <row r="31" spans="1:16" ht="25.5" x14ac:dyDescent="0.25">
      <c r="A31" s="15" t="s">
        <v>499</v>
      </c>
      <c r="B31" s="15" t="s">
        <v>500</v>
      </c>
      <c r="C31" s="15"/>
      <c r="D31" s="15" t="s">
        <v>501</v>
      </c>
      <c r="E31" s="15" t="s">
        <v>502</v>
      </c>
      <c r="F31" s="15" t="s">
        <v>503</v>
      </c>
      <c r="G31" s="5" t="s">
        <v>19</v>
      </c>
      <c r="H31" s="5" t="s">
        <v>504</v>
      </c>
      <c r="I31" s="15" t="s">
        <v>505</v>
      </c>
      <c r="J31" s="15" t="s">
        <v>438</v>
      </c>
      <c r="K31" s="15" t="s">
        <v>66</v>
      </c>
      <c r="L31" s="8" t="str">
        <f>IF($K31="","",IFERROR(IF(INDEX(Service_Providers!$C$2:$C$104,MATCH($K31,Service_Providers!$A$2:$A$104,0))="","",INDEX(Service_Providers!$C$2:$C$104,MATCH($K31,Service_Providers!$A$2:$A$104,0)))&amp;IF(AND(INDEX(Service_Providers!$C$2:$C$104,MATCH($K31,Service_Providers!$A$2:$A$104,0))&lt;&gt;"",INDEX(Service_Providers!$D$2:$D$104,MATCH($K31,Service_Providers!$A$2:$A$104,0))&lt;&gt;""),CHAR(10),"")&amp;IF(INDEX(Service_Providers!$D$2:$D$104,MATCH($K31,Service_Providers!$A$2:$A$104,0))="","",INDEX(Service_Providers!$D$2:$D$104,MATCH($K31,Service_Providers!$A$2:$A$104,0))),"Provider not found"))</f>
        <v>754.205.5076
service@allespressoservice.com</v>
      </c>
      <c r="M31" s="15"/>
      <c r="N31" s="8" t="str">
        <f>IF($M31="","",IFERROR(IF(INDEX(Service_Providers!$C$2:$C$104,MATCH($M31,Service_Providers!$A$2:$A$104,0))="","",INDEX(Service_Providers!$C$2:$C$104,MATCH($M31,Service_Providers!$A$2:$A$104,0)))&amp;IF(AND(INDEX(Service_Providers!$C$2:$C$104,MATCH($M31,Service_Providers!$A$2:$A$104,0))&lt;&gt;"",INDEX(Service_Providers!$D$2:$D$104,MATCH($M31,Service_Providers!$A$2:$A$104,0))&lt;&gt;""),CHAR(10),"")&amp;IF(INDEX(Service_Providers!$D$2:$D$104,MATCH($M31,Service_Providers!$A$2:$A$104,0))="","",INDEX(Service_Providers!$D$2:$D$104,MATCH($M31,Service_Providers!$A$2:$A$104,0))),"Provider not found"))</f>
        <v/>
      </c>
      <c r="O31" s="15" t="s">
        <v>448</v>
      </c>
      <c r="P31" s="15" t="s">
        <v>58</v>
      </c>
    </row>
    <row r="32" spans="1:16" ht="25.5" x14ac:dyDescent="0.25">
      <c r="A32" s="15" t="s">
        <v>506</v>
      </c>
      <c r="B32" s="15" t="s">
        <v>507</v>
      </c>
      <c r="C32" s="15" t="s">
        <v>508</v>
      </c>
      <c r="D32" s="15" t="s">
        <v>509</v>
      </c>
      <c r="E32" s="15" t="s">
        <v>510</v>
      </c>
      <c r="F32" s="15" t="s">
        <v>511</v>
      </c>
      <c r="G32" s="5" t="s">
        <v>20</v>
      </c>
      <c r="H32" s="5" t="s">
        <v>512</v>
      </c>
      <c r="I32" s="15" t="s">
        <v>447</v>
      </c>
      <c r="J32" s="15" t="s">
        <v>353</v>
      </c>
      <c r="K32" s="15" t="s">
        <v>127</v>
      </c>
      <c r="L32" s="8" t="str">
        <f>IF($K32="","",IFERROR(IF(INDEX(Service_Providers!$C$2:$C$104,MATCH($K32,Service_Providers!$A$2:$A$104,0))="","",INDEX(Service_Providers!$C$2:$C$104,MATCH($K32,Service_Providers!$A$2:$A$104,0)))&amp;IF(AND(INDEX(Service_Providers!$C$2:$C$104,MATCH($K32,Service_Providers!$A$2:$A$104,0))&lt;&gt;"",INDEX(Service_Providers!$D$2:$D$104,MATCH($K32,Service_Providers!$A$2:$A$104,0))&lt;&gt;""),CHAR(10),"")&amp;IF(INDEX(Service_Providers!$D$2:$D$104,MATCH($K32,Service_Providers!$A$2:$A$104,0))="","",INDEX(Service_Providers!$D$2:$D$104,MATCH($K32,Service_Providers!$A$2:$A$104,0))),"Provider not found"))</f>
        <v>770-867-3111
service@espressosoutheast.com</v>
      </c>
      <c r="M32" s="15"/>
      <c r="N32" s="8" t="str">
        <f>IF($M32="","",IFERROR(IF(INDEX(Service_Providers!$C$2:$C$104,MATCH($M32,Service_Providers!$A$2:$A$104,0))="","",INDEX(Service_Providers!$C$2:$C$104,MATCH($M32,Service_Providers!$A$2:$A$104,0)))&amp;IF(AND(INDEX(Service_Providers!$C$2:$C$104,MATCH($M32,Service_Providers!$A$2:$A$104,0))&lt;&gt;"",INDEX(Service_Providers!$D$2:$D$104,MATCH($M32,Service_Providers!$A$2:$A$104,0))&lt;&gt;""),CHAR(10),"")&amp;IF(INDEX(Service_Providers!$D$2:$D$104,MATCH($M32,Service_Providers!$A$2:$A$104,0))="","",INDEX(Service_Providers!$D$2:$D$104,MATCH($M32,Service_Providers!$A$2:$A$104,0))),"Provider not found"))</f>
        <v/>
      </c>
      <c r="O32" s="15" t="s">
        <v>513</v>
      </c>
      <c r="P32" s="15" t="s">
        <v>58</v>
      </c>
    </row>
    <row r="33" spans="1:16" ht="25.5" x14ac:dyDescent="0.25">
      <c r="A33" s="15" t="s">
        <v>514</v>
      </c>
      <c r="B33" s="15" t="s">
        <v>515</v>
      </c>
      <c r="C33" s="15" t="s">
        <v>516</v>
      </c>
      <c r="D33" s="15" t="s">
        <v>509</v>
      </c>
      <c r="E33" s="15" t="s">
        <v>517</v>
      </c>
      <c r="F33" s="15" t="s">
        <v>511</v>
      </c>
      <c r="G33" s="5" t="s">
        <v>20</v>
      </c>
      <c r="H33" s="5" t="s">
        <v>518</v>
      </c>
      <c r="I33" s="15" t="s">
        <v>447</v>
      </c>
      <c r="J33" s="15" t="s">
        <v>353</v>
      </c>
      <c r="K33" s="15" t="s">
        <v>127</v>
      </c>
      <c r="L33" s="8" t="str">
        <f>IF($K33="","",IFERROR(IF(INDEX(Service_Providers!$C$2:$C$104,MATCH($K33,Service_Providers!$A$2:$A$104,0))="","",INDEX(Service_Providers!$C$2:$C$104,MATCH($K33,Service_Providers!$A$2:$A$104,0)))&amp;IF(AND(INDEX(Service_Providers!$C$2:$C$104,MATCH($K33,Service_Providers!$A$2:$A$104,0))&lt;&gt;"",INDEX(Service_Providers!$D$2:$D$104,MATCH($K33,Service_Providers!$A$2:$A$104,0))&lt;&gt;""),CHAR(10),"")&amp;IF(INDEX(Service_Providers!$D$2:$D$104,MATCH($K33,Service_Providers!$A$2:$A$104,0))="","",INDEX(Service_Providers!$D$2:$D$104,MATCH($K33,Service_Providers!$A$2:$A$104,0))),"Provider not found"))</f>
        <v>770-867-3111
service@espressosoutheast.com</v>
      </c>
      <c r="M33" s="15"/>
      <c r="N33" s="8" t="str">
        <f>IF($M33="","",IFERROR(IF(INDEX(Service_Providers!$C$2:$C$104,MATCH($M33,Service_Providers!$A$2:$A$104,0))="","",INDEX(Service_Providers!$C$2:$C$104,MATCH($M33,Service_Providers!$A$2:$A$104,0)))&amp;IF(AND(INDEX(Service_Providers!$C$2:$C$104,MATCH($M33,Service_Providers!$A$2:$A$104,0))&lt;&gt;"",INDEX(Service_Providers!$D$2:$D$104,MATCH($M33,Service_Providers!$A$2:$A$104,0))&lt;&gt;""),CHAR(10),"")&amp;IF(INDEX(Service_Providers!$D$2:$D$104,MATCH($M33,Service_Providers!$A$2:$A$104,0))="","",INDEX(Service_Providers!$D$2:$D$104,MATCH($M33,Service_Providers!$A$2:$A$104,0))),"Provider not found"))</f>
        <v/>
      </c>
      <c r="O33" s="15" t="s">
        <v>513</v>
      </c>
      <c r="P33" s="15" t="s">
        <v>58</v>
      </c>
    </row>
    <row r="34" spans="1:16" ht="25.5" x14ac:dyDescent="0.25">
      <c r="A34" s="15" t="s">
        <v>519</v>
      </c>
      <c r="B34" s="15" t="s">
        <v>520</v>
      </c>
      <c r="C34" s="15" t="s">
        <v>521</v>
      </c>
      <c r="D34" s="15" t="s">
        <v>522</v>
      </c>
      <c r="E34" s="15" t="s">
        <v>523</v>
      </c>
      <c r="F34" s="15" t="s">
        <v>524</v>
      </c>
      <c r="G34" s="5" t="s">
        <v>20</v>
      </c>
      <c r="H34" s="5" t="s">
        <v>525</v>
      </c>
      <c r="I34" s="15" t="s">
        <v>526</v>
      </c>
      <c r="J34" s="15" t="s">
        <v>438</v>
      </c>
      <c r="K34" s="15" t="s">
        <v>143</v>
      </c>
      <c r="L34" s="8" t="str">
        <f>IF($K34="","",IFERROR(IF(INDEX(Service_Providers!$C$2:$C$104,MATCH($K34,Service_Providers!$A$2:$A$104,0))="","",INDEX(Service_Providers!$C$2:$C$104,MATCH($K34,Service_Providers!$A$2:$A$104,0)))&amp;IF(AND(INDEX(Service_Providers!$C$2:$C$104,MATCH($K34,Service_Providers!$A$2:$A$104,0))&lt;&gt;"",INDEX(Service_Providers!$D$2:$D$104,MATCH($K34,Service_Providers!$A$2:$A$104,0))&lt;&gt;""),CHAR(10),"")&amp;IF(INDEX(Service_Providers!$D$2:$D$104,MATCH($K34,Service_Providers!$A$2:$A$104,0))="","",INDEX(Service_Providers!$D$2:$D$104,MATCH($K34,Service_Providers!$A$2:$A$104,0))),"Provider not found"))</f>
        <v>904-654-5662
jose@firstcoastespresso.com</v>
      </c>
      <c r="M34" s="15"/>
      <c r="N34" s="8" t="str">
        <f>IF($M34="","",IFERROR(IF(INDEX(Service_Providers!$C$2:$C$104,MATCH($M34,Service_Providers!$A$2:$A$104,0))="","",INDEX(Service_Providers!$C$2:$C$104,MATCH($M34,Service_Providers!$A$2:$A$104,0)))&amp;IF(AND(INDEX(Service_Providers!$C$2:$C$104,MATCH($M34,Service_Providers!$A$2:$A$104,0))&lt;&gt;"",INDEX(Service_Providers!$D$2:$D$104,MATCH($M34,Service_Providers!$A$2:$A$104,0))&lt;&gt;""),CHAR(10),"")&amp;IF(INDEX(Service_Providers!$D$2:$D$104,MATCH($M34,Service_Providers!$A$2:$A$104,0))="","",INDEX(Service_Providers!$D$2:$D$104,MATCH($M34,Service_Providers!$A$2:$A$104,0))),"Provider not found"))</f>
        <v/>
      </c>
      <c r="O34" s="15" t="s">
        <v>513</v>
      </c>
      <c r="P34" s="15" t="s">
        <v>58</v>
      </c>
    </row>
    <row r="35" spans="1:16" ht="38.25" x14ac:dyDescent="0.25">
      <c r="A35" s="15" t="s">
        <v>527</v>
      </c>
      <c r="B35" s="15" t="s">
        <v>528</v>
      </c>
      <c r="C35" s="15"/>
      <c r="D35" s="15" t="s">
        <v>529</v>
      </c>
      <c r="E35" s="15" t="s">
        <v>530</v>
      </c>
      <c r="F35" s="15" t="s">
        <v>531</v>
      </c>
      <c r="G35" s="5" t="s">
        <v>21</v>
      </c>
      <c r="H35" s="5" t="s">
        <v>532</v>
      </c>
      <c r="I35" s="15" t="s">
        <v>533</v>
      </c>
      <c r="J35" s="15" t="s">
        <v>304</v>
      </c>
      <c r="K35" s="15" t="s">
        <v>130</v>
      </c>
      <c r="L35" s="8" t="str">
        <f>IF($K35="","",IFERROR(IF(INDEX(Service_Providers!$C$2:$C$104,MATCH($K35,Service_Providers!$A$2:$A$104,0))="","",INDEX(Service_Providers!$C$2:$C$104,MATCH($K35,Service_Providers!$A$2:$A$104,0)))&amp;IF(AND(INDEX(Service_Providers!$C$2:$C$104,MATCH($K35,Service_Providers!$A$2:$A$104,0))&lt;&gt;"",INDEX(Service_Providers!$D$2:$D$104,MATCH($K35,Service_Providers!$A$2:$A$104,0))&lt;&gt;""),CHAR(10),"")&amp;IF(INDEX(Service_Providers!$D$2:$D$104,MATCH($K35,Service_Providers!$A$2:$A$104,0))="","",INDEX(Service_Providers!$D$2:$D$104,MATCH($K35,Service_Providers!$A$2:$A$104,0))),"Provider not found"))</f>
        <v>(888) 523-1684
service@etsc.coffee</v>
      </c>
      <c r="M35" s="15"/>
      <c r="N35" s="8" t="str">
        <f>IF($M35="","",IFERROR(IF(INDEX(Service_Providers!$C$2:$C$104,MATCH($M35,Service_Providers!$A$2:$A$104,0))="","",INDEX(Service_Providers!$C$2:$C$104,MATCH($M35,Service_Providers!$A$2:$A$104,0)))&amp;IF(AND(INDEX(Service_Providers!$C$2:$C$104,MATCH($M35,Service_Providers!$A$2:$A$104,0))&lt;&gt;"",INDEX(Service_Providers!$D$2:$D$104,MATCH($M35,Service_Providers!$A$2:$A$104,0))&lt;&gt;""),CHAR(10),"")&amp;IF(INDEX(Service_Providers!$D$2:$D$104,MATCH($M35,Service_Providers!$A$2:$A$104,0))="","",INDEX(Service_Providers!$D$2:$D$104,MATCH($M35,Service_Providers!$A$2:$A$104,0))),"Provider not found"))</f>
        <v/>
      </c>
      <c r="O35" s="15" t="s">
        <v>534</v>
      </c>
      <c r="P35" s="15" t="s">
        <v>58</v>
      </c>
    </row>
    <row r="36" spans="1:16" ht="51" x14ac:dyDescent="0.25">
      <c r="A36" s="15" t="s">
        <v>535</v>
      </c>
      <c r="B36" s="15" t="s">
        <v>536</v>
      </c>
      <c r="C36" s="15"/>
      <c r="D36" s="15" t="s">
        <v>537</v>
      </c>
      <c r="E36" s="15" t="s">
        <v>538</v>
      </c>
      <c r="F36" s="15" t="s">
        <v>539</v>
      </c>
      <c r="G36" s="5" t="s">
        <v>21</v>
      </c>
      <c r="H36" s="5" t="s">
        <v>540</v>
      </c>
      <c r="I36" s="15" t="s">
        <v>541</v>
      </c>
      <c r="J36" s="15" t="s">
        <v>438</v>
      </c>
      <c r="K36" s="15" t="s">
        <v>130</v>
      </c>
      <c r="L36" s="8" t="str">
        <f>IF($K36="","",IFERROR(IF(INDEX(Service_Providers!$C$2:$C$104,MATCH($K36,Service_Providers!$A$2:$A$104,0))="","",INDEX(Service_Providers!$C$2:$C$104,MATCH($K36,Service_Providers!$A$2:$A$104,0)))&amp;IF(AND(INDEX(Service_Providers!$C$2:$C$104,MATCH($K36,Service_Providers!$A$2:$A$104,0))&lt;&gt;"",INDEX(Service_Providers!$D$2:$D$104,MATCH($K36,Service_Providers!$A$2:$A$104,0))&lt;&gt;""),CHAR(10),"")&amp;IF(INDEX(Service_Providers!$D$2:$D$104,MATCH($K36,Service_Providers!$A$2:$A$104,0))="","",INDEX(Service_Providers!$D$2:$D$104,MATCH($K36,Service_Providers!$A$2:$A$104,0))),"Provider not found"))</f>
        <v>(888) 523-1684
service@etsc.coffee</v>
      </c>
      <c r="M36" s="15"/>
      <c r="N36" s="8" t="str">
        <f>IF($M36="","",IFERROR(IF(INDEX(Service_Providers!$C$2:$C$104,MATCH($M36,Service_Providers!$A$2:$A$104,0))="","",INDEX(Service_Providers!$C$2:$C$104,MATCH($M36,Service_Providers!$A$2:$A$104,0)))&amp;IF(AND(INDEX(Service_Providers!$C$2:$C$104,MATCH($M36,Service_Providers!$A$2:$A$104,0))&lt;&gt;"",INDEX(Service_Providers!$D$2:$D$104,MATCH($M36,Service_Providers!$A$2:$A$104,0))&lt;&gt;""),CHAR(10),"")&amp;IF(INDEX(Service_Providers!$D$2:$D$104,MATCH($M36,Service_Providers!$A$2:$A$104,0))="","",INDEX(Service_Providers!$D$2:$D$104,MATCH($M36,Service_Providers!$A$2:$A$104,0))),"Provider not found"))</f>
        <v/>
      </c>
      <c r="O36" s="15" t="s">
        <v>534</v>
      </c>
      <c r="P36" s="15" t="s">
        <v>58</v>
      </c>
    </row>
    <row r="37" spans="1:16" ht="25.5" x14ac:dyDescent="0.25">
      <c r="A37" s="15" t="s">
        <v>542</v>
      </c>
      <c r="B37" s="15" t="s">
        <v>543</v>
      </c>
      <c r="C37" s="15" t="s">
        <v>544</v>
      </c>
      <c r="D37" s="15" t="s">
        <v>545</v>
      </c>
      <c r="E37" s="15" t="s">
        <v>546</v>
      </c>
      <c r="F37" s="15" t="s">
        <v>547</v>
      </c>
      <c r="G37" s="5" t="s">
        <v>22</v>
      </c>
      <c r="H37" s="5" t="s">
        <v>548</v>
      </c>
      <c r="I37" s="15" t="s">
        <v>352</v>
      </c>
      <c r="J37" s="15" t="s">
        <v>353</v>
      </c>
      <c r="K37" s="15" t="s">
        <v>123</v>
      </c>
      <c r="L37" s="8" t="str">
        <f>IF($K37="","",IFERROR(IF(INDEX(Service_Providers!$C$2:$C$104,MATCH($K37,Service_Providers!$A$2:$A$104,0))="","",INDEX(Service_Providers!$C$2:$C$104,MATCH($K37,Service_Providers!$A$2:$A$104,0)))&amp;IF(AND(INDEX(Service_Providers!$C$2:$C$104,MATCH($K37,Service_Providers!$A$2:$A$104,0))&lt;&gt;"",INDEX(Service_Providers!$D$2:$D$104,MATCH($K37,Service_Providers!$A$2:$A$104,0))&lt;&gt;""),CHAR(10),"")&amp;IF(INDEX(Service_Providers!$D$2:$D$104,MATCH($K37,Service_Providers!$A$2:$A$104,0))="","",INDEX(Service_Providers!$D$2:$D$104,MATCH($K37,Service_Providers!$A$2:$A$104,0))),"Provider not found"))</f>
        <v>317-876-9031
carey@espressoenterprises.com</v>
      </c>
      <c r="M37" s="15"/>
      <c r="N37" s="8" t="str">
        <f>IF($M37="","",IFERROR(IF(INDEX(Service_Providers!$C$2:$C$104,MATCH($M37,Service_Providers!$A$2:$A$104,0))="","",INDEX(Service_Providers!$C$2:$C$104,MATCH($M37,Service_Providers!$A$2:$A$104,0)))&amp;IF(AND(INDEX(Service_Providers!$C$2:$C$104,MATCH($M37,Service_Providers!$A$2:$A$104,0))&lt;&gt;"",INDEX(Service_Providers!$D$2:$D$104,MATCH($M37,Service_Providers!$A$2:$A$104,0))&lt;&gt;""),CHAR(10),"")&amp;IF(INDEX(Service_Providers!$D$2:$D$104,MATCH($M37,Service_Providers!$A$2:$A$104,0))="","",INDEX(Service_Providers!$D$2:$D$104,MATCH($M37,Service_Providers!$A$2:$A$104,0))),"Provider not found"))</f>
        <v/>
      </c>
      <c r="O37" s="15" t="s">
        <v>549</v>
      </c>
      <c r="P37" s="15" t="s">
        <v>58</v>
      </c>
    </row>
    <row r="38" spans="1:16" ht="25.5" x14ac:dyDescent="0.25">
      <c r="A38" s="15" t="s">
        <v>550</v>
      </c>
      <c r="B38" s="15" t="s">
        <v>543</v>
      </c>
      <c r="C38" s="15" t="s">
        <v>551</v>
      </c>
      <c r="D38" s="15" t="s">
        <v>552</v>
      </c>
      <c r="E38" s="15" t="s">
        <v>553</v>
      </c>
      <c r="F38" s="15" t="s">
        <v>554</v>
      </c>
      <c r="G38" s="5" t="s">
        <v>22</v>
      </c>
      <c r="H38" s="5" t="s">
        <v>555</v>
      </c>
      <c r="I38" s="15" t="s">
        <v>556</v>
      </c>
      <c r="J38" s="15" t="s">
        <v>557</v>
      </c>
      <c r="K38" s="15" t="s">
        <v>123</v>
      </c>
      <c r="L38" s="8" t="str">
        <f>IF($K38="","",IFERROR(IF(INDEX(Service_Providers!$C$2:$C$104,MATCH($K38,Service_Providers!$A$2:$A$104,0))="","",INDEX(Service_Providers!$C$2:$C$104,MATCH($K38,Service_Providers!$A$2:$A$104,0)))&amp;IF(AND(INDEX(Service_Providers!$C$2:$C$104,MATCH($K38,Service_Providers!$A$2:$A$104,0))&lt;&gt;"",INDEX(Service_Providers!$D$2:$D$104,MATCH($K38,Service_Providers!$A$2:$A$104,0))&lt;&gt;""),CHAR(10),"")&amp;IF(INDEX(Service_Providers!$D$2:$D$104,MATCH($K38,Service_Providers!$A$2:$A$104,0))="","",INDEX(Service_Providers!$D$2:$D$104,MATCH($K38,Service_Providers!$A$2:$A$104,0))),"Provider not found"))</f>
        <v>317-876-9031
carey@espressoenterprises.com</v>
      </c>
      <c r="M38" s="15"/>
      <c r="N38" s="8" t="str">
        <f>IF($M38="","",IFERROR(IF(INDEX(Service_Providers!$C$2:$C$104,MATCH($M38,Service_Providers!$A$2:$A$104,0))="","",INDEX(Service_Providers!$C$2:$C$104,MATCH($M38,Service_Providers!$A$2:$A$104,0)))&amp;IF(AND(INDEX(Service_Providers!$C$2:$C$104,MATCH($M38,Service_Providers!$A$2:$A$104,0))&lt;&gt;"",INDEX(Service_Providers!$D$2:$D$104,MATCH($M38,Service_Providers!$A$2:$A$104,0))&lt;&gt;""),CHAR(10),"")&amp;IF(INDEX(Service_Providers!$D$2:$D$104,MATCH($M38,Service_Providers!$A$2:$A$104,0))="","",INDEX(Service_Providers!$D$2:$D$104,MATCH($M38,Service_Providers!$A$2:$A$104,0))),"Provider not found"))</f>
        <v/>
      </c>
      <c r="O38" s="15" t="s">
        <v>549</v>
      </c>
      <c r="P38" s="15" t="s">
        <v>58</v>
      </c>
    </row>
    <row r="39" spans="1:16" ht="25.5" x14ac:dyDescent="0.25">
      <c r="A39" s="15" t="s">
        <v>558</v>
      </c>
      <c r="B39" s="15" t="s">
        <v>559</v>
      </c>
      <c r="C39" s="15" t="s">
        <v>560</v>
      </c>
      <c r="D39" s="15" t="s">
        <v>561</v>
      </c>
      <c r="E39" s="15" t="s">
        <v>562</v>
      </c>
      <c r="F39" s="15" t="s">
        <v>554</v>
      </c>
      <c r="G39" s="5" t="s">
        <v>22</v>
      </c>
      <c r="H39" s="5" t="s">
        <v>555</v>
      </c>
      <c r="I39" s="15" t="s">
        <v>563</v>
      </c>
      <c r="J39" s="15" t="s">
        <v>353</v>
      </c>
      <c r="K39" s="15" t="s">
        <v>130</v>
      </c>
      <c r="L39" s="8" t="str">
        <f>IF($K39="","",IFERROR(IF(INDEX(Service_Providers!$C$2:$C$104,MATCH($K39,Service_Providers!$A$2:$A$104,0))="","",INDEX(Service_Providers!$C$2:$C$104,MATCH($K39,Service_Providers!$A$2:$A$104,0)))&amp;IF(AND(INDEX(Service_Providers!$C$2:$C$104,MATCH($K39,Service_Providers!$A$2:$A$104,0))&lt;&gt;"",INDEX(Service_Providers!$D$2:$D$104,MATCH($K39,Service_Providers!$A$2:$A$104,0))&lt;&gt;""),CHAR(10),"")&amp;IF(INDEX(Service_Providers!$D$2:$D$104,MATCH($K39,Service_Providers!$A$2:$A$104,0))="","",INDEX(Service_Providers!$D$2:$D$104,MATCH($K39,Service_Providers!$A$2:$A$104,0))),"Provider not found"))</f>
        <v>(888) 523-1684
service@etsc.coffee</v>
      </c>
      <c r="M39" s="15" t="s">
        <v>123</v>
      </c>
      <c r="N39" s="8" t="str">
        <f>IF($M39="","",IFERROR(IF(INDEX(Service_Providers!$C$2:$C$104,MATCH($M39,Service_Providers!$A$2:$A$104,0))="","",INDEX(Service_Providers!$C$2:$C$104,MATCH($M39,Service_Providers!$A$2:$A$104,0)))&amp;IF(AND(INDEX(Service_Providers!$C$2:$C$104,MATCH($M39,Service_Providers!$A$2:$A$104,0))&lt;&gt;"",INDEX(Service_Providers!$D$2:$D$104,MATCH($M39,Service_Providers!$A$2:$A$104,0))&lt;&gt;""),CHAR(10),"")&amp;IF(INDEX(Service_Providers!$D$2:$D$104,MATCH($M39,Service_Providers!$A$2:$A$104,0))="","",INDEX(Service_Providers!$D$2:$D$104,MATCH($M39,Service_Providers!$A$2:$A$104,0))),"Provider not found"))</f>
        <v>317-876-9031
carey@espressoenterprises.com</v>
      </c>
      <c r="O39" s="15" t="s">
        <v>549</v>
      </c>
      <c r="P39" s="15" t="s">
        <v>58</v>
      </c>
    </row>
    <row r="40" spans="1:16" ht="25.5" x14ac:dyDescent="0.25">
      <c r="A40" s="15" t="s">
        <v>564</v>
      </c>
      <c r="B40" s="15" t="s">
        <v>565</v>
      </c>
      <c r="C40" s="15" t="s">
        <v>566</v>
      </c>
      <c r="D40" s="15" t="s">
        <v>567</v>
      </c>
      <c r="E40" s="15" t="s">
        <v>568</v>
      </c>
      <c r="F40" s="15" t="s">
        <v>569</v>
      </c>
      <c r="G40" s="5" t="s">
        <v>22</v>
      </c>
      <c r="H40" s="5" t="s">
        <v>570</v>
      </c>
      <c r="I40" s="15" t="s">
        <v>571</v>
      </c>
      <c r="J40" s="15" t="s">
        <v>353</v>
      </c>
      <c r="K40" s="15" t="s">
        <v>123</v>
      </c>
      <c r="L40" s="8" t="str">
        <f>IF($K40="","",IFERROR(IF(INDEX(Service_Providers!$C$2:$C$104,MATCH($K40,Service_Providers!$A$2:$A$104,0))="","",INDEX(Service_Providers!$C$2:$C$104,MATCH($K40,Service_Providers!$A$2:$A$104,0)))&amp;IF(AND(INDEX(Service_Providers!$C$2:$C$104,MATCH($K40,Service_Providers!$A$2:$A$104,0))&lt;&gt;"",INDEX(Service_Providers!$D$2:$D$104,MATCH($K40,Service_Providers!$A$2:$A$104,0))&lt;&gt;""),CHAR(10),"")&amp;IF(INDEX(Service_Providers!$D$2:$D$104,MATCH($K40,Service_Providers!$A$2:$A$104,0))="","",INDEX(Service_Providers!$D$2:$D$104,MATCH($K40,Service_Providers!$A$2:$A$104,0))),"Provider not found"))</f>
        <v>317-876-9031
carey@espressoenterprises.com</v>
      </c>
      <c r="M40" s="15"/>
      <c r="N40" s="8" t="str">
        <f>IF($M40="","",IFERROR(IF(INDEX(Service_Providers!$C$2:$C$104,MATCH($M40,Service_Providers!$A$2:$A$104,0))="","",INDEX(Service_Providers!$C$2:$C$104,MATCH($M40,Service_Providers!$A$2:$A$104,0)))&amp;IF(AND(INDEX(Service_Providers!$C$2:$C$104,MATCH($M40,Service_Providers!$A$2:$A$104,0))&lt;&gt;"",INDEX(Service_Providers!$D$2:$D$104,MATCH($M40,Service_Providers!$A$2:$A$104,0))&lt;&gt;""),CHAR(10),"")&amp;IF(INDEX(Service_Providers!$D$2:$D$104,MATCH($M40,Service_Providers!$A$2:$A$104,0))="","",INDEX(Service_Providers!$D$2:$D$104,MATCH($M40,Service_Providers!$A$2:$A$104,0))),"Provider not found"))</f>
        <v/>
      </c>
      <c r="O40" s="15" t="s">
        <v>549</v>
      </c>
      <c r="P40" s="15" t="s">
        <v>58</v>
      </c>
    </row>
    <row r="41" spans="1:16" ht="25.5" x14ac:dyDescent="0.25">
      <c r="A41" s="15" t="s">
        <v>572</v>
      </c>
      <c r="B41" s="15" t="s">
        <v>565</v>
      </c>
      <c r="C41" s="15" t="s">
        <v>573</v>
      </c>
      <c r="D41" s="15" t="s">
        <v>574</v>
      </c>
      <c r="E41" s="15" t="s">
        <v>575</v>
      </c>
      <c r="F41" s="15" t="s">
        <v>547</v>
      </c>
      <c r="G41" s="5" t="s">
        <v>22</v>
      </c>
      <c r="H41" s="5" t="s">
        <v>548</v>
      </c>
      <c r="I41" s="15" t="s">
        <v>576</v>
      </c>
      <c r="J41" s="15" t="s">
        <v>353</v>
      </c>
      <c r="K41" s="15" t="s">
        <v>130</v>
      </c>
      <c r="L41" s="8" t="str">
        <f>IF($K41="","",IFERROR(IF(INDEX(Service_Providers!$C$2:$C$104,MATCH($K41,Service_Providers!$A$2:$A$104,0))="","",INDEX(Service_Providers!$C$2:$C$104,MATCH($K41,Service_Providers!$A$2:$A$104,0)))&amp;IF(AND(INDEX(Service_Providers!$C$2:$C$104,MATCH($K41,Service_Providers!$A$2:$A$104,0))&lt;&gt;"",INDEX(Service_Providers!$D$2:$D$104,MATCH($K41,Service_Providers!$A$2:$A$104,0))&lt;&gt;""),CHAR(10),"")&amp;IF(INDEX(Service_Providers!$D$2:$D$104,MATCH($K41,Service_Providers!$A$2:$A$104,0))="","",INDEX(Service_Providers!$D$2:$D$104,MATCH($K41,Service_Providers!$A$2:$A$104,0))),"Provider not found"))</f>
        <v>(888) 523-1684
service@etsc.coffee</v>
      </c>
      <c r="M41" s="15"/>
      <c r="N41" s="8" t="str">
        <f>IF($M41="","",IFERROR(IF(INDEX(Service_Providers!$C$2:$C$104,MATCH($M41,Service_Providers!$A$2:$A$104,0))="","",INDEX(Service_Providers!$C$2:$C$104,MATCH($M41,Service_Providers!$A$2:$A$104,0)))&amp;IF(AND(INDEX(Service_Providers!$C$2:$C$104,MATCH($M41,Service_Providers!$A$2:$A$104,0))&lt;&gt;"",INDEX(Service_Providers!$D$2:$D$104,MATCH($M41,Service_Providers!$A$2:$A$104,0))&lt;&gt;""),CHAR(10),"")&amp;IF(INDEX(Service_Providers!$D$2:$D$104,MATCH($M41,Service_Providers!$A$2:$A$104,0))="","",INDEX(Service_Providers!$D$2:$D$104,MATCH($M41,Service_Providers!$A$2:$A$104,0))),"Provider not found"))</f>
        <v/>
      </c>
      <c r="O41" s="15" t="s">
        <v>549</v>
      </c>
      <c r="P41" s="15" t="s">
        <v>58</v>
      </c>
    </row>
    <row r="42" spans="1:16" ht="25.5" x14ac:dyDescent="0.25">
      <c r="A42" s="15" t="s">
        <v>577</v>
      </c>
      <c r="B42" s="15" t="s">
        <v>578</v>
      </c>
      <c r="C42" s="15" t="s">
        <v>579</v>
      </c>
      <c r="D42" s="15" t="s">
        <v>580</v>
      </c>
      <c r="E42" s="15" t="s">
        <v>581</v>
      </c>
      <c r="F42" s="15" t="s">
        <v>582</v>
      </c>
      <c r="G42" s="5" t="s">
        <v>23</v>
      </c>
      <c r="H42" s="5" t="s">
        <v>583</v>
      </c>
      <c r="I42" s="15" t="s">
        <v>584</v>
      </c>
      <c r="J42" s="15" t="s">
        <v>353</v>
      </c>
      <c r="K42" s="15" t="s">
        <v>123</v>
      </c>
      <c r="L42" s="8" t="str">
        <f>IF($K42="","",IFERROR(IF(INDEX(Service_Providers!$C$2:$C$104,MATCH($K42,Service_Providers!$A$2:$A$104,0))="","",INDEX(Service_Providers!$C$2:$C$104,MATCH($K42,Service_Providers!$A$2:$A$104,0)))&amp;IF(AND(INDEX(Service_Providers!$C$2:$C$104,MATCH($K42,Service_Providers!$A$2:$A$104,0))&lt;&gt;"",INDEX(Service_Providers!$D$2:$D$104,MATCH($K42,Service_Providers!$A$2:$A$104,0))&lt;&gt;""),CHAR(10),"")&amp;IF(INDEX(Service_Providers!$D$2:$D$104,MATCH($K42,Service_Providers!$A$2:$A$104,0))="","",INDEX(Service_Providers!$D$2:$D$104,MATCH($K42,Service_Providers!$A$2:$A$104,0))),"Provider not found"))</f>
        <v>317-876-9031
carey@espressoenterprises.com</v>
      </c>
      <c r="M42" s="15"/>
      <c r="N42" s="8" t="str">
        <f>IF($M42="","",IFERROR(IF(INDEX(Service_Providers!$C$2:$C$104,MATCH($M42,Service_Providers!$A$2:$A$104,0))="","",INDEX(Service_Providers!$C$2:$C$104,MATCH($M42,Service_Providers!$A$2:$A$104,0)))&amp;IF(AND(INDEX(Service_Providers!$C$2:$C$104,MATCH($M42,Service_Providers!$A$2:$A$104,0))&lt;&gt;"",INDEX(Service_Providers!$D$2:$D$104,MATCH($M42,Service_Providers!$A$2:$A$104,0))&lt;&gt;""),CHAR(10),"")&amp;IF(INDEX(Service_Providers!$D$2:$D$104,MATCH($M42,Service_Providers!$A$2:$A$104,0))="","",INDEX(Service_Providers!$D$2:$D$104,MATCH($M42,Service_Providers!$A$2:$A$104,0))),"Provider not found"))</f>
        <v/>
      </c>
      <c r="O42" s="15" t="s">
        <v>585</v>
      </c>
      <c r="P42" s="15" t="s">
        <v>58</v>
      </c>
    </row>
    <row r="43" spans="1:16" ht="38.25" x14ac:dyDescent="0.25">
      <c r="A43" s="15" t="s">
        <v>586</v>
      </c>
      <c r="B43" s="15" t="s">
        <v>543</v>
      </c>
      <c r="C43" s="15" t="s">
        <v>587</v>
      </c>
      <c r="D43" s="15" t="s">
        <v>588</v>
      </c>
      <c r="E43" s="15" t="s">
        <v>589</v>
      </c>
      <c r="F43" s="15" t="s">
        <v>590</v>
      </c>
      <c r="G43" s="5" t="s">
        <v>23</v>
      </c>
      <c r="H43" s="5" t="s">
        <v>591</v>
      </c>
      <c r="I43" s="15" t="s">
        <v>592</v>
      </c>
      <c r="J43" s="15" t="s">
        <v>344</v>
      </c>
      <c r="K43" s="15" t="s">
        <v>123</v>
      </c>
      <c r="L43" s="8" t="str">
        <f>IF($K43="","",IFERROR(IF(INDEX(Service_Providers!$C$2:$C$104,MATCH($K43,Service_Providers!$A$2:$A$104,0))="","",INDEX(Service_Providers!$C$2:$C$104,MATCH($K43,Service_Providers!$A$2:$A$104,0)))&amp;IF(AND(INDEX(Service_Providers!$C$2:$C$104,MATCH($K43,Service_Providers!$A$2:$A$104,0))&lt;&gt;"",INDEX(Service_Providers!$D$2:$D$104,MATCH($K43,Service_Providers!$A$2:$A$104,0))&lt;&gt;""),CHAR(10),"")&amp;IF(INDEX(Service_Providers!$D$2:$D$104,MATCH($K43,Service_Providers!$A$2:$A$104,0))="","",INDEX(Service_Providers!$D$2:$D$104,MATCH($K43,Service_Providers!$A$2:$A$104,0))),"Provider not found"))</f>
        <v>317-876-9031
carey@espressoenterprises.com</v>
      </c>
      <c r="M43" s="15"/>
      <c r="N43" s="8" t="str">
        <f>IF($M43="","",IFERROR(IF(INDEX(Service_Providers!$C$2:$C$104,MATCH($M43,Service_Providers!$A$2:$A$104,0))="","",INDEX(Service_Providers!$C$2:$C$104,MATCH($M43,Service_Providers!$A$2:$A$104,0)))&amp;IF(AND(INDEX(Service_Providers!$C$2:$C$104,MATCH($M43,Service_Providers!$A$2:$A$104,0))&lt;&gt;"",INDEX(Service_Providers!$D$2:$D$104,MATCH($M43,Service_Providers!$A$2:$A$104,0))&lt;&gt;""),CHAR(10),"")&amp;IF(INDEX(Service_Providers!$D$2:$D$104,MATCH($M43,Service_Providers!$A$2:$A$104,0))="","",INDEX(Service_Providers!$D$2:$D$104,MATCH($M43,Service_Providers!$A$2:$A$104,0))),"Provider not found"))</f>
        <v/>
      </c>
      <c r="O43" s="15" t="s">
        <v>585</v>
      </c>
      <c r="P43" s="15" t="s">
        <v>58</v>
      </c>
    </row>
    <row r="44" spans="1:16" ht="25.5" x14ac:dyDescent="0.25">
      <c r="A44" s="15" t="s">
        <v>593</v>
      </c>
      <c r="B44" s="15" t="s">
        <v>594</v>
      </c>
      <c r="C44" s="15" t="s">
        <v>595</v>
      </c>
      <c r="D44" s="15" t="s">
        <v>596</v>
      </c>
      <c r="E44" s="15" t="s">
        <v>597</v>
      </c>
      <c r="F44" s="15" t="s">
        <v>598</v>
      </c>
      <c r="G44" s="5" t="s">
        <v>24</v>
      </c>
      <c r="H44" s="5" t="s">
        <v>599</v>
      </c>
      <c r="I44" s="15" t="s">
        <v>600</v>
      </c>
      <c r="J44" s="15" t="s">
        <v>287</v>
      </c>
      <c r="K44" s="15" t="s">
        <v>852</v>
      </c>
      <c r="L44" s="8" t="str">
        <f>IF($K44="","",IFERROR(IF(INDEX(Service_Providers!$C$2:$C$104,MATCH($K44,Service_Providers!$A$2:$A$104,0))="","",INDEX(Service_Providers!$C$2:$C$104,MATCH($K44,Service_Providers!$A$2:$A$104,0)))&amp;IF(AND(INDEX(Service_Providers!$C$2:$C$104,MATCH($K44,Service_Providers!$A$2:$A$104,0))&lt;&gt;"",INDEX(Service_Providers!$D$2:$D$104,MATCH($K44,Service_Providers!$A$2:$A$104,0))&lt;&gt;""),CHAR(10),"")&amp;IF(INDEX(Service_Providers!$D$2:$D$104,MATCH($K44,Service_Providers!$A$2:$A$104,0))="","",INDEX(Service_Providers!$D$2:$D$104,MATCH($K44,Service_Providers!$A$2:$A$104,0))),"Provider not found"))</f>
        <v>713.864.3338
service@katzcoffee.com</v>
      </c>
      <c r="M44" s="15"/>
      <c r="N44" s="8" t="str">
        <f>IF($M44="","",IFERROR(IF(INDEX(Service_Providers!$C$2:$C$104,MATCH($M44,Service_Providers!$A$2:$A$104,0))="","",INDEX(Service_Providers!$C$2:$C$104,MATCH($M44,Service_Providers!$A$2:$A$104,0)))&amp;IF(AND(INDEX(Service_Providers!$C$2:$C$104,MATCH($M44,Service_Providers!$A$2:$A$104,0))&lt;&gt;"",INDEX(Service_Providers!$D$2:$D$104,MATCH($M44,Service_Providers!$A$2:$A$104,0))&lt;&gt;""),CHAR(10),"")&amp;IF(INDEX(Service_Providers!$D$2:$D$104,MATCH($M44,Service_Providers!$A$2:$A$104,0))="","",INDEX(Service_Providers!$D$2:$D$104,MATCH($M44,Service_Providers!$A$2:$A$104,0))),"Provider not found"))</f>
        <v/>
      </c>
      <c r="O44" s="15" t="s">
        <v>601</v>
      </c>
      <c r="P44" s="15" t="s">
        <v>58</v>
      </c>
    </row>
    <row r="45" spans="1:16" ht="25.5" x14ac:dyDescent="0.25">
      <c r="A45" s="15" t="s">
        <v>602</v>
      </c>
      <c r="B45" s="15" t="s">
        <v>603</v>
      </c>
      <c r="C45" s="15" t="s">
        <v>604</v>
      </c>
      <c r="D45" s="15" t="s">
        <v>605</v>
      </c>
      <c r="E45" s="15" t="s">
        <v>606</v>
      </c>
      <c r="F45" s="15" t="s">
        <v>607</v>
      </c>
      <c r="G45" s="5" t="s">
        <v>24</v>
      </c>
      <c r="H45" s="5" t="s">
        <v>608</v>
      </c>
      <c r="I45" s="15" t="s">
        <v>609</v>
      </c>
      <c r="J45" s="15" t="s">
        <v>353</v>
      </c>
      <c r="K45" s="15" t="s">
        <v>192</v>
      </c>
      <c r="L45" s="8" t="str">
        <f>IF($K45="","",IFERROR(IF(INDEX(Service_Providers!$C$2:$C$104,MATCH($K45,Service_Providers!$A$2:$A$104,0))="","",INDEX(Service_Providers!$C$2:$C$104,MATCH($K45,Service_Providers!$A$2:$A$104,0)))&amp;IF(AND(INDEX(Service_Providers!$C$2:$C$104,MATCH($K45,Service_Providers!$A$2:$A$104,0))&lt;&gt;"",INDEX(Service_Providers!$D$2:$D$104,MATCH($K45,Service_Providers!$A$2:$A$104,0))&lt;&gt;""),CHAR(10),"")&amp;IF(INDEX(Service_Providers!$D$2:$D$104,MATCH($K45,Service_Providers!$A$2:$A$104,0))="","",INDEX(Service_Providers!$D$2:$D$104,MATCH($K45,Service_Providers!$A$2:$A$104,0))),"Provider not found"))</f>
        <v>504-827-0878 (Office)
robbie@orleanscoffee.com</v>
      </c>
      <c r="M45" s="15"/>
      <c r="N45" s="8" t="str">
        <f>IF($M45="","",IFERROR(IF(INDEX(Service_Providers!$C$2:$C$104,MATCH($M45,Service_Providers!$A$2:$A$104,0))="","",INDEX(Service_Providers!$C$2:$C$104,MATCH($M45,Service_Providers!$A$2:$A$104,0)))&amp;IF(AND(INDEX(Service_Providers!$C$2:$C$104,MATCH($M45,Service_Providers!$A$2:$A$104,0))&lt;&gt;"",INDEX(Service_Providers!$D$2:$D$104,MATCH($M45,Service_Providers!$A$2:$A$104,0))&lt;&gt;""),CHAR(10),"")&amp;IF(INDEX(Service_Providers!$D$2:$D$104,MATCH($M45,Service_Providers!$A$2:$A$104,0))="","",INDEX(Service_Providers!$D$2:$D$104,MATCH($M45,Service_Providers!$A$2:$A$104,0))),"Provider not found"))</f>
        <v/>
      </c>
      <c r="O45" s="15" t="s">
        <v>601</v>
      </c>
      <c r="P45" s="15" t="s">
        <v>58</v>
      </c>
    </row>
    <row r="46" spans="1:16" ht="38.25" x14ac:dyDescent="0.25">
      <c r="A46" s="15" t="s">
        <v>610</v>
      </c>
      <c r="B46" s="15" t="s">
        <v>611</v>
      </c>
      <c r="C46" s="15" t="s">
        <v>612</v>
      </c>
      <c r="D46" s="15" t="s">
        <v>613</v>
      </c>
      <c r="E46" s="15" t="s">
        <v>614</v>
      </c>
      <c r="F46" s="15" t="s">
        <v>598</v>
      </c>
      <c r="G46" s="5" t="s">
        <v>24</v>
      </c>
      <c r="H46" s="5" t="s">
        <v>599</v>
      </c>
      <c r="I46" s="15" t="s">
        <v>615</v>
      </c>
      <c r="J46" s="15" t="s">
        <v>296</v>
      </c>
      <c r="K46" s="15" t="s">
        <v>852</v>
      </c>
      <c r="L46" s="8" t="str">
        <f>IF($K46="","",IFERROR(IF(INDEX(Service_Providers!$C$2:$C$104,MATCH($K46,Service_Providers!$A$2:$A$104,0))="","",INDEX(Service_Providers!$C$2:$C$104,MATCH($K46,Service_Providers!$A$2:$A$104,0)))&amp;IF(AND(INDEX(Service_Providers!$C$2:$C$104,MATCH($K46,Service_Providers!$A$2:$A$104,0))&lt;&gt;"",INDEX(Service_Providers!$D$2:$D$104,MATCH($K46,Service_Providers!$A$2:$A$104,0))&lt;&gt;""),CHAR(10),"")&amp;IF(INDEX(Service_Providers!$D$2:$D$104,MATCH($K46,Service_Providers!$A$2:$A$104,0))="","",INDEX(Service_Providers!$D$2:$D$104,MATCH($K46,Service_Providers!$A$2:$A$104,0))),"Provider not found"))</f>
        <v>713.864.3338
service@katzcoffee.com</v>
      </c>
      <c r="M46" s="15"/>
      <c r="N46" s="8" t="str">
        <f>IF($M46="","",IFERROR(IF(INDEX(Service_Providers!$C$2:$C$104,MATCH($M46,Service_Providers!$A$2:$A$104,0))="","",INDEX(Service_Providers!$C$2:$C$104,MATCH($M46,Service_Providers!$A$2:$A$104,0)))&amp;IF(AND(INDEX(Service_Providers!$C$2:$C$104,MATCH($M46,Service_Providers!$A$2:$A$104,0))&lt;&gt;"",INDEX(Service_Providers!$D$2:$D$104,MATCH($M46,Service_Providers!$A$2:$A$104,0))&lt;&gt;""),CHAR(10),"")&amp;IF(INDEX(Service_Providers!$D$2:$D$104,MATCH($M46,Service_Providers!$A$2:$A$104,0))="","",INDEX(Service_Providers!$D$2:$D$104,MATCH($M46,Service_Providers!$A$2:$A$104,0))),"Provider not found"))</f>
        <v/>
      </c>
      <c r="O46" s="15" t="s">
        <v>601</v>
      </c>
      <c r="P46" s="15" t="s">
        <v>58</v>
      </c>
    </row>
    <row r="47" spans="1:16" ht="25.5" x14ac:dyDescent="0.25">
      <c r="A47" s="15" t="s">
        <v>616</v>
      </c>
      <c r="B47" s="15" t="s">
        <v>617</v>
      </c>
      <c r="C47" s="15" t="s">
        <v>618</v>
      </c>
      <c r="D47" s="15" t="s">
        <v>619</v>
      </c>
      <c r="E47" s="15" t="s">
        <v>620</v>
      </c>
      <c r="F47" s="15" t="s">
        <v>621</v>
      </c>
      <c r="G47" s="5" t="s">
        <v>25</v>
      </c>
      <c r="H47" s="5" t="s">
        <v>622</v>
      </c>
      <c r="I47" s="15" t="s">
        <v>623</v>
      </c>
      <c r="J47" s="15" t="s">
        <v>353</v>
      </c>
      <c r="K47" s="15"/>
      <c r="L47" s="8" t="str">
        <f>IF($K47="","",IFERROR(IF(INDEX(Service_Providers!$C$2:$C$104,MATCH($K47,Service_Providers!$A$2:$A$104,0))="","",INDEX(Service_Providers!$C$2:$C$104,MATCH($K47,Service_Providers!$A$2:$A$104,0)))&amp;IF(AND(INDEX(Service_Providers!$C$2:$C$104,MATCH($K47,Service_Providers!$A$2:$A$104,0))&lt;&gt;"",INDEX(Service_Providers!$D$2:$D$104,MATCH($K47,Service_Providers!$A$2:$A$104,0))&lt;&gt;""),CHAR(10),"")&amp;IF(INDEX(Service_Providers!$D$2:$D$104,MATCH($K47,Service_Providers!$A$2:$A$104,0))="","",INDEX(Service_Providers!$D$2:$D$104,MATCH($K47,Service_Providers!$A$2:$A$104,0))),"Provider not found"))</f>
        <v/>
      </c>
      <c r="M47" s="15"/>
      <c r="N47" s="8" t="str">
        <f>IF($M47="","",IFERROR(IF(INDEX(Service_Providers!$C$2:$C$104,MATCH($M47,Service_Providers!$A$2:$A$104,0))="","",INDEX(Service_Providers!$C$2:$C$104,MATCH($M47,Service_Providers!$A$2:$A$104,0)))&amp;IF(AND(INDEX(Service_Providers!$C$2:$C$104,MATCH($M47,Service_Providers!$A$2:$A$104,0))&lt;&gt;"",INDEX(Service_Providers!$D$2:$D$104,MATCH($M47,Service_Providers!$A$2:$A$104,0))&lt;&gt;""),CHAR(10),"")&amp;IF(INDEX(Service_Providers!$D$2:$D$104,MATCH($M47,Service_Providers!$A$2:$A$104,0))="","",INDEX(Service_Providers!$D$2:$D$104,MATCH($M47,Service_Providers!$A$2:$A$104,0))),"Provider not found"))</f>
        <v/>
      </c>
      <c r="O47" s="15" t="s">
        <v>624</v>
      </c>
      <c r="P47" s="15" t="s">
        <v>58</v>
      </c>
    </row>
    <row r="48" spans="1:16" ht="38.25" x14ac:dyDescent="0.25">
      <c r="A48" s="15" t="s">
        <v>625</v>
      </c>
      <c r="B48" s="15" t="s">
        <v>626</v>
      </c>
      <c r="C48" s="15"/>
      <c r="D48" s="15" t="s">
        <v>627</v>
      </c>
      <c r="E48" s="15" t="s">
        <v>628</v>
      </c>
      <c r="F48" s="15" t="s">
        <v>629</v>
      </c>
      <c r="G48" s="5" t="s">
        <v>26</v>
      </c>
      <c r="H48" s="5" t="s">
        <v>630</v>
      </c>
      <c r="I48" s="15" t="s">
        <v>352</v>
      </c>
      <c r="J48" s="15" t="s">
        <v>353</v>
      </c>
      <c r="K48" s="15" t="s">
        <v>130</v>
      </c>
      <c r="L48" s="8" t="str">
        <f>IF($K48="","",IFERROR(IF(INDEX(Service_Providers!$C$2:$C$104,MATCH($K48,Service_Providers!$A$2:$A$104,0))="","",INDEX(Service_Providers!$C$2:$C$104,MATCH($K48,Service_Providers!$A$2:$A$104,0)))&amp;IF(AND(INDEX(Service_Providers!$C$2:$C$104,MATCH($K48,Service_Providers!$A$2:$A$104,0))&lt;&gt;"",INDEX(Service_Providers!$D$2:$D$104,MATCH($K48,Service_Providers!$A$2:$A$104,0))&lt;&gt;""),CHAR(10),"")&amp;IF(INDEX(Service_Providers!$D$2:$D$104,MATCH($K48,Service_Providers!$A$2:$A$104,0))="","",INDEX(Service_Providers!$D$2:$D$104,MATCH($K48,Service_Providers!$A$2:$A$104,0))),"Provider not found"))</f>
        <v>(888) 523-1684
service@etsc.coffee</v>
      </c>
      <c r="M48" s="15" t="s">
        <v>247</v>
      </c>
      <c r="N48" s="8" t="str">
        <f>IF($M48="","",IFERROR(IF(INDEX(Service_Providers!$C$2:$C$104,MATCH($M48,Service_Providers!$A$2:$A$104,0))="","",INDEX(Service_Providers!$C$2:$C$104,MATCH($M48,Service_Providers!$A$2:$A$104,0)))&amp;IF(AND(INDEX(Service_Providers!$C$2:$C$104,MATCH($M48,Service_Providers!$A$2:$A$104,0))&lt;&gt;"",INDEX(Service_Providers!$D$2:$D$104,MATCH($M48,Service_Providers!$A$2:$A$104,0))&lt;&gt;""),CHAR(10),"")&amp;IF(INDEX(Service_Providers!$D$2:$D$104,MATCH($M48,Service_Providers!$A$2:$A$104,0))="","",INDEX(Service_Providers!$D$2:$D$104,MATCH($M48,Service_Providers!$A$2:$A$104,0))),"Provider not found"))</f>
        <v>314.541.5256
ultimateespressoservices@gmail.com</v>
      </c>
      <c r="O48" s="15" t="s">
        <v>631</v>
      </c>
      <c r="P48" s="15" t="s">
        <v>58</v>
      </c>
    </row>
    <row r="49" spans="1:16" ht="38.25" x14ac:dyDescent="0.25">
      <c r="A49" s="15" t="s">
        <v>632</v>
      </c>
      <c r="B49" s="15" t="s">
        <v>633</v>
      </c>
      <c r="C49" s="15"/>
      <c r="D49" s="15"/>
      <c r="E49" s="15" t="s">
        <v>634</v>
      </c>
      <c r="F49" s="15" t="s">
        <v>635</v>
      </c>
      <c r="G49" s="5" t="s">
        <v>26</v>
      </c>
      <c r="H49" s="5" t="s">
        <v>636</v>
      </c>
      <c r="I49" s="15" t="s">
        <v>637</v>
      </c>
      <c r="J49" s="15" t="s">
        <v>367</v>
      </c>
      <c r="K49" s="15" t="s">
        <v>247</v>
      </c>
      <c r="L49" s="8" t="str">
        <f>IF($K49="","",IFERROR(IF(INDEX(Service_Providers!$C$2:$C$104,MATCH($K49,Service_Providers!$A$2:$A$104,0))="","",INDEX(Service_Providers!$C$2:$C$104,MATCH($K49,Service_Providers!$A$2:$A$104,0)))&amp;IF(AND(INDEX(Service_Providers!$C$2:$C$104,MATCH($K49,Service_Providers!$A$2:$A$104,0))&lt;&gt;"",INDEX(Service_Providers!$D$2:$D$104,MATCH($K49,Service_Providers!$A$2:$A$104,0))&lt;&gt;""),CHAR(10),"")&amp;IF(INDEX(Service_Providers!$D$2:$D$104,MATCH($K49,Service_Providers!$A$2:$A$104,0))="","",INDEX(Service_Providers!$D$2:$D$104,MATCH($K49,Service_Providers!$A$2:$A$104,0))),"Provider not found"))</f>
        <v>314.541.5256
ultimateespressoservices@gmail.com</v>
      </c>
      <c r="M49" s="15" t="s">
        <v>130</v>
      </c>
      <c r="N49" s="8" t="str">
        <f>IF($M49="","",IFERROR(IF(INDEX(Service_Providers!$C$2:$C$104,MATCH($M49,Service_Providers!$A$2:$A$104,0))="","",INDEX(Service_Providers!$C$2:$C$104,MATCH($M49,Service_Providers!$A$2:$A$104,0)))&amp;IF(AND(INDEX(Service_Providers!$C$2:$C$104,MATCH($M49,Service_Providers!$A$2:$A$104,0))&lt;&gt;"",INDEX(Service_Providers!$D$2:$D$104,MATCH($M49,Service_Providers!$A$2:$A$104,0))&lt;&gt;""),CHAR(10),"")&amp;IF(INDEX(Service_Providers!$D$2:$D$104,MATCH($M49,Service_Providers!$A$2:$A$104,0))="","",INDEX(Service_Providers!$D$2:$D$104,MATCH($M49,Service_Providers!$A$2:$A$104,0))),"Provider not found"))</f>
        <v>(888) 523-1684
service@etsc.coffee</v>
      </c>
      <c r="O49" s="15" t="s">
        <v>631</v>
      </c>
      <c r="P49" s="15" t="s">
        <v>58</v>
      </c>
    </row>
    <row r="50" spans="1:16" ht="25.5" x14ac:dyDescent="0.25">
      <c r="A50" s="15" t="s">
        <v>638</v>
      </c>
      <c r="B50" s="15" t="s">
        <v>639</v>
      </c>
      <c r="C50" s="15"/>
      <c r="D50" s="15" t="s">
        <v>640</v>
      </c>
      <c r="E50" s="15" t="s">
        <v>641</v>
      </c>
      <c r="F50" s="15" t="s">
        <v>642</v>
      </c>
      <c r="G50" s="5" t="s">
        <v>27</v>
      </c>
      <c r="H50" s="5" t="s">
        <v>643</v>
      </c>
      <c r="I50" s="15" t="s">
        <v>644</v>
      </c>
      <c r="J50" s="15" t="s">
        <v>353</v>
      </c>
      <c r="K50" s="15" t="s">
        <v>111</v>
      </c>
      <c r="L50" s="8" t="str">
        <f>IF($K50="","",IFERROR(IF(INDEX(Service_Providers!$C$2:$C$104,MATCH($K50,Service_Providers!$A$2:$A$104,0))="","",INDEX(Service_Providers!$C$2:$C$104,MATCH($K50,Service_Providers!$A$2:$A$104,0)))&amp;IF(AND(INDEX(Service_Providers!$C$2:$C$104,MATCH($K50,Service_Providers!$A$2:$A$104,0))&lt;&gt;"",INDEX(Service_Providers!$D$2:$D$104,MATCH($K50,Service_Providers!$A$2:$A$104,0))&lt;&gt;""),CHAR(10),"")&amp;IF(INDEX(Service_Providers!$D$2:$D$104,MATCH($K50,Service_Providers!$A$2:$A$104,0))="","",INDEX(Service_Providers!$D$2:$D$104,MATCH($K50,Service_Providers!$A$2:$A$104,0))),"Provider not found"))</f>
        <v>803-280-5234
chris.powers@hotmail.com</v>
      </c>
      <c r="M50" s="15"/>
      <c r="N50" s="8" t="str">
        <f>IF($M50="","",IFERROR(IF(INDEX(Service_Providers!$C$2:$C$104,MATCH($M50,Service_Providers!$A$2:$A$104,0))="","",INDEX(Service_Providers!$C$2:$C$104,MATCH($M50,Service_Providers!$A$2:$A$104,0)))&amp;IF(AND(INDEX(Service_Providers!$C$2:$C$104,MATCH($M50,Service_Providers!$A$2:$A$104,0))&lt;&gt;"",INDEX(Service_Providers!$D$2:$D$104,MATCH($M50,Service_Providers!$A$2:$A$104,0))&lt;&gt;""),CHAR(10),"")&amp;IF(INDEX(Service_Providers!$D$2:$D$104,MATCH($M50,Service_Providers!$A$2:$A$104,0))="","",INDEX(Service_Providers!$D$2:$D$104,MATCH($M50,Service_Providers!$A$2:$A$104,0))),"Provider not found"))</f>
        <v/>
      </c>
      <c r="O50" s="15" t="s">
        <v>645</v>
      </c>
      <c r="P50" s="15" t="s">
        <v>58</v>
      </c>
    </row>
    <row r="51" spans="1:16" ht="25.5" x14ac:dyDescent="0.25">
      <c r="A51" s="15" t="s">
        <v>646</v>
      </c>
      <c r="B51" s="15" t="s">
        <v>647</v>
      </c>
      <c r="C51" s="15" t="s">
        <v>648</v>
      </c>
      <c r="D51" s="15" t="s">
        <v>509</v>
      </c>
      <c r="E51" s="15" t="s">
        <v>649</v>
      </c>
      <c r="F51" s="15" t="s">
        <v>650</v>
      </c>
      <c r="G51" s="5" t="s">
        <v>27</v>
      </c>
      <c r="H51" s="5" t="s">
        <v>651</v>
      </c>
      <c r="I51" s="15" t="s">
        <v>623</v>
      </c>
      <c r="J51" s="15" t="s">
        <v>353</v>
      </c>
      <c r="K51" s="15" t="s">
        <v>111</v>
      </c>
      <c r="L51" s="8" t="str">
        <f>IF($K51="","",IFERROR(IF(INDEX(Service_Providers!$C$2:$C$104,MATCH($K51,Service_Providers!$A$2:$A$104,0))="","",INDEX(Service_Providers!$C$2:$C$104,MATCH($K51,Service_Providers!$A$2:$A$104,0)))&amp;IF(AND(INDEX(Service_Providers!$C$2:$C$104,MATCH($K51,Service_Providers!$A$2:$A$104,0))&lt;&gt;"",INDEX(Service_Providers!$D$2:$D$104,MATCH($K51,Service_Providers!$A$2:$A$104,0))&lt;&gt;""),CHAR(10),"")&amp;IF(INDEX(Service_Providers!$D$2:$D$104,MATCH($K51,Service_Providers!$A$2:$A$104,0))="","",INDEX(Service_Providers!$D$2:$D$104,MATCH($K51,Service_Providers!$A$2:$A$104,0))),"Provider not found"))</f>
        <v>803-280-5234
chris.powers@hotmail.com</v>
      </c>
      <c r="M51" s="15"/>
      <c r="N51" s="8" t="str">
        <f>IF($M51="","",IFERROR(IF(INDEX(Service_Providers!$C$2:$C$104,MATCH($M51,Service_Providers!$A$2:$A$104,0))="","",INDEX(Service_Providers!$C$2:$C$104,MATCH($M51,Service_Providers!$A$2:$A$104,0)))&amp;IF(AND(INDEX(Service_Providers!$C$2:$C$104,MATCH($M51,Service_Providers!$A$2:$A$104,0))&lt;&gt;"",INDEX(Service_Providers!$D$2:$D$104,MATCH($M51,Service_Providers!$A$2:$A$104,0))&lt;&gt;""),CHAR(10),"")&amp;IF(INDEX(Service_Providers!$D$2:$D$104,MATCH($M51,Service_Providers!$A$2:$A$104,0))="","",INDEX(Service_Providers!$D$2:$D$104,MATCH($M51,Service_Providers!$A$2:$A$104,0))),"Provider not found"))</f>
        <v/>
      </c>
      <c r="O51" s="15" t="s">
        <v>645</v>
      </c>
      <c r="P51" s="15" t="s">
        <v>58</v>
      </c>
    </row>
    <row r="52" spans="1:16" ht="25.5" x14ac:dyDescent="0.25">
      <c r="A52" s="15" t="s">
        <v>652</v>
      </c>
      <c r="B52" s="15" t="s">
        <v>647</v>
      </c>
      <c r="C52" s="15" t="s">
        <v>653</v>
      </c>
      <c r="D52" s="15" t="s">
        <v>654</v>
      </c>
      <c r="E52" s="15" t="s">
        <v>655</v>
      </c>
      <c r="F52" s="15" t="s">
        <v>656</v>
      </c>
      <c r="G52" s="5" t="s">
        <v>27</v>
      </c>
      <c r="H52" s="5" t="s">
        <v>657</v>
      </c>
      <c r="I52" s="15" t="s">
        <v>623</v>
      </c>
      <c r="J52" s="15" t="s">
        <v>353</v>
      </c>
      <c r="K52" s="15" t="s">
        <v>111</v>
      </c>
      <c r="L52" s="8" t="str">
        <f>IF($K52="","",IFERROR(IF(INDEX(Service_Providers!$C$2:$C$104,MATCH($K52,Service_Providers!$A$2:$A$104,0))="","",INDEX(Service_Providers!$C$2:$C$104,MATCH($K52,Service_Providers!$A$2:$A$104,0)))&amp;IF(AND(INDEX(Service_Providers!$C$2:$C$104,MATCH($K52,Service_Providers!$A$2:$A$104,0))&lt;&gt;"",INDEX(Service_Providers!$D$2:$D$104,MATCH($K52,Service_Providers!$A$2:$A$104,0))&lt;&gt;""),CHAR(10),"")&amp;IF(INDEX(Service_Providers!$D$2:$D$104,MATCH($K52,Service_Providers!$A$2:$A$104,0))="","",INDEX(Service_Providers!$D$2:$D$104,MATCH($K52,Service_Providers!$A$2:$A$104,0))),"Provider not found"))</f>
        <v>803-280-5234
chris.powers@hotmail.com</v>
      </c>
      <c r="M52" s="15"/>
      <c r="N52" s="8" t="str">
        <f>IF($M52="","",IFERROR(IF(INDEX(Service_Providers!$C$2:$C$104,MATCH($M52,Service_Providers!$A$2:$A$104,0))="","",INDEX(Service_Providers!$C$2:$C$104,MATCH($M52,Service_Providers!$A$2:$A$104,0)))&amp;IF(AND(INDEX(Service_Providers!$C$2:$C$104,MATCH($M52,Service_Providers!$A$2:$A$104,0))&lt;&gt;"",INDEX(Service_Providers!$D$2:$D$104,MATCH($M52,Service_Providers!$A$2:$A$104,0))&lt;&gt;""),CHAR(10),"")&amp;IF(INDEX(Service_Providers!$D$2:$D$104,MATCH($M52,Service_Providers!$A$2:$A$104,0))="","",INDEX(Service_Providers!$D$2:$D$104,MATCH($M52,Service_Providers!$A$2:$A$104,0))),"Provider not found"))</f>
        <v/>
      </c>
      <c r="O52" s="15" t="s">
        <v>645</v>
      </c>
      <c r="P52" s="15" t="s">
        <v>58</v>
      </c>
    </row>
    <row r="53" spans="1:16" ht="51" x14ac:dyDescent="0.25">
      <c r="A53" s="15" t="s">
        <v>658</v>
      </c>
      <c r="B53" s="15" t="s">
        <v>659</v>
      </c>
      <c r="C53" s="15" t="s">
        <v>660</v>
      </c>
      <c r="D53" s="15" t="s">
        <v>661</v>
      </c>
      <c r="E53" s="15" t="s">
        <v>662</v>
      </c>
      <c r="F53" s="15" t="s">
        <v>663</v>
      </c>
      <c r="G53" s="5" t="s">
        <v>27</v>
      </c>
      <c r="H53" s="5" t="s">
        <v>664</v>
      </c>
      <c r="I53" s="15" t="s">
        <v>665</v>
      </c>
      <c r="J53" s="15" t="s">
        <v>353</v>
      </c>
      <c r="K53" s="15" t="s">
        <v>111</v>
      </c>
      <c r="L53" s="8" t="str">
        <f>IF($K53="","",IFERROR(IF(INDEX(Service_Providers!$C$2:$C$104,MATCH($K53,Service_Providers!$A$2:$A$104,0))="","",INDEX(Service_Providers!$C$2:$C$104,MATCH($K53,Service_Providers!$A$2:$A$104,0)))&amp;IF(AND(INDEX(Service_Providers!$C$2:$C$104,MATCH($K53,Service_Providers!$A$2:$A$104,0))&lt;&gt;"",INDEX(Service_Providers!$D$2:$D$104,MATCH($K53,Service_Providers!$A$2:$A$104,0))&lt;&gt;""),CHAR(10),"")&amp;IF(INDEX(Service_Providers!$D$2:$D$104,MATCH($K53,Service_Providers!$A$2:$A$104,0))="","",INDEX(Service_Providers!$D$2:$D$104,MATCH($K53,Service_Providers!$A$2:$A$104,0))),"Provider not found"))</f>
        <v>803-280-5234
chris.powers@hotmail.com</v>
      </c>
      <c r="M53" s="15"/>
      <c r="N53" s="8" t="str">
        <f>IF($M53="","",IFERROR(IF(INDEX(Service_Providers!$C$2:$C$104,MATCH($M53,Service_Providers!$A$2:$A$104,0))="","",INDEX(Service_Providers!$C$2:$C$104,MATCH($M53,Service_Providers!$A$2:$A$104,0)))&amp;IF(AND(INDEX(Service_Providers!$C$2:$C$104,MATCH($M53,Service_Providers!$A$2:$A$104,0))&lt;&gt;"",INDEX(Service_Providers!$D$2:$D$104,MATCH($M53,Service_Providers!$A$2:$A$104,0))&lt;&gt;""),CHAR(10),"")&amp;IF(INDEX(Service_Providers!$D$2:$D$104,MATCH($M53,Service_Providers!$A$2:$A$104,0))="","",INDEX(Service_Providers!$D$2:$D$104,MATCH($M53,Service_Providers!$A$2:$A$104,0))),"Provider not found"))</f>
        <v/>
      </c>
      <c r="O53" s="15" t="s">
        <v>645</v>
      </c>
      <c r="P53" s="15" t="s">
        <v>58</v>
      </c>
    </row>
    <row r="54" spans="1:16" ht="38.25" x14ac:dyDescent="0.25">
      <c r="A54" s="15" t="s">
        <v>666</v>
      </c>
      <c r="B54" s="15" t="s">
        <v>667</v>
      </c>
      <c r="C54" s="15"/>
      <c r="D54" s="15" t="s">
        <v>668</v>
      </c>
      <c r="E54" s="15" t="s">
        <v>669</v>
      </c>
      <c r="F54" s="15" t="s">
        <v>656</v>
      </c>
      <c r="G54" s="5" t="s">
        <v>27</v>
      </c>
      <c r="H54" s="5" t="s">
        <v>670</v>
      </c>
      <c r="I54" s="15" t="s">
        <v>671</v>
      </c>
      <c r="J54" s="15" t="s">
        <v>304</v>
      </c>
      <c r="K54" s="15" t="s">
        <v>111</v>
      </c>
      <c r="L54" s="8" t="str">
        <f>IF($K54="","",IFERROR(IF(INDEX(Service_Providers!$C$2:$C$104,MATCH($K54,Service_Providers!$A$2:$A$104,0))="","",INDEX(Service_Providers!$C$2:$C$104,MATCH($K54,Service_Providers!$A$2:$A$104,0)))&amp;IF(AND(INDEX(Service_Providers!$C$2:$C$104,MATCH($K54,Service_Providers!$A$2:$A$104,0))&lt;&gt;"",INDEX(Service_Providers!$D$2:$D$104,MATCH($K54,Service_Providers!$A$2:$A$104,0))&lt;&gt;""),CHAR(10),"")&amp;IF(INDEX(Service_Providers!$D$2:$D$104,MATCH($K54,Service_Providers!$A$2:$A$104,0))="","",INDEX(Service_Providers!$D$2:$D$104,MATCH($K54,Service_Providers!$A$2:$A$104,0))),"Provider not found"))</f>
        <v>803-280-5234
chris.powers@hotmail.com</v>
      </c>
      <c r="M54" s="15"/>
      <c r="N54" s="8" t="str">
        <f>IF($M54="","",IFERROR(IF(INDEX(Service_Providers!$C$2:$C$104,MATCH($M54,Service_Providers!$A$2:$A$104,0))="","",INDEX(Service_Providers!$C$2:$C$104,MATCH($M54,Service_Providers!$A$2:$A$104,0)))&amp;IF(AND(INDEX(Service_Providers!$C$2:$C$104,MATCH($M54,Service_Providers!$A$2:$A$104,0))&lt;&gt;"",INDEX(Service_Providers!$D$2:$D$104,MATCH($M54,Service_Providers!$A$2:$A$104,0))&lt;&gt;""),CHAR(10),"")&amp;IF(INDEX(Service_Providers!$D$2:$D$104,MATCH($M54,Service_Providers!$A$2:$A$104,0))="","",INDEX(Service_Providers!$D$2:$D$104,MATCH($M54,Service_Providers!$A$2:$A$104,0))),"Provider not found"))</f>
        <v/>
      </c>
      <c r="O54" s="15" t="s">
        <v>645</v>
      </c>
      <c r="P54" s="15" t="s">
        <v>58</v>
      </c>
    </row>
    <row r="55" spans="1:16" ht="25.5" x14ac:dyDescent="0.25">
      <c r="A55" s="15" t="s">
        <v>672</v>
      </c>
      <c r="B55" s="15" t="s">
        <v>673</v>
      </c>
      <c r="C55" s="15" t="s">
        <v>674</v>
      </c>
      <c r="D55" s="15" t="s">
        <v>675</v>
      </c>
      <c r="E55" s="15" t="s">
        <v>676</v>
      </c>
      <c r="F55" s="15" t="s">
        <v>677</v>
      </c>
      <c r="G55" s="5" t="s">
        <v>28</v>
      </c>
      <c r="H55" s="5" t="s">
        <v>678</v>
      </c>
      <c r="I55" s="15" t="s">
        <v>447</v>
      </c>
      <c r="J55" s="15" t="s">
        <v>353</v>
      </c>
      <c r="K55" s="15" t="s">
        <v>130</v>
      </c>
      <c r="L55" s="8" t="str">
        <f>IF($K55="","",IFERROR(IF(INDEX(Service_Providers!$C$2:$C$104,MATCH($K55,Service_Providers!$A$2:$A$104,0))="","",INDEX(Service_Providers!$C$2:$C$104,MATCH($K55,Service_Providers!$A$2:$A$104,0)))&amp;IF(AND(INDEX(Service_Providers!$C$2:$C$104,MATCH($K55,Service_Providers!$A$2:$A$104,0))&lt;&gt;"",INDEX(Service_Providers!$D$2:$D$104,MATCH($K55,Service_Providers!$A$2:$A$104,0))&lt;&gt;""),CHAR(10),"")&amp;IF(INDEX(Service_Providers!$D$2:$D$104,MATCH($K55,Service_Providers!$A$2:$A$104,0))="","",INDEX(Service_Providers!$D$2:$D$104,MATCH($K55,Service_Providers!$A$2:$A$104,0))),"Provider not found"))</f>
        <v>(888) 523-1684
service@etsc.coffee</v>
      </c>
      <c r="M55" s="15"/>
      <c r="N55" s="8" t="str">
        <f>IF($M55="","",IFERROR(IF(INDEX(Service_Providers!$C$2:$C$104,MATCH($M55,Service_Providers!$A$2:$A$104,0))="","",INDEX(Service_Providers!$C$2:$C$104,MATCH($M55,Service_Providers!$A$2:$A$104,0)))&amp;IF(AND(INDEX(Service_Providers!$C$2:$C$104,MATCH($M55,Service_Providers!$A$2:$A$104,0))&lt;&gt;"",INDEX(Service_Providers!$D$2:$D$104,MATCH($M55,Service_Providers!$A$2:$A$104,0))&lt;&gt;""),CHAR(10),"")&amp;IF(INDEX(Service_Providers!$D$2:$D$104,MATCH($M55,Service_Providers!$A$2:$A$104,0))="","",INDEX(Service_Providers!$D$2:$D$104,MATCH($M55,Service_Providers!$A$2:$A$104,0))),"Provider not found"))</f>
        <v/>
      </c>
      <c r="O55" s="15" t="s">
        <v>679</v>
      </c>
      <c r="P55" s="15" t="s">
        <v>58</v>
      </c>
    </row>
    <row r="56" spans="1:16" ht="89.25" x14ac:dyDescent="0.25">
      <c r="A56" s="15" t="s">
        <v>680</v>
      </c>
      <c r="B56" s="15" t="s">
        <v>681</v>
      </c>
      <c r="C56" s="15" t="s">
        <v>682</v>
      </c>
      <c r="D56" s="15"/>
      <c r="E56" s="15" t="s">
        <v>683</v>
      </c>
      <c r="F56" s="15" t="s">
        <v>684</v>
      </c>
      <c r="G56" s="5" t="s">
        <v>29</v>
      </c>
      <c r="H56" s="5" t="s">
        <v>685</v>
      </c>
      <c r="I56" s="15" t="s">
        <v>686</v>
      </c>
      <c r="J56" s="15" t="s">
        <v>438</v>
      </c>
      <c r="K56" s="15" t="s">
        <v>202</v>
      </c>
      <c r="L56" s="8" t="str">
        <f>IF($K56="","",IFERROR(IF(INDEX(Service_Providers!$C$2:$C$104,MATCH($K56,Service_Providers!$A$2:$A$104,0))="","",INDEX(Service_Providers!$C$2:$C$104,MATCH($K56,Service_Providers!$A$2:$A$104,0)))&amp;IF(AND(INDEX(Service_Providers!$C$2:$C$104,MATCH($K56,Service_Providers!$A$2:$A$104,0))&lt;&gt;"",INDEX(Service_Providers!$D$2:$D$104,MATCH($K56,Service_Providers!$A$2:$A$104,0))&lt;&gt;""),CHAR(10),"")&amp;IF(INDEX(Service_Providers!$D$2:$D$104,MATCH($K56,Service_Providers!$A$2:$A$104,0))="","",INDEX(Service_Providers!$D$2:$D$104,MATCH($K56,Service_Providers!$A$2:$A$104,0))),"Provider not found"))</f>
        <v>(800) 226-7146
service@priorityone247.com</v>
      </c>
      <c r="M56" s="15" t="s">
        <v>893</v>
      </c>
      <c r="N56" s="8" t="str">
        <f>IF($M56="","",IFERROR(IF(INDEX(Service_Providers!$C$2:$C$104,MATCH($M56,Service_Providers!$A$2:$A$104,0))="","",INDEX(Service_Providers!$C$2:$C$104,MATCH($M56,Service_Providers!$A$2:$A$104,0)))&amp;IF(AND(INDEX(Service_Providers!$C$2:$C$104,MATCH($M56,Service_Providers!$A$2:$A$104,0))&lt;&gt;"",INDEX(Service_Providers!$D$2:$D$104,MATCH($M56,Service_Providers!$A$2:$A$104,0))&lt;&gt;""),CHAR(10),"")&amp;IF(INDEX(Service_Providers!$D$2:$D$104,MATCH($M56,Service_Providers!$A$2:$A$104,0))="","",INDEX(Service_Providers!$D$2:$D$104,MATCH($M56,Service_Providers!$A$2:$A$104,0))),"Provider not found"))</f>
        <v>Office: (833) 203-2285
Service@FASTCILITYCORP.COM
https://app.servicefusion.com/fastcility
Username: Jesus@katzcoffee.com
F!xmy5!t03</v>
      </c>
      <c r="O56" s="15" t="s">
        <v>687</v>
      </c>
      <c r="P56" s="15" t="s">
        <v>58</v>
      </c>
    </row>
    <row r="57" spans="1:16" ht="89.25" x14ac:dyDescent="0.25">
      <c r="A57" s="15" t="s">
        <v>688</v>
      </c>
      <c r="B57" s="15" t="s">
        <v>689</v>
      </c>
      <c r="C57" s="15" t="s">
        <v>690</v>
      </c>
      <c r="D57" s="15"/>
      <c r="E57" s="15" t="s">
        <v>691</v>
      </c>
      <c r="F57" s="15" t="s">
        <v>692</v>
      </c>
      <c r="G57" s="5" t="s">
        <v>30</v>
      </c>
      <c r="H57" s="5" t="s">
        <v>693</v>
      </c>
      <c r="I57" s="15" t="s">
        <v>694</v>
      </c>
      <c r="J57" s="15" t="s">
        <v>367</v>
      </c>
      <c r="K57" s="15" t="s">
        <v>73</v>
      </c>
      <c r="L57" s="8" t="str">
        <f>IF($K57="","",IFERROR(IF(INDEX(Service_Providers!$C$2:$C$104,MATCH($K57,Service_Providers!$A$2:$A$104,0))="","",INDEX(Service_Providers!$C$2:$C$104,MATCH($K57,Service_Providers!$A$2:$A$104,0)))&amp;IF(AND(INDEX(Service_Providers!$C$2:$C$104,MATCH($K57,Service_Providers!$A$2:$A$104,0))&lt;&gt;"",INDEX(Service_Providers!$D$2:$D$104,MATCH($K57,Service_Providers!$A$2:$A$104,0))&lt;&gt;""),CHAR(10),"")&amp;IF(INDEX(Service_Providers!$D$2:$D$104,MATCH($K57,Service_Providers!$A$2:$A$104,0))="","",INDEX(Service_Providers!$D$2:$D$104,MATCH($K57,Service_Providers!$A$2:$A$104,0))),"Provider not found"))</f>
        <v>Contact: Cynthia                                         Phone: 714-335-9964
Cell: 714-395-8108
anytimebeverageservice@gmail.com</v>
      </c>
      <c r="M57" s="15" t="s">
        <v>893</v>
      </c>
      <c r="N57" s="8" t="str">
        <f>IF($M57="","",IFERROR(IF(INDEX(Service_Providers!$C$2:$C$104,MATCH($M57,Service_Providers!$A$2:$A$104,0))="","",INDEX(Service_Providers!$C$2:$C$104,MATCH($M57,Service_Providers!$A$2:$A$104,0)))&amp;IF(AND(INDEX(Service_Providers!$C$2:$C$104,MATCH($M57,Service_Providers!$A$2:$A$104,0))&lt;&gt;"",INDEX(Service_Providers!$D$2:$D$104,MATCH($M57,Service_Providers!$A$2:$A$104,0))&lt;&gt;""),CHAR(10),"")&amp;IF(INDEX(Service_Providers!$D$2:$D$104,MATCH($M57,Service_Providers!$A$2:$A$104,0))="","",INDEX(Service_Providers!$D$2:$D$104,MATCH($M57,Service_Providers!$A$2:$A$104,0))),"Provider not found"))</f>
        <v>Office: (833) 203-2285
Service@FASTCILITYCORP.COM
https://app.servicefusion.com/fastcility
Username: Jesus@katzcoffee.com
F!xmy5!t03</v>
      </c>
      <c r="O57" s="15"/>
      <c r="P57" s="15" t="s">
        <v>58</v>
      </c>
    </row>
    <row r="58" spans="1:16" ht="89.25" x14ac:dyDescent="0.25">
      <c r="A58" s="15" t="s">
        <v>695</v>
      </c>
      <c r="B58" s="15" t="s">
        <v>689</v>
      </c>
      <c r="C58" s="15" t="s">
        <v>696</v>
      </c>
      <c r="D58" s="15"/>
      <c r="E58" s="15" t="s">
        <v>691</v>
      </c>
      <c r="F58" s="15" t="s">
        <v>692</v>
      </c>
      <c r="G58" s="5" t="s">
        <v>30</v>
      </c>
      <c r="H58" s="5" t="s">
        <v>693</v>
      </c>
      <c r="I58" s="15" t="s">
        <v>694</v>
      </c>
      <c r="J58" s="15" t="s">
        <v>367</v>
      </c>
      <c r="K58" s="15" t="s">
        <v>73</v>
      </c>
      <c r="L58" s="8" t="str">
        <f>IF($K58="","",IFERROR(IF(INDEX(Service_Providers!$C$2:$C$104,MATCH($K58,Service_Providers!$A$2:$A$104,0))="","",INDEX(Service_Providers!$C$2:$C$104,MATCH($K58,Service_Providers!$A$2:$A$104,0)))&amp;IF(AND(INDEX(Service_Providers!$C$2:$C$104,MATCH($K58,Service_Providers!$A$2:$A$104,0))&lt;&gt;"",INDEX(Service_Providers!$D$2:$D$104,MATCH($K58,Service_Providers!$A$2:$A$104,0))&lt;&gt;""),CHAR(10),"")&amp;IF(INDEX(Service_Providers!$D$2:$D$104,MATCH($K58,Service_Providers!$A$2:$A$104,0))="","",INDEX(Service_Providers!$D$2:$D$104,MATCH($K58,Service_Providers!$A$2:$A$104,0))),"Provider not found"))</f>
        <v>Contact: Cynthia                                         Phone: 714-335-9964
Cell: 714-395-8108
anytimebeverageservice@gmail.com</v>
      </c>
      <c r="M58" s="15" t="s">
        <v>893</v>
      </c>
      <c r="N58" s="8" t="str">
        <f>IF($M58="","",IFERROR(IF(INDEX(Service_Providers!$C$2:$C$104,MATCH($M58,Service_Providers!$A$2:$A$104,0))="","",INDEX(Service_Providers!$C$2:$C$104,MATCH($M58,Service_Providers!$A$2:$A$104,0)))&amp;IF(AND(INDEX(Service_Providers!$C$2:$C$104,MATCH($M58,Service_Providers!$A$2:$A$104,0))&lt;&gt;"",INDEX(Service_Providers!$D$2:$D$104,MATCH($M58,Service_Providers!$A$2:$A$104,0))&lt;&gt;""),CHAR(10),"")&amp;IF(INDEX(Service_Providers!$D$2:$D$104,MATCH($M58,Service_Providers!$A$2:$A$104,0))="","",INDEX(Service_Providers!$D$2:$D$104,MATCH($M58,Service_Providers!$A$2:$A$104,0))),"Provider not found"))</f>
        <v>Office: (833) 203-2285
Service@FASTCILITYCORP.COM
https://app.servicefusion.com/fastcility
Username: Jesus@katzcoffee.com
F!xmy5!t03</v>
      </c>
      <c r="O58" s="15"/>
      <c r="P58" s="15" t="s">
        <v>58</v>
      </c>
    </row>
    <row r="59" spans="1:16" ht="25.5" x14ac:dyDescent="0.25">
      <c r="A59" s="15" t="s">
        <v>697</v>
      </c>
      <c r="B59" s="15" t="s">
        <v>698</v>
      </c>
      <c r="C59" s="15"/>
      <c r="D59" s="15"/>
      <c r="E59" s="15" t="s">
        <v>699</v>
      </c>
      <c r="F59" s="15" t="s">
        <v>700</v>
      </c>
      <c r="G59" s="5" t="s">
        <v>31</v>
      </c>
      <c r="H59" s="5" t="s">
        <v>701</v>
      </c>
      <c r="I59" s="15" t="s">
        <v>702</v>
      </c>
      <c r="J59" s="15" t="s">
        <v>353</v>
      </c>
      <c r="K59" s="15" t="s">
        <v>197</v>
      </c>
      <c r="L59" s="8" t="str">
        <f>IF($K59="","",IFERROR(IF(INDEX(Service_Providers!$C$2:$C$104,MATCH($K59,Service_Providers!$A$2:$A$104,0))="","",INDEX(Service_Providers!$C$2:$C$104,MATCH($K59,Service_Providers!$A$2:$A$104,0)))&amp;IF(AND(INDEX(Service_Providers!$C$2:$C$104,MATCH($K59,Service_Providers!$A$2:$A$104,0))&lt;&gt;"",INDEX(Service_Providers!$D$2:$D$104,MATCH($K59,Service_Providers!$A$2:$A$104,0))&lt;&gt;""),CHAR(10),"")&amp;IF(INDEX(Service_Providers!$D$2:$D$104,MATCH($K59,Service_Providers!$A$2:$A$104,0))="","",INDEX(Service_Providers!$D$2:$D$104,MATCH($K59,Service_Providers!$A$2:$A$104,0))),"Provider not found"))</f>
        <v>636-583-5788
prestigetech@prestigetech.us</v>
      </c>
      <c r="M59" s="15"/>
      <c r="N59" s="8" t="str">
        <f>IF($M59="","",IFERROR(IF(INDEX(Service_Providers!$C$2:$C$104,MATCH($M59,Service_Providers!$A$2:$A$104,0))="","",INDEX(Service_Providers!$C$2:$C$104,MATCH($M59,Service_Providers!$A$2:$A$104,0)))&amp;IF(AND(INDEX(Service_Providers!$C$2:$C$104,MATCH($M59,Service_Providers!$A$2:$A$104,0))&lt;&gt;"",INDEX(Service_Providers!$D$2:$D$104,MATCH($M59,Service_Providers!$A$2:$A$104,0))&lt;&gt;""),CHAR(10),"")&amp;IF(INDEX(Service_Providers!$D$2:$D$104,MATCH($M59,Service_Providers!$A$2:$A$104,0))="","",INDEX(Service_Providers!$D$2:$D$104,MATCH($M59,Service_Providers!$A$2:$A$104,0))),"Provider not found"))</f>
        <v/>
      </c>
      <c r="O59" s="15" t="s">
        <v>703</v>
      </c>
      <c r="P59" s="15" t="s">
        <v>58</v>
      </c>
    </row>
    <row r="60" spans="1:16" ht="25.5" x14ac:dyDescent="0.25">
      <c r="A60" s="15" t="s">
        <v>704</v>
      </c>
      <c r="B60" s="15" t="s">
        <v>698</v>
      </c>
      <c r="C60" s="15"/>
      <c r="D60" s="15" t="s">
        <v>705</v>
      </c>
      <c r="E60" s="15" t="s">
        <v>706</v>
      </c>
      <c r="F60" s="15" t="s">
        <v>700</v>
      </c>
      <c r="G60" s="5" t="s">
        <v>31</v>
      </c>
      <c r="H60" s="5" t="s">
        <v>707</v>
      </c>
      <c r="I60" s="15" t="s">
        <v>456</v>
      </c>
      <c r="J60" s="15" t="s">
        <v>353</v>
      </c>
      <c r="K60" s="15" t="s">
        <v>197</v>
      </c>
      <c r="L60" s="8" t="str">
        <f>IF($K60="","",IFERROR(IF(INDEX(Service_Providers!$C$2:$C$104,MATCH($K60,Service_Providers!$A$2:$A$104,0))="","",INDEX(Service_Providers!$C$2:$C$104,MATCH($K60,Service_Providers!$A$2:$A$104,0)))&amp;IF(AND(INDEX(Service_Providers!$C$2:$C$104,MATCH($K60,Service_Providers!$A$2:$A$104,0))&lt;&gt;"",INDEX(Service_Providers!$D$2:$D$104,MATCH($K60,Service_Providers!$A$2:$A$104,0))&lt;&gt;""),CHAR(10),"")&amp;IF(INDEX(Service_Providers!$D$2:$D$104,MATCH($K60,Service_Providers!$A$2:$A$104,0))="","",INDEX(Service_Providers!$D$2:$D$104,MATCH($K60,Service_Providers!$A$2:$A$104,0))),"Provider not found"))</f>
        <v>636-583-5788
prestigetech@prestigetech.us</v>
      </c>
      <c r="M60" s="15"/>
      <c r="N60" s="8" t="str">
        <f>IF($M60="","",IFERROR(IF(INDEX(Service_Providers!$C$2:$C$104,MATCH($M60,Service_Providers!$A$2:$A$104,0))="","",INDEX(Service_Providers!$C$2:$C$104,MATCH($M60,Service_Providers!$A$2:$A$104,0)))&amp;IF(AND(INDEX(Service_Providers!$C$2:$C$104,MATCH($M60,Service_Providers!$A$2:$A$104,0))&lt;&gt;"",INDEX(Service_Providers!$D$2:$D$104,MATCH($M60,Service_Providers!$A$2:$A$104,0))&lt;&gt;""),CHAR(10),"")&amp;IF(INDEX(Service_Providers!$D$2:$D$104,MATCH($M60,Service_Providers!$A$2:$A$104,0))="","",INDEX(Service_Providers!$D$2:$D$104,MATCH($M60,Service_Providers!$A$2:$A$104,0))),"Provider not found"))</f>
        <v/>
      </c>
      <c r="O60" s="15" t="s">
        <v>703</v>
      </c>
      <c r="P60" s="15" t="s">
        <v>58</v>
      </c>
    </row>
    <row r="61" spans="1:16" ht="25.5" x14ac:dyDescent="0.25">
      <c r="A61" s="15" t="s">
        <v>708</v>
      </c>
      <c r="B61" s="15" t="s">
        <v>698</v>
      </c>
      <c r="C61" s="15"/>
      <c r="D61" s="15"/>
      <c r="E61" s="15" t="s">
        <v>709</v>
      </c>
      <c r="F61" s="15" t="s">
        <v>700</v>
      </c>
      <c r="G61" s="5" t="s">
        <v>31</v>
      </c>
      <c r="H61" s="5" t="s">
        <v>710</v>
      </c>
      <c r="I61" s="15" t="s">
        <v>456</v>
      </c>
      <c r="J61" s="15" t="s">
        <v>353</v>
      </c>
      <c r="K61" s="15" t="s">
        <v>197</v>
      </c>
      <c r="L61" s="8" t="str">
        <f>IF($K61="","",IFERROR(IF(INDEX(Service_Providers!$C$2:$C$104,MATCH($K61,Service_Providers!$A$2:$A$104,0))="","",INDEX(Service_Providers!$C$2:$C$104,MATCH($K61,Service_Providers!$A$2:$A$104,0)))&amp;IF(AND(INDEX(Service_Providers!$C$2:$C$104,MATCH($K61,Service_Providers!$A$2:$A$104,0))&lt;&gt;"",INDEX(Service_Providers!$D$2:$D$104,MATCH($K61,Service_Providers!$A$2:$A$104,0))&lt;&gt;""),CHAR(10),"")&amp;IF(INDEX(Service_Providers!$D$2:$D$104,MATCH($K61,Service_Providers!$A$2:$A$104,0))="","",INDEX(Service_Providers!$D$2:$D$104,MATCH($K61,Service_Providers!$A$2:$A$104,0))),"Provider not found"))</f>
        <v>636-583-5788
prestigetech@prestigetech.us</v>
      </c>
      <c r="M61" s="15"/>
      <c r="N61" s="8" t="str">
        <f>IF($M61="","",IFERROR(IF(INDEX(Service_Providers!$C$2:$C$104,MATCH($M61,Service_Providers!$A$2:$A$104,0))="","",INDEX(Service_Providers!$C$2:$C$104,MATCH($M61,Service_Providers!$A$2:$A$104,0)))&amp;IF(AND(INDEX(Service_Providers!$C$2:$C$104,MATCH($M61,Service_Providers!$A$2:$A$104,0))&lt;&gt;"",INDEX(Service_Providers!$D$2:$D$104,MATCH($M61,Service_Providers!$A$2:$A$104,0))&lt;&gt;""),CHAR(10),"")&amp;IF(INDEX(Service_Providers!$D$2:$D$104,MATCH($M61,Service_Providers!$A$2:$A$104,0))="","",INDEX(Service_Providers!$D$2:$D$104,MATCH($M61,Service_Providers!$A$2:$A$104,0))),"Provider not found"))</f>
        <v/>
      </c>
      <c r="O61" s="15" t="s">
        <v>703</v>
      </c>
      <c r="P61" s="15" t="s">
        <v>58</v>
      </c>
    </row>
    <row r="62" spans="1:16" ht="25.5" x14ac:dyDescent="0.25">
      <c r="A62" s="15" t="s">
        <v>711</v>
      </c>
      <c r="B62" s="15" t="s">
        <v>712</v>
      </c>
      <c r="C62" s="15" t="s">
        <v>713</v>
      </c>
      <c r="D62" s="15" t="s">
        <v>714</v>
      </c>
      <c r="E62" s="15" t="s">
        <v>715</v>
      </c>
      <c r="F62" s="15" t="s">
        <v>700</v>
      </c>
      <c r="G62" s="5" t="s">
        <v>31</v>
      </c>
      <c r="H62" s="5" t="s">
        <v>707</v>
      </c>
      <c r="I62" s="15" t="s">
        <v>456</v>
      </c>
      <c r="J62" s="15" t="s">
        <v>353</v>
      </c>
      <c r="K62" s="15" t="s">
        <v>197</v>
      </c>
      <c r="L62" s="8" t="str">
        <f>IF($K62="","",IFERROR(IF(INDEX(Service_Providers!$C$2:$C$104,MATCH($K62,Service_Providers!$A$2:$A$104,0))="","",INDEX(Service_Providers!$C$2:$C$104,MATCH($K62,Service_Providers!$A$2:$A$104,0)))&amp;IF(AND(INDEX(Service_Providers!$C$2:$C$104,MATCH($K62,Service_Providers!$A$2:$A$104,0))&lt;&gt;"",INDEX(Service_Providers!$D$2:$D$104,MATCH($K62,Service_Providers!$A$2:$A$104,0))&lt;&gt;""),CHAR(10),"")&amp;IF(INDEX(Service_Providers!$D$2:$D$104,MATCH($K62,Service_Providers!$A$2:$A$104,0))="","",INDEX(Service_Providers!$D$2:$D$104,MATCH($K62,Service_Providers!$A$2:$A$104,0))),"Provider not found"))</f>
        <v>636-583-5788
prestigetech@prestigetech.us</v>
      </c>
      <c r="M62" s="15"/>
      <c r="N62" s="8" t="str">
        <f>IF($M62="","",IFERROR(IF(INDEX(Service_Providers!$C$2:$C$104,MATCH($M62,Service_Providers!$A$2:$A$104,0))="","",INDEX(Service_Providers!$C$2:$C$104,MATCH($M62,Service_Providers!$A$2:$A$104,0)))&amp;IF(AND(INDEX(Service_Providers!$C$2:$C$104,MATCH($M62,Service_Providers!$A$2:$A$104,0))&lt;&gt;"",INDEX(Service_Providers!$D$2:$D$104,MATCH($M62,Service_Providers!$A$2:$A$104,0))&lt;&gt;""),CHAR(10),"")&amp;IF(INDEX(Service_Providers!$D$2:$D$104,MATCH($M62,Service_Providers!$A$2:$A$104,0))="","",INDEX(Service_Providers!$D$2:$D$104,MATCH($M62,Service_Providers!$A$2:$A$104,0))),"Provider not found"))</f>
        <v/>
      </c>
      <c r="O62" s="15" t="s">
        <v>703</v>
      </c>
      <c r="P62" s="15" t="s">
        <v>58</v>
      </c>
    </row>
    <row r="63" spans="1:16" ht="38.25" x14ac:dyDescent="0.25">
      <c r="A63" s="15" t="s">
        <v>716</v>
      </c>
      <c r="B63" s="15" t="s">
        <v>717</v>
      </c>
      <c r="C63" s="15"/>
      <c r="D63" s="15" t="s">
        <v>718</v>
      </c>
      <c r="E63" s="15" t="s">
        <v>719</v>
      </c>
      <c r="F63" s="15" t="s">
        <v>720</v>
      </c>
      <c r="G63" s="5" t="s">
        <v>32</v>
      </c>
      <c r="H63" s="5" t="s">
        <v>721</v>
      </c>
      <c r="I63" s="15" t="s">
        <v>722</v>
      </c>
      <c r="J63" s="15" t="s">
        <v>304</v>
      </c>
      <c r="K63" s="15" t="s">
        <v>887</v>
      </c>
      <c r="L63" s="8" t="str">
        <f>IF($K63="","",IFERROR(IF(INDEX(Service_Providers!$C$2:$C$104,MATCH($K63,Service_Providers!$A$2:$A$104,0))="","",INDEX(Service_Providers!$C$2:$C$104,MATCH($K63,Service_Providers!$A$2:$A$104,0)))&amp;IF(AND(INDEX(Service_Providers!$C$2:$C$104,MATCH($K63,Service_Providers!$A$2:$A$104,0))&lt;&gt;"",INDEX(Service_Providers!$D$2:$D$104,MATCH($K63,Service_Providers!$A$2:$A$104,0))&lt;&gt;""),CHAR(10),"")&amp;IF(INDEX(Service_Providers!$D$2:$D$104,MATCH($K63,Service_Providers!$A$2:$A$104,0))="","",INDEX(Service_Providers!$D$2:$D$104,MATCH($K63,Service_Providers!$A$2:$A$104,0))),"Provider not found"))</f>
        <v>866-803-8088
service@masketservices.com</v>
      </c>
      <c r="M63" s="15"/>
      <c r="N63" s="8" t="str">
        <f>IF($M63="","",IFERROR(IF(INDEX(Service_Providers!$C$2:$C$104,MATCH($M63,Service_Providers!$A$2:$A$104,0))="","",INDEX(Service_Providers!$C$2:$C$104,MATCH($M63,Service_Providers!$A$2:$A$104,0)))&amp;IF(AND(INDEX(Service_Providers!$C$2:$C$104,MATCH($M63,Service_Providers!$A$2:$A$104,0))&lt;&gt;"",INDEX(Service_Providers!$D$2:$D$104,MATCH($M63,Service_Providers!$A$2:$A$104,0))&lt;&gt;""),CHAR(10),"")&amp;IF(INDEX(Service_Providers!$D$2:$D$104,MATCH($M63,Service_Providers!$A$2:$A$104,0))="","",INDEX(Service_Providers!$D$2:$D$104,MATCH($M63,Service_Providers!$A$2:$A$104,0))),"Provider not found"))</f>
        <v/>
      </c>
      <c r="O63" s="15" t="s">
        <v>723</v>
      </c>
      <c r="P63" s="15" t="s">
        <v>58</v>
      </c>
    </row>
    <row r="64" spans="1:16" ht="38.25" x14ac:dyDescent="0.25">
      <c r="A64" s="15" t="s">
        <v>724</v>
      </c>
      <c r="B64" s="15" t="s">
        <v>543</v>
      </c>
      <c r="C64" s="15"/>
      <c r="D64" s="15" t="s">
        <v>725</v>
      </c>
      <c r="E64" s="15" t="s">
        <v>726</v>
      </c>
      <c r="F64" s="15" t="s">
        <v>727</v>
      </c>
      <c r="G64" s="5" t="s">
        <v>33</v>
      </c>
      <c r="H64" s="5" t="s">
        <v>728</v>
      </c>
      <c r="I64" s="15" t="s">
        <v>447</v>
      </c>
      <c r="J64" s="15" t="s">
        <v>353</v>
      </c>
      <c r="K64" s="15" t="s">
        <v>873</v>
      </c>
      <c r="L64" s="8" t="str">
        <f>IF($K64="","",IFERROR(IF(INDEX(Service_Providers!$C$2:$C$104,MATCH($K64,Service_Providers!$A$2:$A$104,0))="","",INDEX(Service_Providers!$C$2:$C$104,MATCH($K64,Service_Providers!$A$2:$A$104,0)))&amp;IF(AND(INDEX(Service_Providers!$C$2:$C$104,MATCH($K64,Service_Providers!$A$2:$A$104,0))&lt;&gt;"",INDEX(Service_Providers!$D$2:$D$104,MATCH($K64,Service_Providers!$A$2:$A$104,0))&lt;&gt;""),CHAR(10),"")&amp;IF(INDEX(Service_Providers!$D$2:$D$104,MATCH($K64,Service_Providers!$A$2:$A$104,0))="","",INDEX(Service_Providers!$D$2:$D$104,MATCH($K64,Service_Providers!$A$2:$A$104,0))),"Provider not found"))</f>
        <v>Phone / Text: (864) 606-4418
integratedcoffeesolutions@gmail.com</v>
      </c>
      <c r="M64" s="15"/>
      <c r="N64" s="8" t="str">
        <f>IF($M64="","",IFERROR(IF(INDEX(Service_Providers!$C$2:$C$104,MATCH($M64,Service_Providers!$A$2:$A$104,0))="","",INDEX(Service_Providers!$C$2:$C$104,MATCH($M64,Service_Providers!$A$2:$A$104,0)))&amp;IF(AND(INDEX(Service_Providers!$C$2:$C$104,MATCH($M64,Service_Providers!$A$2:$A$104,0))&lt;&gt;"",INDEX(Service_Providers!$D$2:$D$104,MATCH($M64,Service_Providers!$A$2:$A$104,0))&lt;&gt;""),CHAR(10),"")&amp;IF(INDEX(Service_Providers!$D$2:$D$104,MATCH($M64,Service_Providers!$A$2:$A$104,0))="","",INDEX(Service_Providers!$D$2:$D$104,MATCH($M64,Service_Providers!$A$2:$A$104,0))),"Provider not found"))</f>
        <v/>
      </c>
      <c r="O64" s="15" t="s">
        <v>645</v>
      </c>
      <c r="P64" s="15" t="s">
        <v>58</v>
      </c>
    </row>
    <row r="65" spans="1:16" ht="25.5" x14ac:dyDescent="0.25">
      <c r="A65" s="15" t="s">
        <v>729</v>
      </c>
      <c r="B65" s="15" t="s">
        <v>730</v>
      </c>
      <c r="C65" s="15" t="s">
        <v>731</v>
      </c>
      <c r="D65" s="15" t="s">
        <v>732</v>
      </c>
      <c r="E65" s="15" t="s">
        <v>733</v>
      </c>
      <c r="F65" s="15" t="s">
        <v>734</v>
      </c>
      <c r="G65" s="5" t="s">
        <v>34</v>
      </c>
      <c r="H65" s="5" t="s">
        <v>735</v>
      </c>
      <c r="I65" s="15" t="s">
        <v>352</v>
      </c>
      <c r="J65" s="15" t="s">
        <v>353</v>
      </c>
      <c r="K65" s="15" t="s">
        <v>130</v>
      </c>
      <c r="L65" s="8" t="str">
        <f>IF($K65="","",IFERROR(IF(INDEX(Service_Providers!$C$2:$C$104,MATCH($K65,Service_Providers!$A$2:$A$104,0))="","",INDEX(Service_Providers!$C$2:$C$104,MATCH($K65,Service_Providers!$A$2:$A$104,0)))&amp;IF(AND(INDEX(Service_Providers!$C$2:$C$104,MATCH($K65,Service_Providers!$A$2:$A$104,0))&lt;&gt;"",INDEX(Service_Providers!$D$2:$D$104,MATCH($K65,Service_Providers!$A$2:$A$104,0))&lt;&gt;""),CHAR(10),"")&amp;IF(INDEX(Service_Providers!$D$2:$D$104,MATCH($K65,Service_Providers!$A$2:$A$104,0))="","",INDEX(Service_Providers!$D$2:$D$104,MATCH($K65,Service_Providers!$A$2:$A$104,0))),"Provider not found"))</f>
        <v>(888) 523-1684
service@etsc.coffee</v>
      </c>
      <c r="M65" s="15" t="s">
        <v>85</v>
      </c>
      <c r="N65" s="8" t="str">
        <f>IF($M65="","",IFERROR(IF(INDEX(Service_Providers!$C$2:$C$104,MATCH($M65,Service_Providers!$A$2:$A$104,0))="","",INDEX(Service_Providers!$C$2:$C$104,MATCH($M65,Service_Providers!$A$2:$A$104,0)))&amp;IF(AND(INDEX(Service_Providers!$C$2:$C$104,MATCH($M65,Service_Providers!$A$2:$A$104,0))&lt;&gt;"",INDEX(Service_Providers!$D$2:$D$104,MATCH($M65,Service_Providers!$A$2:$A$104,0))&lt;&gt;""),CHAR(10),"")&amp;IF(INDEX(Service_Providers!$D$2:$D$104,MATCH($M65,Service_Providers!$A$2:$A$104,0))="","",INDEX(Service_Providers!$D$2:$D$104,MATCH($M65,Service_Providers!$A$2:$A$104,0))),"Provider not found"))</f>
        <v>866-966-5799 ext 1
service@bestbeverage.net</v>
      </c>
      <c r="O65" s="15" t="s">
        <v>736</v>
      </c>
      <c r="P65" s="15" t="s">
        <v>58</v>
      </c>
    </row>
    <row r="66" spans="1:16" ht="40.5" customHeight="1" x14ac:dyDescent="0.25">
      <c r="A66" s="15" t="s">
        <v>737</v>
      </c>
      <c r="B66" s="15" t="s">
        <v>738</v>
      </c>
      <c r="C66" s="15"/>
      <c r="D66" s="15" t="s">
        <v>739</v>
      </c>
      <c r="E66" s="15" t="s">
        <v>740</v>
      </c>
      <c r="F66" s="15" t="s">
        <v>741</v>
      </c>
      <c r="G66" s="5" t="s">
        <v>35</v>
      </c>
      <c r="H66" s="5" t="s">
        <v>742</v>
      </c>
      <c r="I66" s="15" t="s">
        <v>743</v>
      </c>
      <c r="J66" s="15" t="s">
        <v>367</v>
      </c>
      <c r="K66" s="15" t="s">
        <v>168</v>
      </c>
      <c r="L66" s="8" t="str">
        <f>IF($K66="","",IFERROR(IF(INDEX(Service_Providers!$C$2:$C$104,MATCH($K66,Service_Providers!$A$2:$A$104,0))="","",INDEX(Service_Providers!$C$2:$C$104,MATCH($K66,Service_Providers!$A$2:$A$104,0)))&amp;IF(AND(INDEX(Service_Providers!$C$2:$C$104,MATCH($K66,Service_Providers!$A$2:$A$104,0))&lt;&gt;"",INDEX(Service_Providers!$D$2:$D$104,MATCH($K66,Service_Providers!$A$2:$A$104,0))&lt;&gt;""),CHAR(10),"")&amp;IF(INDEX(Service_Providers!$D$2:$D$104,MATCH($K66,Service_Providers!$A$2:$A$104,0))="","",INDEX(Service_Providers!$D$2:$D$104,MATCH($K66,Service_Providers!$A$2:$A$104,0))),"Provider not found"))</f>
        <v>Toll Free: 800-528-6625
Main: 505-247-3707
Service@LiquiServe.com</v>
      </c>
      <c r="M66" s="15" t="s">
        <v>893</v>
      </c>
      <c r="N66" s="8" t="str">
        <f>IF($M66="","",IFERROR(IF(INDEX(Service_Providers!$C$2:$C$104,MATCH($M66,Service_Providers!$A$2:$A$104,0))="","",INDEX(Service_Providers!$C$2:$C$104,MATCH($M66,Service_Providers!$A$2:$A$104,0)))&amp;IF(AND(INDEX(Service_Providers!$C$2:$C$104,MATCH($M66,Service_Providers!$A$2:$A$104,0))&lt;&gt;"",INDEX(Service_Providers!$D$2:$D$104,MATCH($M66,Service_Providers!$A$2:$A$104,0))&lt;&gt;""),CHAR(10),"")&amp;IF(INDEX(Service_Providers!$D$2:$D$104,MATCH($M66,Service_Providers!$A$2:$A$104,0))="","",INDEX(Service_Providers!$D$2:$D$104,MATCH($M66,Service_Providers!$A$2:$A$104,0))),"Provider not found"))</f>
        <v>Office: (833) 203-2285
Service@FASTCILITYCORP.COM
https://app.servicefusion.com/fastcility
Username: Jesus@katzcoffee.com
F!xmy5!t03</v>
      </c>
      <c r="O66" s="15" t="s">
        <v>744</v>
      </c>
      <c r="P66" s="15" t="s">
        <v>58</v>
      </c>
    </row>
    <row r="67" spans="1:16" ht="25.5" x14ac:dyDescent="0.25">
      <c r="A67" s="15" t="s">
        <v>745</v>
      </c>
      <c r="B67" s="15" t="s">
        <v>543</v>
      </c>
      <c r="C67" s="15" t="s">
        <v>746</v>
      </c>
      <c r="D67" s="15" t="s">
        <v>747</v>
      </c>
      <c r="E67" s="15" t="s">
        <v>748</v>
      </c>
      <c r="F67" s="15" t="s">
        <v>749</v>
      </c>
      <c r="G67" s="5" t="s">
        <v>35</v>
      </c>
      <c r="H67" s="5" t="s">
        <v>750</v>
      </c>
      <c r="I67" s="15" t="s">
        <v>352</v>
      </c>
      <c r="J67" s="15" t="s">
        <v>353</v>
      </c>
      <c r="K67" s="15" t="s">
        <v>224</v>
      </c>
      <c r="L67" s="8" t="str">
        <f>IF($K67="","",IFERROR(IF(INDEX(Service_Providers!$C$2:$C$104,MATCH($K67,Service_Providers!$A$2:$A$104,0))="","",INDEX(Service_Providers!$C$2:$C$104,MATCH($K67,Service_Providers!$A$2:$A$104,0)))&amp;IF(AND(INDEX(Service_Providers!$C$2:$C$104,MATCH($K67,Service_Providers!$A$2:$A$104,0))&lt;&gt;"",INDEX(Service_Providers!$D$2:$D$104,MATCH($K67,Service_Providers!$A$2:$A$104,0))&lt;&gt;""),CHAR(10),"")&amp;IF(INDEX(Service_Providers!$D$2:$D$104,MATCH($K67,Service_Providers!$A$2:$A$104,0))="","",INDEX(Service_Providers!$D$2:$D$104,MATCH($K67,Service_Providers!$A$2:$A$104,0))),"Provider not found"))</f>
        <v>956-536-7846
alanmcgee@msn.com</v>
      </c>
      <c r="M67" s="15"/>
      <c r="N67" s="8" t="str">
        <f>IF($M67="","",IFERROR(IF(INDEX(Service_Providers!$C$2:$C$104,MATCH($M67,Service_Providers!$A$2:$A$104,0))="","",INDEX(Service_Providers!$C$2:$C$104,MATCH($M67,Service_Providers!$A$2:$A$104,0)))&amp;IF(AND(INDEX(Service_Providers!$C$2:$C$104,MATCH($M67,Service_Providers!$A$2:$A$104,0))&lt;&gt;"",INDEX(Service_Providers!$D$2:$D$104,MATCH($M67,Service_Providers!$A$2:$A$104,0))&lt;&gt;""),CHAR(10),"")&amp;IF(INDEX(Service_Providers!$D$2:$D$104,MATCH($M67,Service_Providers!$A$2:$A$104,0))="","",INDEX(Service_Providers!$D$2:$D$104,MATCH($M67,Service_Providers!$A$2:$A$104,0))),"Provider not found"))</f>
        <v/>
      </c>
      <c r="O67" s="15" t="s">
        <v>744</v>
      </c>
      <c r="P67" s="15" t="s">
        <v>58</v>
      </c>
    </row>
    <row r="68" spans="1:16" ht="25.5" x14ac:dyDescent="0.25">
      <c r="A68" s="15" t="s">
        <v>751</v>
      </c>
      <c r="B68" s="15" t="s">
        <v>698</v>
      </c>
      <c r="C68" s="15" t="s">
        <v>752</v>
      </c>
      <c r="D68" s="15" t="s">
        <v>753</v>
      </c>
      <c r="E68" s="15" t="s">
        <v>754</v>
      </c>
      <c r="F68" s="15" t="s">
        <v>749</v>
      </c>
      <c r="G68" s="5" t="s">
        <v>35</v>
      </c>
      <c r="H68" s="5" t="s">
        <v>755</v>
      </c>
      <c r="I68" s="15" t="s">
        <v>456</v>
      </c>
      <c r="J68" s="15" t="s">
        <v>353</v>
      </c>
      <c r="K68" s="15" t="s">
        <v>224</v>
      </c>
      <c r="L68" s="8" t="str">
        <f>IF($K68="","",IFERROR(IF(INDEX(Service_Providers!$C$2:$C$104,MATCH($K68,Service_Providers!$A$2:$A$104,0))="","",INDEX(Service_Providers!$C$2:$C$104,MATCH($K68,Service_Providers!$A$2:$A$104,0)))&amp;IF(AND(INDEX(Service_Providers!$C$2:$C$104,MATCH($K68,Service_Providers!$A$2:$A$104,0))&lt;&gt;"",INDEX(Service_Providers!$D$2:$D$104,MATCH($K68,Service_Providers!$A$2:$A$104,0))&lt;&gt;""),CHAR(10),"")&amp;IF(INDEX(Service_Providers!$D$2:$D$104,MATCH($K68,Service_Providers!$A$2:$A$104,0))="","",INDEX(Service_Providers!$D$2:$D$104,MATCH($K68,Service_Providers!$A$2:$A$104,0))),"Provider not found"))</f>
        <v>956-536-7846
alanmcgee@msn.com</v>
      </c>
      <c r="M68" s="15"/>
      <c r="N68" s="8" t="str">
        <f>IF($M68="","",IFERROR(IF(INDEX(Service_Providers!$C$2:$C$104,MATCH($M68,Service_Providers!$A$2:$A$104,0))="","",INDEX(Service_Providers!$C$2:$C$104,MATCH($M68,Service_Providers!$A$2:$A$104,0)))&amp;IF(AND(INDEX(Service_Providers!$C$2:$C$104,MATCH($M68,Service_Providers!$A$2:$A$104,0))&lt;&gt;"",INDEX(Service_Providers!$D$2:$D$104,MATCH($M68,Service_Providers!$A$2:$A$104,0))&lt;&gt;""),CHAR(10),"")&amp;IF(INDEX(Service_Providers!$D$2:$D$104,MATCH($M68,Service_Providers!$A$2:$A$104,0))="","",INDEX(Service_Providers!$D$2:$D$104,MATCH($M68,Service_Providers!$A$2:$A$104,0))),"Provider not found"))</f>
        <v/>
      </c>
      <c r="O68" s="15" t="s">
        <v>744</v>
      </c>
      <c r="P68" s="15" t="s">
        <v>58</v>
      </c>
    </row>
    <row r="69" spans="1:16" ht="25.5" x14ac:dyDescent="0.25">
      <c r="A69" s="15" t="s">
        <v>756</v>
      </c>
      <c r="B69" s="15" t="s">
        <v>698</v>
      </c>
      <c r="C69" s="15" t="s">
        <v>757</v>
      </c>
      <c r="D69" s="15" t="s">
        <v>758</v>
      </c>
      <c r="E69" s="15" t="s">
        <v>759</v>
      </c>
      <c r="F69" s="15" t="s">
        <v>760</v>
      </c>
      <c r="G69" s="5" t="s">
        <v>35</v>
      </c>
      <c r="H69" s="5" t="s">
        <v>761</v>
      </c>
      <c r="I69" s="15" t="s">
        <v>447</v>
      </c>
      <c r="J69" s="15" t="s">
        <v>353</v>
      </c>
      <c r="K69" s="15" t="s">
        <v>224</v>
      </c>
      <c r="L69" s="8" t="str">
        <f>IF($K69="","",IFERROR(IF(INDEX(Service_Providers!$C$2:$C$104,MATCH($K69,Service_Providers!$A$2:$A$104,0))="","",INDEX(Service_Providers!$C$2:$C$104,MATCH($K69,Service_Providers!$A$2:$A$104,0)))&amp;IF(AND(INDEX(Service_Providers!$C$2:$C$104,MATCH($K69,Service_Providers!$A$2:$A$104,0))&lt;&gt;"",INDEX(Service_Providers!$D$2:$D$104,MATCH($K69,Service_Providers!$A$2:$A$104,0))&lt;&gt;""),CHAR(10),"")&amp;IF(INDEX(Service_Providers!$D$2:$D$104,MATCH($K69,Service_Providers!$A$2:$A$104,0))="","",INDEX(Service_Providers!$D$2:$D$104,MATCH($K69,Service_Providers!$A$2:$A$104,0))),"Provider not found"))</f>
        <v>956-536-7846
alanmcgee@msn.com</v>
      </c>
      <c r="M69" s="15"/>
      <c r="N69" s="8" t="str">
        <f>IF($M69="","",IFERROR(IF(INDEX(Service_Providers!$C$2:$C$104,MATCH($M69,Service_Providers!$A$2:$A$104,0))="","",INDEX(Service_Providers!$C$2:$C$104,MATCH($M69,Service_Providers!$A$2:$A$104,0)))&amp;IF(AND(INDEX(Service_Providers!$C$2:$C$104,MATCH($M69,Service_Providers!$A$2:$A$104,0))&lt;&gt;"",INDEX(Service_Providers!$D$2:$D$104,MATCH($M69,Service_Providers!$A$2:$A$104,0))&lt;&gt;""),CHAR(10),"")&amp;IF(INDEX(Service_Providers!$D$2:$D$104,MATCH($M69,Service_Providers!$A$2:$A$104,0))="","",INDEX(Service_Providers!$D$2:$D$104,MATCH($M69,Service_Providers!$A$2:$A$104,0))),"Provider not found"))</f>
        <v/>
      </c>
      <c r="O69" s="15" t="s">
        <v>744</v>
      </c>
      <c r="P69" s="15" t="s">
        <v>58</v>
      </c>
    </row>
    <row r="70" spans="1:16" ht="25.5" x14ac:dyDescent="0.25">
      <c r="A70" s="15" t="s">
        <v>762</v>
      </c>
      <c r="B70" s="15" t="s">
        <v>698</v>
      </c>
      <c r="C70" s="15" t="s">
        <v>763</v>
      </c>
      <c r="D70" s="15" t="s">
        <v>764</v>
      </c>
      <c r="E70" s="15" t="s">
        <v>765</v>
      </c>
      <c r="F70" s="15" t="s">
        <v>766</v>
      </c>
      <c r="G70" s="5" t="s">
        <v>35</v>
      </c>
      <c r="H70" s="5" t="s">
        <v>767</v>
      </c>
      <c r="I70" s="15" t="s">
        <v>447</v>
      </c>
      <c r="J70" s="15" t="s">
        <v>353</v>
      </c>
      <c r="K70" s="15" t="s">
        <v>224</v>
      </c>
      <c r="L70" s="8" t="str">
        <f>IF($K70="","",IFERROR(IF(INDEX(Service_Providers!$C$2:$C$104,MATCH($K70,Service_Providers!$A$2:$A$104,0))="","",INDEX(Service_Providers!$C$2:$C$104,MATCH($K70,Service_Providers!$A$2:$A$104,0)))&amp;IF(AND(INDEX(Service_Providers!$C$2:$C$104,MATCH($K70,Service_Providers!$A$2:$A$104,0))&lt;&gt;"",INDEX(Service_Providers!$D$2:$D$104,MATCH($K70,Service_Providers!$A$2:$A$104,0))&lt;&gt;""),CHAR(10),"")&amp;IF(INDEX(Service_Providers!$D$2:$D$104,MATCH($K70,Service_Providers!$A$2:$A$104,0))="","",INDEX(Service_Providers!$D$2:$D$104,MATCH($K70,Service_Providers!$A$2:$A$104,0))),"Provider not found"))</f>
        <v>956-536-7846
alanmcgee@msn.com</v>
      </c>
      <c r="M70" s="15"/>
      <c r="N70" s="8" t="str">
        <f>IF($M70="","",IFERROR(IF(INDEX(Service_Providers!$C$2:$C$104,MATCH($M70,Service_Providers!$A$2:$A$104,0))="","",INDEX(Service_Providers!$C$2:$C$104,MATCH($M70,Service_Providers!$A$2:$A$104,0)))&amp;IF(AND(INDEX(Service_Providers!$C$2:$C$104,MATCH($M70,Service_Providers!$A$2:$A$104,0))&lt;&gt;"",INDEX(Service_Providers!$D$2:$D$104,MATCH($M70,Service_Providers!$A$2:$A$104,0))&lt;&gt;""),CHAR(10),"")&amp;IF(INDEX(Service_Providers!$D$2:$D$104,MATCH($M70,Service_Providers!$A$2:$A$104,0))="","",INDEX(Service_Providers!$D$2:$D$104,MATCH($M70,Service_Providers!$A$2:$A$104,0))),"Provider not found"))</f>
        <v/>
      </c>
      <c r="O70" s="15" t="s">
        <v>744</v>
      </c>
      <c r="P70" s="15" t="s">
        <v>58</v>
      </c>
    </row>
    <row r="71" spans="1:16" ht="25.5" x14ac:dyDescent="0.25">
      <c r="A71" s="15" t="s">
        <v>768</v>
      </c>
      <c r="B71" s="15" t="s">
        <v>769</v>
      </c>
      <c r="C71" s="15" t="s">
        <v>770</v>
      </c>
      <c r="D71" s="15" t="s">
        <v>771</v>
      </c>
      <c r="E71" s="15" t="s">
        <v>772</v>
      </c>
      <c r="F71" s="15" t="s">
        <v>773</v>
      </c>
      <c r="G71" s="5" t="s">
        <v>35</v>
      </c>
      <c r="H71" s="5" t="s">
        <v>774</v>
      </c>
      <c r="I71" s="15" t="s">
        <v>447</v>
      </c>
      <c r="J71" s="15" t="s">
        <v>353</v>
      </c>
      <c r="K71" s="15" t="s">
        <v>224</v>
      </c>
      <c r="L71" s="8" t="str">
        <f>IF($K71="","",IFERROR(IF(INDEX(Service_Providers!$C$2:$C$104,MATCH($K71,Service_Providers!$A$2:$A$104,0))="","",INDEX(Service_Providers!$C$2:$C$104,MATCH($K71,Service_Providers!$A$2:$A$104,0)))&amp;IF(AND(INDEX(Service_Providers!$C$2:$C$104,MATCH($K71,Service_Providers!$A$2:$A$104,0))&lt;&gt;"",INDEX(Service_Providers!$D$2:$D$104,MATCH($K71,Service_Providers!$A$2:$A$104,0))&lt;&gt;""),CHAR(10),"")&amp;IF(INDEX(Service_Providers!$D$2:$D$104,MATCH($K71,Service_Providers!$A$2:$A$104,0))="","",INDEX(Service_Providers!$D$2:$D$104,MATCH($K71,Service_Providers!$A$2:$A$104,0))),"Provider not found"))</f>
        <v>956-536-7846
alanmcgee@msn.com</v>
      </c>
      <c r="M71" s="15"/>
      <c r="N71" s="8" t="str">
        <f>IF($M71="","",IFERROR(IF(INDEX(Service_Providers!$C$2:$C$104,MATCH($M71,Service_Providers!$A$2:$A$104,0))="","",INDEX(Service_Providers!$C$2:$C$104,MATCH($M71,Service_Providers!$A$2:$A$104,0)))&amp;IF(AND(INDEX(Service_Providers!$C$2:$C$104,MATCH($M71,Service_Providers!$A$2:$A$104,0))&lt;&gt;"",INDEX(Service_Providers!$D$2:$D$104,MATCH($M71,Service_Providers!$A$2:$A$104,0))&lt;&gt;""),CHAR(10),"")&amp;IF(INDEX(Service_Providers!$D$2:$D$104,MATCH($M71,Service_Providers!$A$2:$A$104,0))="","",INDEX(Service_Providers!$D$2:$D$104,MATCH($M71,Service_Providers!$A$2:$A$104,0))),"Provider not found"))</f>
        <v/>
      </c>
      <c r="O71" s="15" t="s">
        <v>744</v>
      </c>
      <c r="P71" s="15" t="s">
        <v>58</v>
      </c>
    </row>
    <row r="72" spans="1:16" ht="25.5" x14ac:dyDescent="0.25">
      <c r="A72" s="15" t="s">
        <v>775</v>
      </c>
      <c r="B72" s="15" t="s">
        <v>698</v>
      </c>
      <c r="C72" s="15" t="s">
        <v>776</v>
      </c>
      <c r="D72" s="15" t="s">
        <v>777</v>
      </c>
      <c r="E72" s="15" t="s">
        <v>778</v>
      </c>
      <c r="F72" s="15" t="s">
        <v>766</v>
      </c>
      <c r="G72" s="5" t="s">
        <v>35</v>
      </c>
      <c r="H72" s="5" t="s">
        <v>767</v>
      </c>
      <c r="I72" s="15" t="s">
        <v>456</v>
      </c>
      <c r="J72" s="15" t="s">
        <v>353</v>
      </c>
      <c r="K72" s="15" t="s">
        <v>224</v>
      </c>
      <c r="L72" s="8" t="str">
        <f>IF($K72="","",IFERROR(IF(INDEX(Service_Providers!$C$2:$C$104,MATCH($K72,Service_Providers!$A$2:$A$104,0))="","",INDEX(Service_Providers!$C$2:$C$104,MATCH($K72,Service_Providers!$A$2:$A$104,0)))&amp;IF(AND(INDEX(Service_Providers!$C$2:$C$104,MATCH($K72,Service_Providers!$A$2:$A$104,0))&lt;&gt;"",INDEX(Service_Providers!$D$2:$D$104,MATCH($K72,Service_Providers!$A$2:$A$104,0))&lt;&gt;""),CHAR(10),"")&amp;IF(INDEX(Service_Providers!$D$2:$D$104,MATCH($K72,Service_Providers!$A$2:$A$104,0))="","",INDEX(Service_Providers!$D$2:$D$104,MATCH($K72,Service_Providers!$A$2:$A$104,0))),"Provider not found"))</f>
        <v>956-536-7846
alanmcgee@msn.com</v>
      </c>
      <c r="M72" s="15"/>
      <c r="N72" s="8" t="str">
        <f>IF($M72="","",IFERROR(IF(INDEX(Service_Providers!$C$2:$C$104,MATCH($M72,Service_Providers!$A$2:$A$104,0))="","",INDEX(Service_Providers!$C$2:$C$104,MATCH($M72,Service_Providers!$A$2:$A$104,0)))&amp;IF(AND(INDEX(Service_Providers!$C$2:$C$104,MATCH($M72,Service_Providers!$A$2:$A$104,0))&lt;&gt;"",INDEX(Service_Providers!$D$2:$D$104,MATCH($M72,Service_Providers!$A$2:$A$104,0))&lt;&gt;""),CHAR(10),"")&amp;IF(INDEX(Service_Providers!$D$2:$D$104,MATCH($M72,Service_Providers!$A$2:$A$104,0))="","",INDEX(Service_Providers!$D$2:$D$104,MATCH($M72,Service_Providers!$A$2:$A$104,0))),"Provider not found"))</f>
        <v/>
      </c>
      <c r="O72" s="15" t="s">
        <v>744</v>
      </c>
      <c r="P72" s="15" t="s">
        <v>58</v>
      </c>
    </row>
    <row r="73" spans="1:16" ht="25.5" x14ac:dyDescent="0.25">
      <c r="A73" s="15" t="s">
        <v>779</v>
      </c>
      <c r="B73" s="15" t="s">
        <v>698</v>
      </c>
      <c r="C73" s="15" t="s">
        <v>780</v>
      </c>
      <c r="D73" s="15" t="s">
        <v>781</v>
      </c>
      <c r="E73" s="15" t="s">
        <v>782</v>
      </c>
      <c r="F73" s="15" t="s">
        <v>783</v>
      </c>
      <c r="G73" s="5" t="s">
        <v>35</v>
      </c>
      <c r="H73" s="5" t="s">
        <v>784</v>
      </c>
      <c r="I73" s="15" t="s">
        <v>447</v>
      </c>
      <c r="J73" s="15" t="s">
        <v>353</v>
      </c>
      <c r="K73" s="15" t="s">
        <v>224</v>
      </c>
      <c r="L73" s="8" t="str">
        <f>IF($K73="","",IFERROR(IF(INDEX(Service_Providers!$C$2:$C$104,MATCH($K73,Service_Providers!$A$2:$A$104,0))="","",INDEX(Service_Providers!$C$2:$C$104,MATCH($K73,Service_Providers!$A$2:$A$104,0)))&amp;IF(AND(INDEX(Service_Providers!$C$2:$C$104,MATCH($K73,Service_Providers!$A$2:$A$104,0))&lt;&gt;"",INDEX(Service_Providers!$D$2:$D$104,MATCH($K73,Service_Providers!$A$2:$A$104,0))&lt;&gt;""),CHAR(10),"")&amp;IF(INDEX(Service_Providers!$D$2:$D$104,MATCH($K73,Service_Providers!$A$2:$A$104,0))="","",INDEX(Service_Providers!$D$2:$D$104,MATCH($K73,Service_Providers!$A$2:$A$104,0))),"Provider not found"))</f>
        <v>956-536-7846
alanmcgee@msn.com</v>
      </c>
      <c r="M73" s="15"/>
      <c r="N73" s="8" t="str">
        <f>IF($M73="","",IFERROR(IF(INDEX(Service_Providers!$C$2:$C$104,MATCH($M73,Service_Providers!$A$2:$A$104,0))="","",INDEX(Service_Providers!$C$2:$C$104,MATCH($M73,Service_Providers!$A$2:$A$104,0)))&amp;IF(AND(INDEX(Service_Providers!$C$2:$C$104,MATCH($M73,Service_Providers!$A$2:$A$104,0))&lt;&gt;"",INDEX(Service_Providers!$D$2:$D$104,MATCH($M73,Service_Providers!$A$2:$A$104,0))&lt;&gt;""),CHAR(10),"")&amp;IF(INDEX(Service_Providers!$D$2:$D$104,MATCH($M73,Service_Providers!$A$2:$A$104,0))="","",INDEX(Service_Providers!$D$2:$D$104,MATCH($M73,Service_Providers!$A$2:$A$104,0))),"Provider not found"))</f>
        <v/>
      </c>
      <c r="O73" s="15" t="s">
        <v>744</v>
      </c>
      <c r="P73" s="15" t="s">
        <v>58</v>
      </c>
    </row>
    <row r="74" spans="1:16" ht="25.5" x14ac:dyDescent="0.25">
      <c r="A74" s="15" t="s">
        <v>785</v>
      </c>
      <c r="B74" s="15" t="s">
        <v>565</v>
      </c>
      <c r="C74" s="15" t="s">
        <v>786</v>
      </c>
      <c r="D74" s="15" t="s">
        <v>787</v>
      </c>
      <c r="E74" s="15" t="s">
        <v>788</v>
      </c>
      <c r="F74" s="15" t="s">
        <v>789</v>
      </c>
      <c r="G74" s="5" t="s">
        <v>35</v>
      </c>
      <c r="H74" s="5" t="s">
        <v>790</v>
      </c>
      <c r="I74" s="15" t="s">
        <v>456</v>
      </c>
      <c r="J74" s="15" t="s">
        <v>353</v>
      </c>
      <c r="K74" s="15" t="s">
        <v>77</v>
      </c>
      <c r="L74" s="8" t="str">
        <f>IF($K74="","",IFERROR(IF(INDEX(Service_Providers!$C$2:$C$104,MATCH($K74,Service_Providers!$A$2:$A$104,0))="","",INDEX(Service_Providers!$C$2:$C$104,MATCH($K74,Service_Providers!$A$2:$A$104,0)))&amp;IF(AND(INDEX(Service_Providers!$C$2:$C$104,MATCH($K74,Service_Providers!$A$2:$A$104,0))&lt;&gt;"",INDEX(Service_Providers!$D$2:$D$104,MATCH($K74,Service_Providers!$A$2:$A$104,0))&lt;&gt;""),CHAR(10),"")&amp;IF(INDEX(Service_Providers!$D$2:$D$104,MATCH($K74,Service_Providers!$A$2:$A$104,0))="","",INDEX(Service_Providers!$D$2:$D$104,MATCH($K74,Service_Providers!$A$2:$A$104,0))),"Provider not found"))</f>
        <v>361.855.3066</v>
      </c>
      <c r="M74" s="15"/>
      <c r="N74" s="8" t="str">
        <f>IF($M74="","",IFERROR(IF(INDEX(Service_Providers!$C$2:$C$104,MATCH($M74,Service_Providers!$A$2:$A$104,0))="","",INDEX(Service_Providers!$C$2:$C$104,MATCH($M74,Service_Providers!$A$2:$A$104,0)))&amp;IF(AND(INDEX(Service_Providers!$C$2:$C$104,MATCH($M74,Service_Providers!$A$2:$A$104,0))&lt;&gt;"",INDEX(Service_Providers!$D$2:$D$104,MATCH($M74,Service_Providers!$A$2:$A$104,0))&lt;&gt;""),CHAR(10),"")&amp;IF(INDEX(Service_Providers!$D$2:$D$104,MATCH($M74,Service_Providers!$A$2:$A$104,0))="","",INDEX(Service_Providers!$D$2:$D$104,MATCH($M74,Service_Providers!$A$2:$A$104,0))),"Provider not found"))</f>
        <v/>
      </c>
      <c r="O74" s="15" t="s">
        <v>744</v>
      </c>
      <c r="P74" s="15" t="s">
        <v>58</v>
      </c>
    </row>
    <row r="75" spans="1:16" ht="25.5" x14ac:dyDescent="0.25">
      <c r="A75" s="15" t="s">
        <v>791</v>
      </c>
      <c r="B75" s="15" t="s">
        <v>792</v>
      </c>
      <c r="C75" s="15" t="s">
        <v>793</v>
      </c>
      <c r="D75" s="15" t="s">
        <v>794</v>
      </c>
      <c r="E75" s="15" t="s">
        <v>795</v>
      </c>
      <c r="F75" s="15" t="s">
        <v>749</v>
      </c>
      <c r="G75" s="5" t="s">
        <v>35</v>
      </c>
      <c r="H75" s="5" t="s">
        <v>796</v>
      </c>
      <c r="I75" s="15" t="s">
        <v>797</v>
      </c>
      <c r="J75" s="15" t="s">
        <v>353</v>
      </c>
      <c r="K75" s="15" t="s">
        <v>77</v>
      </c>
      <c r="L75" s="8" t="str">
        <f>IF($K75="","",IFERROR(IF(INDEX(Service_Providers!$C$2:$C$104,MATCH($K75,Service_Providers!$A$2:$A$104,0))="","",INDEX(Service_Providers!$C$2:$C$104,MATCH($K75,Service_Providers!$A$2:$A$104,0)))&amp;IF(AND(INDEX(Service_Providers!$C$2:$C$104,MATCH($K75,Service_Providers!$A$2:$A$104,0))&lt;&gt;"",INDEX(Service_Providers!$D$2:$D$104,MATCH($K75,Service_Providers!$A$2:$A$104,0))&lt;&gt;""),CHAR(10),"")&amp;IF(INDEX(Service_Providers!$D$2:$D$104,MATCH($K75,Service_Providers!$A$2:$A$104,0))="","",INDEX(Service_Providers!$D$2:$D$104,MATCH($K75,Service_Providers!$A$2:$A$104,0))),"Provider not found"))</f>
        <v>361.855.3066</v>
      </c>
      <c r="M75" s="15"/>
      <c r="N75" s="8" t="str">
        <f>IF($M75="","",IFERROR(IF(INDEX(Service_Providers!$C$2:$C$104,MATCH($M75,Service_Providers!$A$2:$A$104,0))="","",INDEX(Service_Providers!$C$2:$C$104,MATCH($M75,Service_Providers!$A$2:$A$104,0)))&amp;IF(AND(INDEX(Service_Providers!$C$2:$C$104,MATCH($M75,Service_Providers!$A$2:$A$104,0))&lt;&gt;"",INDEX(Service_Providers!$D$2:$D$104,MATCH($M75,Service_Providers!$A$2:$A$104,0))&lt;&gt;""),CHAR(10),"")&amp;IF(INDEX(Service_Providers!$D$2:$D$104,MATCH($M75,Service_Providers!$A$2:$A$104,0))="","",INDEX(Service_Providers!$D$2:$D$104,MATCH($M75,Service_Providers!$A$2:$A$104,0))),"Provider not found"))</f>
        <v/>
      </c>
      <c r="O75" s="15" t="s">
        <v>744</v>
      </c>
      <c r="P75" s="15" t="s">
        <v>58</v>
      </c>
    </row>
    <row r="76" spans="1:16" ht="25.5" x14ac:dyDescent="0.25">
      <c r="A76" s="15" t="s">
        <v>798</v>
      </c>
      <c r="B76" s="15" t="s">
        <v>647</v>
      </c>
      <c r="C76" s="15" t="s">
        <v>799</v>
      </c>
      <c r="D76" s="15" t="s">
        <v>800</v>
      </c>
      <c r="E76" s="15" t="s">
        <v>801</v>
      </c>
      <c r="F76" s="15" t="s">
        <v>802</v>
      </c>
      <c r="G76" s="5" t="s">
        <v>36</v>
      </c>
      <c r="H76" s="5" t="s">
        <v>803</v>
      </c>
      <c r="I76" s="15" t="s">
        <v>623</v>
      </c>
      <c r="J76" s="15" t="s">
        <v>353</v>
      </c>
      <c r="K76" s="15"/>
      <c r="L76" s="8" t="str">
        <f>IF($K76="","",IFERROR(IF(INDEX(Service_Providers!$C$2:$C$104,MATCH($K76,Service_Providers!$A$2:$A$104,0))="","",INDEX(Service_Providers!$C$2:$C$104,MATCH($K76,Service_Providers!$A$2:$A$104,0)))&amp;IF(AND(INDEX(Service_Providers!$C$2:$C$104,MATCH($K76,Service_Providers!$A$2:$A$104,0))&lt;&gt;"",INDEX(Service_Providers!$D$2:$D$104,MATCH($K76,Service_Providers!$A$2:$A$104,0))&lt;&gt;""),CHAR(10),"")&amp;IF(INDEX(Service_Providers!$D$2:$D$104,MATCH($K76,Service_Providers!$A$2:$A$104,0))="","",INDEX(Service_Providers!$D$2:$D$104,MATCH($K76,Service_Providers!$A$2:$A$104,0))),"Provider not found"))</f>
        <v/>
      </c>
      <c r="M76" s="15"/>
      <c r="N76" s="8" t="str">
        <f>IF($M76="","",IFERROR(IF(INDEX(Service_Providers!$C$2:$C$104,MATCH($M76,Service_Providers!$A$2:$A$104,0))="","",INDEX(Service_Providers!$C$2:$C$104,MATCH($M76,Service_Providers!$A$2:$A$104,0)))&amp;IF(AND(INDEX(Service_Providers!$C$2:$C$104,MATCH($M76,Service_Providers!$A$2:$A$104,0))&lt;&gt;"",INDEX(Service_Providers!$D$2:$D$104,MATCH($M76,Service_Providers!$A$2:$A$104,0))&lt;&gt;""),CHAR(10),"")&amp;IF(INDEX(Service_Providers!$D$2:$D$104,MATCH($M76,Service_Providers!$A$2:$A$104,0))="","",INDEX(Service_Providers!$D$2:$D$104,MATCH($M76,Service_Providers!$A$2:$A$104,0))),"Provider not found"))</f>
        <v/>
      </c>
      <c r="O76" s="15" t="s">
        <v>804</v>
      </c>
      <c r="P76" s="15" t="s">
        <v>58</v>
      </c>
    </row>
    <row r="77" spans="1:16" ht="38.25" x14ac:dyDescent="0.25">
      <c r="A77" s="15" t="s">
        <v>805</v>
      </c>
      <c r="B77" s="15" t="s">
        <v>806</v>
      </c>
      <c r="C77" s="15"/>
      <c r="D77" s="15" t="s">
        <v>807</v>
      </c>
      <c r="E77" s="15" t="s">
        <v>808</v>
      </c>
      <c r="F77" s="15" t="s">
        <v>809</v>
      </c>
      <c r="G77" s="5" t="s">
        <v>36</v>
      </c>
      <c r="H77" s="5" t="s">
        <v>810</v>
      </c>
      <c r="I77" s="15" t="s">
        <v>556</v>
      </c>
      <c r="J77" s="15" t="s">
        <v>344</v>
      </c>
      <c r="K77" s="15" t="s">
        <v>160</v>
      </c>
      <c r="L77" s="8" t="str">
        <f>IF($K77="","",IFERROR(IF(INDEX(Service_Providers!$C$2:$C$104,MATCH($K77,Service_Providers!$A$2:$A$104,0))="","",INDEX(Service_Providers!$C$2:$C$104,MATCH($K77,Service_Providers!$A$2:$A$104,0)))&amp;IF(AND(INDEX(Service_Providers!$C$2:$C$104,MATCH($K77,Service_Providers!$A$2:$A$104,0))&lt;&gt;"",INDEX(Service_Providers!$D$2:$D$104,MATCH($K77,Service_Providers!$A$2:$A$104,0))&lt;&gt;""),CHAR(10),"")&amp;IF(INDEX(Service_Providers!$D$2:$D$104,MATCH($K77,Service_Providers!$A$2:$A$104,0))="","",INDEX(Service_Providers!$D$2:$D$104,MATCH($K77,Service_Providers!$A$2:$A$104,0))),"Provider not found"))</f>
        <v>919-240-8083
hayes@jvgcoffeemechanics.com</v>
      </c>
      <c r="M77" s="15"/>
      <c r="N77" s="8" t="str">
        <f>IF($M77="","",IFERROR(IF(INDEX(Service_Providers!$C$2:$C$104,MATCH($M77,Service_Providers!$A$2:$A$104,0))="","",INDEX(Service_Providers!$C$2:$C$104,MATCH($M77,Service_Providers!$A$2:$A$104,0)))&amp;IF(AND(INDEX(Service_Providers!$C$2:$C$104,MATCH($M77,Service_Providers!$A$2:$A$104,0))&lt;&gt;"",INDEX(Service_Providers!$D$2:$D$104,MATCH($M77,Service_Providers!$A$2:$A$104,0))&lt;&gt;""),CHAR(10),"")&amp;IF(INDEX(Service_Providers!$D$2:$D$104,MATCH($M77,Service_Providers!$A$2:$A$104,0))="","",INDEX(Service_Providers!$D$2:$D$104,MATCH($M77,Service_Providers!$A$2:$A$104,0))),"Provider not found"))</f>
        <v/>
      </c>
      <c r="O77" s="15" t="s">
        <v>804</v>
      </c>
      <c r="P77" s="15" t="s">
        <v>58</v>
      </c>
    </row>
    <row r="78" spans="1:16" x14ac:dyDescent="0.25">
      <c r="L78" s="11" t="str">
        <f>IF($K78="","",IFERROR(IF(INDEX(Service_Providers!$C$2:$C$104,MATCH($K78,Service_Providers!$A$2:$A$104,0))="","",INDEX(Service_Providers!$C$2:$C$104,MATCH($K78,Service_Providers!$A$2:$A$104,0)))&amp;IF(AND(INDEX(Service_Providers!$C$2:$C$104,MATCH($K78,Service_Providers!$A$2:$A$104,0))&lt;&gt;"",INDEX(Service_Providers!$D$2:$D$104,MATCH($K78,Service_Providers!$A$2:$A$104,0))&lt;&gt;""),CHAR(10),"")&amp;IF(INDEX(Service_Providers!$D$2:$D$104,MATCH($K78,Service_Providers!$A$2:$A$104,0))="","",INDEX(Service_Providers!$D$2:$D$104,MATCH($K78,Service_Providers!$A$2:$A$104,0))),"Provider not found"))</f>
        <v/>
      </c>
      <c r="N78" s="11" t="str">
        <f>IF($M78="","",IFERROR(IF(INDEX(Service_Providers!$C$2:$C$104,MATCH($M78,Service_Providers!$A$2:$A$104,0))="","",INDEX(Service_Providers!$C$2:$C$104,MATCH($M78,Service_Providers!$A$2:$A$104,0)))&amp;IF(AND(INDEX(Service_Providers!$C$2:$C$104,MATCH($M78,Service_Providers!$A$2:$A$104,0))&lt;&gt;"",INDEX(Service_Providers!$D$2:$D$104,MATCH($M78,Service_Providers!$A$2:$A$104,0))&lt;&gt;""),CHAR(10),"")&amp;IF(INDEX(Service_Providers!$D$2:$D$104,MATCH($M78,Service_Providers!$A$2:$A$104,0))="","",INDEX(Service_Providers!$D$2:$D$104,MATCH($M78,Service_Providers!$A$2:$A$104,0))),"Provider not found"))</f>
        <v/>
      </c>
    </row>
    <row r="79" spans="1:16" x14ac:dyDescent="0.25">
      <c r="L79" s="11" t="str">
        <f>IF($K79="","",IFERROR(IF(INDEX(Service_Providers!$C$2:$C$104,MATCH($K79,Service_Providers!$A$2:$A$104,0))="","",INDEX(Service_Providers!$C$2:$C$104,MATCH($K79,Service_Providers!$A$2:$A$104,0)))&amp;IF(AND(INDEX(Service_Providers!$C$2:$C$104,MATCH($K79,Service_Providers!$A$2:$A$104,0))&lt;&gt;"",INDEX(Service_Providers!$D$2:$D$104,MATCH($K79,Service_Providers!$A$2:$A$104,0))&lt;&gt;""),CHAR(10),"")&amp;IF(INDEX(Service_Providers!$D$2:$D$104,MATCH($K79,Service_Providers!$A$2:$A$104,0))="","",INDEX(Service_Providers!$D$2:$D$104,MATCH($K79,Service_Providers!$A$2:$A$104,0))),"Provider not found"))</f>
        <v/>
      </c>
      <c r="N79" s="11" t="str">
        <f>IF($M79="","",IFERROR(IF(INDEX(Service_Providers!$C$2:$C$104,MATCH($M79,Service_Providers!$A$2:$A$104,0))="","",INDEX(Service_Providers!$C$2:$C$104,MATCH($M79,Service_Providers!$A$2:$A$104,0)))&amp;IF(AND(INDEX(Service_Providers!$C$2:$C$104,MATCH($M79,Service_Providers!$A$2:$A$104,0))&lt;&gt;"",INDEX(Service_Providers!$D$2:$D$104,MATCH($M79,Service_Providers!$A$2:$A$104,0))&lt;&gt;""),CHAR(10),"")&amp;IF(INDEX(Service_Providers!$D$2:$D$104,MATCH($M79,Service_Providers!$A$2:$A$104,0))="","",INDEX(Service_Providers!$D$2:$D$104,MATCH($M79,Service_Providers!$A$2:$A$104,0))),"Provider not found"))</f>
        <v/>
      </c>
    </row>
    <row r="80" spans="1:16" x14ac:dyDescent="0.25">
      <c r="L80" s="11" t="str">
        <f>IF($K80="","",IFERROR(IF(INDEX(Service_Providers!$C$2:$C$104,MATCH($K80,Service_Providers!$A$2:$A$104,0))="","",INDEX(Service_Providers!$C$2:$C$104,MATCH($K80,Service_Providers!$A$2:$A$104,0)))&amp;IF(AND(INDEX(Service_Providers!$C$2:$C$104,MATCH($K80,Service_Providers!$A$2:$A$104,0))&lt;&gt;"",INDEX(Service_Providers!$D$2:$D$104,MATCH($K80,Service_Providers!$A$2:$A$104,0))&lt;&gt;""),CHAR(10),"")&amp;IF(INDEX(Service_Providers!$D$2:$D$104,MATCH($K80,Service_Providers!$A$2:$A$104,0))="","",INDEX(Service_Providers!$D$2:$D$104,MATCH($K80,Service_Providers!$A$2:$A$104,0))),"Provider not found"))</f>
        <v/>
      </c>
      <c r="N80" s="11" t="str">
        <f>IF($M80="","",IFERROR(IF(INDEX(Service_Providers!$C$2:$C$104,MATCH($M80,Service_Providers!$A$2:$A$104,0))="","",INDEX(Service_Providers!$C$2:$C$104,MATCH($M80,Service_Providers!$A$2:$A$104,0)))&amp;IF(AND(INDEX(Service_Providers!$C$2:$C$104,MATCH($M80,Service_Providers!$A$2:$A$104,0))&lt;&gt;"",INDEX(Service_Providers!$D$2:$D$104,MATCH($M80,Service_Providers!$A$2:$A$104,0))&lt;&gt;""),CHAR(10),"")&amp;IF(INDEX(Service_Providers!$D$2:$D$104,MATCH($M80,Service_Providers!$A$2:$A$104,0))="","",INDEX(Service_Providers!$D$2:$D$104,MATCH($M80,Service_Providers!$A$2:$A$104,0))),"Provider not found"))</f>
        <v/>
      </c>
    </row>
    <row r="81" spans="12:14" x14ac:dyDescent="0.25">
      <c r="L81" s="11" t="str">
        <f>IF($K81="","",IFERROR(IF(INDEX(Service_Providers!$C$2:$C$104,MATCH($K81,Service_Providers!$A$2:$A$104,0))="","",INDEX(Service_Providers!$C$2:$C$104,MATCH($K81,Service_Providers!$A$2:$A$104,0)))&amp;IF(AND(INDEX(Service_Providers!$C$2:$C$104,MATCH($K81,Service_Providers!$A$2:$A$104,0))&lt;&gt;"",INDEX(Service_Providers!$D$2:$D$104,MATCH($K81,Service_Providers!$A$2:$A$104,0))&lt;&gt;""),CHAR(10),"")&amp;IF(INDEX(Service_Providers!$D$2:$D$104,MATCH($K81,Service_Providers!$A$2:$A$104,0))="","",INDEX(Service_Providers!$D$2:$D$104,MATCH($K81,Service_Providers!$A$2:$A$104,0))),"Provider not found"))</f>
        <v/>
      </c>
      <c r="N81" s="11" t="str">
        <f>IF($M81="","",IFERROR(IF(INDEX(Service_Providers!$C$2:$C$104,MATCH($M81,Service_Providers!$A$2:$A$104,0))="","",INDEX(Service_Providers!$C$2:$C$104,MATCH($M81,Service_Providers!$A$2:$A$104,0)))&amp;IF(AND(INDEX(Service_Providers!$C$2:$C$104,MATCH($M81,Service_Providers!$A$2:$A$104,0))&lt;&gt;"",INDEX(Service_Providers!$D$2:$D$104,MATCH($M81,Service_Providers!$A$2:$A$104,0))&lt;&gt;""),CHAR(10),"")&amp;IF(INDEX(Service_Providers!$D$2:$D$104,MATCH($M81,Service_Providers!$A$2:$A$104,0))="","",INDEX(Service_Providers!$D$2:$D$104,MATCH($M81,Service_Providers!$A$2:$A$104,0))),"Provider not found"))</f>
        <v/>
      </c>
    </row>
    <row r="82" spans="12:14" x14ac:dyDescent="0.25">
      <c r="L82" s="11" t="str">
        <f>IF($K82="","",IFERROR(IF(INDEX(Service_Providers!$C$2:$C$104,MATCH($K82,Service_Providers!$A$2:$A$104,0))="","",INDEX(Service_Providers!$C$2:$C$104,MATCH($K82,Service_Providers!$A$2:$A$104,0)))&amp;IF(AND(INDEX(Service_Providers!$C$2:$C$104,MATCH($K82,Service_Providers!$A$2:$A$104,0))&lt;&gt;"",INDEX(Service_Providers!$D$2:$D$104,MATCH($K82,Service_Providers!$A$2:$A$104,0))&lt;&gt;""),CHAR(10),"")&amp;IF(INDEX(Service_Providers!$D$2:$D$104,MATCH($K82,Service_Providers!$A$2:$A$104,0))="","",INDEX(Service_Providers!$D$2:$D$104,MATCH($K82,Service_Providers!$A$2:$A$104,0))),"Provider not found"))</f>
        <v/>
      </c>
      <c r="N82" s="11" t="str">
        <f>IF($M82="","",IFERROR(IF(INDEX(Service_Providers!$C$2:$C$104,MATCH($M82,Service_Providers!$A$2:$A$104,0))="","",INDEX(Service_Providers!$C$2:$C$104,MATCH($M82,Service_Providers!$A$2:$A$104,0)))&amp;IF(AND(INDEX(Service_Providers!$C$2:$C$104,MATCH($M82,Service_Providers!$A$2:$A$104,0))&lt;&gt;"",INDEX(Service_Providers!$D$2:$D$104,MATCH($M82,Service_Providers!$A$2:$A$104,0))&lt;&gt;""),CHAR(10),"")&amp;IF(INDEX(Service_Providers!$D$2:$D$104,MATCH($M82,Service_Providers!$A$2:$A$104,0))="","",INDEX(Service_Providers!$D$2:$D$104,MATCH($M82,Service_Providers!$A$2:$A$104,0))),"Provider not found"))</f>
        <v/>
      </c>
    </row>
    <row r="83" spans="12:14" x14ac:dyDescent="0.25">
      <c r="L83" s="11" t="str">
        <f>IF($K83="","",IFERROR(IF(INDEX(Service_Providers!$C$2:$C$104,MATCH($K83,Service_Providers!$A$2:$A$104,0))="","",INDEX(Service_Providers!$C$2:$C$104,MATCH($K83,Service_Providers!$A$2:$A$104,0)))&amp;IF(AND(INDEX(Service_Providers!$C$2:$C$104,MATCH($K83,Service_Providers!$A$2:$A$104,0))&lt;&gt;"",INDEX(Service_Providers!$D$2:$D$104,MATCH($K83,Service_Providers!$A$2:$A$104,0))&lt;&gt;""),CHAR(10),"")&amp;IF(INDEX(Service_Providers!$D$2:$D$104,MATCH($K83,Service_Providers!$A$2:$A$104,0))="","",INDEX(Service_Providers!$D$2:$D$104,MATCH($K83,Service_Providers!$A$2:$A$104,0))),"Provider not found"))</f>
        <v/>
      </c>
      <c r="N83" s="11" t="str">
        <f>IF($M83="","",IFERROR(IF(INDEX(Service_Providers!$C$2:$C$104,MATCH($M83,Service_Providers!$A$2:$A$104,0))="","",INDEX(Service_Providers!$C$2:$C$104,MATCH($M83,Service_Providers!$A$2:$A$104,0)))&amp;IF(AND(INDEX(Service_Providers!$C$2:$C$104,MATCH($M83,Service_Providers!$A$2:$A$104,0))&lt;&gt;"",INDEX(Service_Providers!$D$2:$D$104,MATCH($M83,Service_Providers!$A$2:$A$104,0))&lt;&gt;""),CHAR(10),"")&amp;IF(INDEX(Service_Providers!$D$2:$D$104,MATCH($M83,Service_Providers!$A$2:$A$104,0))="","",INDEX(Service_Providers!$D$2:$D$104,MATCH($M83,Service_Providers!$A$2:$A$104,0))),"Provider not found"))</f>
        <v/>
      </c>
    </row>
    <row r="84" spans="12:14" x14ac:dyDescent="0.25">
      <c r="L84" s="11" t="str">
        <f>IF($K84="","",IFERROR(IF(INDEX(Service_Providers!$C$2:$C$104,MATCH($K84,Service_Providers!$A$2:$A$104,0))="","",INDEX(Service_Providers!$C$2:$C$104,MATCH($K84,Service_Providers!$A$2:$A$104,0)))&amp;IF(AND(INDEX(Service_Providers!$C$2:$C$104,MATCH($K84,Service_Providers!$A$2:$A$104,0))&lt;&gt;"",INDEX(Service_Providers!$D$2:$D$104,MATCH($K84,Service_Providers!$A$2:$A$104,0))&lt;&gt;""),CHAR(10),"")&amp;IF(INDEX(Service_Providers!$D$2:$D$104,MATCH($K84,Service_Providers!$A$2:$A$104,0))="","",INDEX(Service_Providers!$D$2:$D$104,MATCH($K84,Service_Providers!$A$2:$A$104,0))),"Provider not found"))</f>
        <v/>
      </c>
      <c r="N84" s="11" t="str">
        <f>IF($M84="","",IFERROR(IF(INDEX(Service_Providers!$C$2:$C$104,MATCH($M84,Service_Providers!$A$2:$A$104,0))="","",INDEX(Service_Providers!$C$2:$C$104,MATCH($M84,Service_Providers!$A$2:$A$104,0)))&amp;IF(AND(INDEX(Service_Providers!$C$2:$C$104,MATCH($M84,Service_Providers!$A$2:$A$104,0))&lt;&gt;"",INDEX(Service_Providers!$D$2:$D$104,MATCH($M84,Service_Providers!$A$2:$A$104,0))&lt;&gt;""),CHAR(10),"")&amp;IF(INDEX(Service_Providers!$D$2:$D$104,MATCH($M84,Service_Providers!$A$2:$A$104,0))="","",INDEX(Service_Providers!$D$2:$D$104,MATCH($M84,Service_Providers!$A$2:$A$104,0))),"Provider not found"))</f>
        <v/>
      </c>
    </row>
    <row r="85" spans="12:14" x14ac:dyDescent="0.25">
      <c r="L85" s="11" t="str">
        <f>IF($K85="","",IFERROR(IF(INDEX(Service_Providers!$C$2:$C$104,MATCH($K85,Service_Providers!$A$2:$A$104,0))="","",INDEX(Service_Providers!$C$2:$C$104,MATCH($K85,Service_Providers!$A$2:$A$104,0)))&amp;IF(AND(INDEX(Service_Providers!$C$2:$C$104,MATCH($K85,Service_Providers!$A$2:$A$104,0))&lt;&gt;"",INDEX(Service_Providers!$D$2:$D$104,MATCH($K85,Service_Providers!$A$2:$A$104,0))&lt;&gt;""),CHAR(10),"")&amp;IF(INDEX(Service_Providers!$D$2:$D$104,MATCH($K85,Service_Providers!$A$2:$A$104,0))="","",INDEX(Service_Providers!$D$2:$D$104,MATCH($K85,Service_Providers!$A$2:$A$104,0))),"Provider not found"))</f>
        <v/>
      </c>
      <c r="N85" s="11" t="str">
        <f>IF($M85="","",IFERROR(IF(INDEX(Service_Providers!$C$2:$C$104,MATCH($M85,Service_Providers!$A$2:$A$104,0))="","",INDEX(Service_Providers!$C$2:$C$104,MATCH($M85,Service_Providers!$A$2:$A$104,0)))&amp;IF(AND(INDEX(Service_Providers!$C$2:$C$104,MATCH($M85,Service_Providers!$A$2:$A$104,0))&lt;&gt;"",INDEX(Service_Providers!$D$2:$D$104,MATCH($M85,Service_Providers!$A$2:$A$104,0))&lt;&gt;""),CHAR(10),"")&amp;IF(INDEX(Service_Providers!$D$2:$D$104,MATCH($M85,Service_Providers!$A$2:$A$104,0))="","",INDEX(Service_Providers!$D$2:$D$104,MATCH($M85,Service_Providers!$A$2:$A$104,0))),"Provider not found"))</f>
        <v/>
      </c>
    </row>
    <row r="86" spans="12:14" x14ac:dyDescent="0.25">
      <c r="L86" s="11" t="str">
        <f>IF($K86="","",IFERROR(IF(INDEX(Service_Providers!$C$2:$C$104,MATCH($K86,Service_Providers!$A$2:$A$104,0))="","",INDEX(Service_Providers!$C$2:$C$104,MATCH($K86,Service_Providers!$A$2:$A$104,0)))&amp;IF(AND(INDEX(Service_Providers!$C$2:$C$104,MATCH($K86,Service_Providers!$A$2:$A$104,0))&lt;&gt;"",INDEX(Service_Providers!$D$2:$D$104,MATCH($K86,Service_Providers!$A$2:$A$104,0))&lt;&gt;""),CHAR(10),"")&amp;IF(INDEX(Service_Providers!$D$2:$D$104,MATCH($K86,Service_Providers!$A$2:$A$104,0))="","",INDEX(Service_Providers!$D$2:$D$104,MATCH($K86,Service_Providers!$A$2:$A$104,0))),"Provider not found"))</f>
        <v/>
      </c>
      <c r="N86" s="11" t="str">
        <f>IF($M86="","",IFERROR(IF(INDEX(Service_Providers!$C$2:$C$104,MATCH($M86,Service_Providers!$A$2:$A$104,0))="","",INDEX(Service_Providers!$C$2:$C$104,MATCH($M86,Service_Providers!$A$2:$A$104,0)))&amp;IF(AND(INDEX(Service_Providers!$C$2:$C$104,MATCH($M86,Service_Providers!$A$2:$A$104,0))&lt;&gt;"",INDEX(Service_Providers!$D$2:$D$104,MATCH($M86,Service_Providers!$A$2:$A$104,0))&lt;&gt;""),CHAR(10),"")&amp;IF(INDEX(Service_Providers!$D$2:$D$104,MATCH($M86,Service_Providers!$A$2:$A$104,0))="","",INDEX(Service_Providers!$D$2:$D$104,MATCH($M86,Service_Providers!$A$2:$A$104,0))),"Provider not found"))</f>
        <v/>
      </c>
    </row>
    <row r="87" spans="12:14" x14ac:dyDescent="0.25">
      <c r="L87" s="11" t="str">
        <f>IF($K87="","",IFERROR(IF(INDEX(Service_Providers!$C$2:$C$104,MATCH($K87,Service_Providers!$A$2:$A$104,0))="","",INDEX(Service_Providers!$C$2:$C$104,MATCH($K87,Service_Providers!$A$2:$A$104,0)))&amp;IF(AND(INDEX(Service_Providers!$C$2:$C$104,MATCH($K87,Service_Providers!$A$2:$A$104,0))&lt;&gt;"",INDEX(Service_Providers!$D$2:$D$104,MATCH($K87,Service_Providers!$A$2:$A$104,0))&lt;&gt;""),CHAR(10),"")&amp;IF(INDEX(Service_Providers!$D$2:$D$104,MATCH($K87,Service_Providers!$A$2:$A$104,0))="","",INDEX(Service_Providers!$D$2:$D$104,MATCH($K87,Service_Providers!$A$2:$A$104,0))),"Provider not found"))</f>
        <v/>
      </c>
      <c r="N87" s="11" t="str">
        <f>IF($M87="","",IFERROR(IF(INDEX(Service_Providers!$C$2:$C$104,MATCH($M87,Service_Providers!$A$2:$A$104,0))="","",INDEX(Service_Providers!$C$2:$C$104,MATCH($M87,Service_Providers!$A$2:$A$104,0)))&amp;IF(AND(INDEX(Service_Providers!$C$2:$C$104,MATCH($M87,Service_Providers!$A$2:$A$104,0))&lt;&gt;"",INDEX(Service_Providers!$D$2:$D$104,MATCH($M87,Service_Providers!$A$2:$A$104,0))&lt;&gt;""),CHAR(10),"")&amp;IF(INDEX(Service_Providers!$D$2:$D$104,MATCH($M87,Service_Providers!$A$2:$A$104,0))="","",INDEX(Service_Providers!$D$2:$D$104,MATCH($M87,Service_Providers!$A$2:$A$104,0))),"Provider not found"))</f>
        <v/>
      </c>
    </row>
    <row r="88" spans="12:14" x14ac:dyDescent="0.25">
      <c r="L88" s="11" t="str">
        <f>IF($K88="","",IFERROR(IF(INDEX(Service_Providers!$C$2:$C$104,MATCH($K88,Service_Providers!$A$2:$A$104,0))="","",INDEX(Service_Providers!$C$2:$C$104,MATCH($K88,Service_Providers!$A$2:$A$104,0)))&amp;IF(AND(INDEX(Service_Providers!$C$2:$C$104,MATCH($K88,Service_Providers!$A$2:$A$104,0))&lt;&gt;"",INDEX(Service_Providers!$D$2:$D$104,MATCH($K88,Service_Providers!$A$2:$A$104,0))&lt;&gt;""),CHAR(10),"")&amp;IF(INDEX(Service_Providers!$D$2:$D$104,MATCH($K88,Service_Providers!$A$2:$A$104,0))="","",INDEX(Service_Providers!$D$2:$D$104,MATCH($K88,Service_Providers!$A$2:$A$104,0))),"Provider not found"))</f>
        <v/>
      </c>
      <c r="N88" s="11" t="str">
        <f>IF($M88="","",IFERROR(IF(INDEX(Service_Providers!$C$2:$C$104,MATCH($M88,Service_Providers!$A$2:$A$104,0))="","",INDEX(Service_Providers!$C$2:$C$104,MATCH($M88,Service_Providers!$A$2:$A$104,0)))&amp;IF(AND(INDEX(Service_Providers!$C$2:$C$104,MATCH($M88,Service_Providers!$A$2:$A$104,0))&lt;&gt;"",INDEX(Service_Providers!$D$2:$D$104,MATCH($M88,Service_Providers!$A$2:$A$104,0))&lt;&gt;""),CHAR(10),"")&amp;IF(INDEX(Service_Providers!$D$2:$D$104,MATCH($M88,Service_Providers!$A$2:$A$104,0))="","",INDEX(Service_Providers!$D$2:$D$104,MATCH($M88,Service_Providers!$A$2:$A$104,0))),"Provider not found"))</f>
        <v/>
      </c>
    </row>
    <row r="89" spans="12:14" x14ac:dyDescent="0.25">
      <c r="L89" s="11" t="str">
        <f>IF($K89="","",IFERROR(IF(INDEX(Service_Providers!$C$2:$C$104,MATCH($K89,Service_Providers!$A$2:$A$104,0))="","",INDEX(Service_Providers!$C$2:$C$104,MATCH($K89,Service_Providers!$A$2:$A$104,0)))&amp;IF(AND(INDEX(Service_Providers!$C$2:$C$104,MATCH($K89,Service_Providers!$A$2:$A$104,0))&lt;&gt;"",INDEX(Service_Providers!$D$2:$D$104,MATCH($K89,Service_Providers!$A$2:$A$104,0))&lt;&gt;""),CHAR(10),"")&amp;IF(INDEX(Service_Providers!$D$2:$D$104,MATCH($K89,Service_Providers!$A$2:$A$104,0))="","",INDEX(Service_Providers!$D$2:$D$104,MATCH($K89,Service_Providers!$A$2:$A$104,0))),"Provider not found"))</f>
        <v/>
      </c>
      <c r="N89" s="11" t="str">
        <f>IF($M89="","",IFERROR(IF(INDEX(Service_Providers!$C$2:$C$104,MATCH($M89,Service_Providers!$A$2:$A$104,0))="","",INDEX(Service_Providers!$C$2:$C$104,MATCH($M89,Service_Providers!$A$2:$A$104,0)))&amp;IF(AND(INDEX(Service_Providers!$C$2:$C$104,MATCH($M89,Service_Providers!$A$2:$A$104,0))&lt;&gt;"",INDEX(Service_Providers!$D$2:$D$104,MATCH($M89,Service_Providers!$A$2:$A$104,0))&lt;&gt;""),CHAR(10),"")&amp;IF(INDEX(Service_Providers!$D$2:$D$104,MATCH($M89,Service_Providers!$A$2:$A$104,0))="","",INDEX(Service_Providers!$D$2:$D$104,MATCH($M89,Service_Providers!$A$2:$A$104,0))),"Provider not found"))</f>
        <v/>
      </c>
    </row>
    <row r="90" spans="12:14" x14ac:dyDescent="0.25">
      <c r="L90" s="11" t="str">
        <f>IF($K90="","",IFERROR(IF(INDEX(Service_Providers!$C$2:$C$104,MATCH($K90,Service_Providers!$A$2:$A$104,0))="","",INDEX(Service_Providers!$C$2:$C$104,MATCH($K90,Service_Providers!$A$2:$A$104,0)))&amp;IF(AND(INDEX(Service_Providers!$C$2:$C$104,MATCH($K90,Service_Providers!$A$2:$A$104,0))&lt;&gt;"",INDEX(Service_Providers!$D$2:$D$104,MATCH($K90,Service_Providers!$A$2:$A$104,0))&lt;&gt;""),CHAR(10),"")&amp;IF(INDEX(Service_Providers!$D$2:$D$104,MATCH($K90,Service_Providers!$A$2:$A$104,0))="","",INDEX(Service_Providers!$D$2:$D$104,MATCH($K90,Service_Providers!$A$2:$A$104,0))),"Provider not found"))</f>
        <v/>
      </c>
      <c r="N90" s="11" t="str">
        <f>IF($M90="","",IFERROR(IF(INDEX(Service_Providers!$C$2:$C$104,MATCH($M90,Service_Providers!$A$2:$A$104,0))="","",INDEX(Service_Providers!$C$2:$C$104,MATCH($M90,Service_Providers!$A$2:$A$104,0)))&amp;IF(AND(INDEX(Service_Providers!$C$2:$C$104,MATCH($M90,Service_Providers!$A$2:$A$104,0))&lt;&gt;"",INDEX(Service_Providers!$D$2:$D$104,MATCH($M90,Service_Providers!$A$2:$A$104,0))&lt;&gt;""),CHAR(10),"")&amp;IF(INDEX(Service_Providers!$D$2:$D$104,MATCH($M90,Service_Providers!$A$2:$A$104,0))="","",INDEX(Service_Providers!$D$2:$D$104,MATCH($M90,Service_Providers!$A$2:$A$104,0))),"Provider not found"))</f>
        <v/>
      </c>
    </row>
    <row r="91" spans="12:14" x14ac:dyDescent="0.25">
      <c r="L91" s="11" t="str">
        <f>IF($K91="","",IFERROR(IF(INDEX(Service_Providers!$C$2:$C$104,MATCH($K91,Service_Providers!$A$2:$A$104,0))="","",INDEX(Service_Providers!$C$2:$C$104,MATCH($K91,Service_Providers!$A$2:$A$104,0)))&amp;IF(AND(INDEX(Service_Providers!$C$2:$C$104,MATCH($K91,Service_Providers!$A$2:$A$104,0))&lt;&gt;"",INDEX(Service_Providers!$D$2:$D$104,MATCH($K91,Service_Providers!$A$2:$A$104,0))&lt;&gt;""),CHAR(10),"")&amp;IF(INDEX(Service_Providers!$D$2:$D$104,MATCH($K91,Service_Providers!$A$2:$A$104,0))="","",INDEX(Service_Providers!$D$2:$D$104,MATCH($K91,Service_Providers!$A$2:$A$104,0))),"Provider not found"))</f>
        <v/>
      </c>
      <c r="N91" s="11" t="str">
        <f>IF($M91="","",IFERROR(IF(INDEX(Service_Providers!$C$2:$C$104,MATCH($M91,Service_Providers!$A$2:$A$104,0))="","",INDEX(Service_Providers!$C$2:$C$104,MATCH($M91,Service_Providers!$A$2:$A$104,0)))&amp;IF(AND(INDEX(Service_Providers!$C$2:$C$104,MATCH($M91,Service_Providers!$A$2:$A$104,0))&lt;&gt;"",INDEX(Service_Providers!$D$2:$D$104,MATCH($M91,Service_Providers!$A$2:$A$104,0))&lt;&gt;""),CHAR(10),"")&amp;IF(INDEX(Service_Providers!$D$2:$D$104,MATCH($M91,Service_Providers!$A$2:$A$104,0))="","",INDEX(Service_Providers!$D$2:$D$104,MATCH($M91,Service_Providers!$A$2:$A$104,0))),"Provider not found"))</f>
        <v/>
      </c>
    </row>
    <row r="92" spans="12:14" x14ac:dyDescent="0.25">
      <c r="L92" s="11" t="str">
        <f>IF($K92="","",IFERROR(IF(INDEX(Service_Providers!$C$2:$C$104,MATCH($K92,Service_Providers!$A$2:$A$104,0))="","",INDEX(Service_Providers!$C$2:$C$104,MATCH($K92,Service_Providers!$A$2:$A$104,0)))&amp;IF(AND(INDEX(Service_Providers!$C$2:$C$104,MATCH($K92,Service_Providers!$A$2:$A$104,0))&lt;&gt;"",INDEX(Service_Providers!$D$2:$D$104,MATCH($K92,Service_Providers!$A$2:$A$104,0))&lt;&gt;""),CHAR(10),"")&amp;IF(INDEX(Service_Providers!$D$2:$D$104,MATCH($K92,Service_Providers!$A$2:$A$104,0))="","",INDEX(Service_Providers!$D$2:$D$104,MATCH($K92,Service_Providers!$A$2:$A$104,0))),"Provider not found"))</f>
        <v/>
      </c>
      <c r="N92" s="11" t="str">
        <f>IF($M92="","",IFERROR(IF(INDEX(Service_Providers!$C$2:$C$104,MATCH($M92,Service_Providers!$A$2:$A$104,0))="","",INDEX(Service_Providers!$C$2:$C$104,MATCH($M92,Service_Providers!$A$2:$A$104,0)))&amp;IF(AND(INDEX(Service_Providers!$C$2:$C$104,MATCH($M92,Service_Providers!$A$2:$A$104,0))&lt;&gt;"",INDEX(Service_Providers!$D$2:$D$104,MATCH($M92,Service_Providers!$A$2:$A$104,0))&lt;&gt;""),CHAR(10),"")&amp;IF(INDEX(Service_Providers!$D$2:$D$104,MATCH($M92,Service_Providers!$A$2:$A$104,0))="","",INDEX(Service_Providers!$D$2:$D$104,MATCH($M92,Service_Providers!$A$2:$A$104,0))),"Provider not found"))</f>
        <v/>
      </c>
    </row>
    <row r="93" spans="12:14" x14ac:dyDescent="0.25">
      <c r="L93" s="11" t="str">
        <f>IF($K93="","",IFERROR(IF(INDEX(Service_Providers!$C$2:$C$104,MATCH($K93,Service_Providers!$A$2:$A$104,0))="","",INDEX(Service_Providers!$C$2:$C$104,MATCH($K93,Service_Providers!$A$2:$A$104,0)))&amp;IF(AND(INDEX(Service_Providers!$C$2:$C$104,MATCH($K93,Service_Providers!$A$2:$A$104,0))&lt;&gt;"",INDEX(Service_Providers!$D$2:$D$104,MATCH($K93,Service_Providers!$A$2:$A$104,0))&lt;&gt;""),CHAR(10),"")&amp;IF(INDEX(Service_Providers!$D$2:$D$104,MATCH($K93,Service_Providers!$A$2:$A$104,0))="","",INDEX(Service_Providers!$D$2:$D$104,MATCH($K93,Service_Providers!$A$2:$A$104,0))),"Provider not found"))</f>
        <v/>
      </c>
      <c r="N93" s="11" t="str">
        <f>IF($M93="","",IFERROR(IF(INDEX(Service_Providers!$C$2:$C$104,MATCH($M93,Service_Providers!$A$2:$A$104,0))="","",INDEX(Service_Providers!$C$2:$C$104,MATCH($M93,Service_Providers!$A$2:$A$104,0)))&amp;IF(AND(INDEX(Service_Providers!$C$2:$C$104,MATCH($M93,Service_Providers!$A$2:$A$104,0))&lt;&gt;"",INDEX(Service_Providers!$D$2:$D$104,MATCH($M93,Service_Providers!$A$2:$A$104,0))&lt;&gt;""),CHAR(10),"")&amp;IF(INDEX(Service_Providers!$D$2:$D$104,MATCH($M93,Service_Providers!$A$2:$A$104,0))="","",INDEX(Service_Providers!$D$2:$D$104,MATCH($M93,Service_Providers!$A$2:$A$104,0))),"Provider not found"))</f>
        <v/>
      </c>
    </row>
    <row r="94" spans="12:14" x14ac:dyDescent="0.25">
      <c r="L94" s="11" t="str">
        <f>IF($K94="","",IFERROR(IF(INDEX(Service_Providers!$C$2:$C$104,MATCH($K94,Service_Providers!$A$2:$A$104,0))="","",INDEX(Service_Providers!$C$2:$C$104,MATCH($K94,Service_Providers!$A$2:$A$104,0)))&amp;IF(AND(INDEX(Service_Providers!$C$2:$C$104,MATCH($K94,Service_Providers!$A$2:$A$104,0))&lt;&gt;"",INDEX(Service_Providers!$D$2:$D$104,MATCH($K94,Service_Providers!$A$2:$A$104,0))&lt;&gt;""),CHAR(10),"")&amp;IF(INDEX(Service_Providers!$D$2:$D$104,MATCH($K94,Service_Providers!$A$2:$A$104,0))="","",INDEX(Service_Providers!$D$2:$D$104,MATCH($K94,Service_Providers!$A$2:$A$104,0))),"Provider not found"))</f>
        <v/>
      </c>
      <c r="N94" s="11" t="str">
        <f>IF($M94="","",IFERROR(IF(INDEX(Service_Providers!$C$2:$C$104,MATCH($M94,Service_Providers!$A$2:$A$104,0))="","",INDEX(Service_Providers!$C$2:$C$104,MATCH($M94,Service_Providers!$A$2:$A$104,0)))&amp;IF(AND(INDEX(Service_Providers!$C$2:$C$104,MATCH($M94,Service_Providers!$A$2:$A$104,0))&lt;&gt;"",INDEX(Service_Providers!$D$2:$D$104,MATCH($M94,Service_Providers!$A$2:$A$104,0))&lt;&gt;""),CHAR(10),"")&amp;IF(INDEX(Service_Providers!$D$2:$D$104,MATCH($M94,Service_Providers!$A$2:$A$104,0))="","",INDEX(Service_Providers!$D$2:$D$104,MATCH($M94,Service_Providers!$A$2:$A$104,0))),"Provider not found"))</f>
        <v/>
      </c>
    </row>
    <row r="95" spans="12:14" x14ac:dyDescent="0.25">
      <c r="L95" s="11" t="str">
        <f>IF($K95="","",IFERROR(IF(INDEX(Service_Providers!$C$2:$C$104,MATCH($K95,Service_Providers!$A$2:$A$104,0))="","",INDEX(Service_Providers!$C$2:$C$104,MATCH($K95,Service_Providers!$A$2:$A$104,0)))&amp;IF(AND(INDEX(Service_Providers!$C$2:$C$104,MATCH($K95,Service_Providers!$A$2:$A$104,0))&lt;&gt;"",INDEX(Service_Providers!$D$2:$D$104,MATCH($K95,Service_Providers!$A$2:$A$104,0))&lt;&gt;""),CHAR(10),"")&amp;IF(INDEX(Service_Providers!$D$2:$D$104,MATCH($K95,Service_Providers!$A$2:$A$104,0))="","",INDEX(Service_Providers!$D$2:$D$104,MATCH($K95,Service_Providers!$A$2:$A$104,0))),"Provider not found"))</f>
        <v/>
      </c>
      <c r="N95" s="11" t="str">
        <f>IF($M95="","",IFERROR(IF(INDEX(Service_Providers!$C$2:$C$104,MATCH($M95,Service_Providers!$A$2:$A$104,0))="","",INDEX(Service_Providers!$C$2:$C$104,MATCH($M95,Service_Providers!$A$2:$A$104,0)))&amp;IF(AND(INDEX(Service_Providers!$C$2:$C$104,MATCH($M95,Service_Providers!$A$2:$A$104,0))&lt;&gt;"",INDEX(Service_Providers!$D$2:$D$104,MATCH($M95,Service_Providers!$A$2:$A$104,0))&lt;&gt;""),CHAR(10),"")&amp;IF(INDEX(Service_Providers!$D$2:$D$104,MATCH($M95,Service_Providers!$A$2:$A$104,0))="","",INDEX(Service_Providers!$D$2:$D$104,MATCH($M95,Service_Providers!$A$2:$A$104,0))),"Provider not found"))</f>
        <v/>
      </c>
    </row>
    <row r="96" spans="12:14" x14ac:dyDescent="0.25">
      <c r="L96" s="11" t="str">
        <f>IF($K96="","",IFERROR(IF(INDEX(Service_Providers!$C$2:$C$104,MATCH($K96,Service_Providers!$A$2:$A$104,0))="","",INDEX(Service_Providers!$C$2:$C$104,MATCH($K96,Service_Providers!$A$2:$A$104,0)))&amp;IF(AND(INDEX(Service_Providers!$C$2:$C$104,MATCH($K96,Service_Providers!$A$2:$A$104,0))&lt;&gt;"",INDEX(Service_Providers!$D$2:$D$104,MATCH($K96,Service_Providers!$A$2:$A$104,0))&lt;&gt;""),CHAR(10),"")&amp;IF(INDEX(Service_Providers!$D$2:$D$104,MATCH($K96,Service_Providers!$A$2:$A$104,0))="","",INDEX(Service_Providers!$D$2:$D$104,MATCH($K96,Service_Providers!$A$2:$A$104,0))),"Provider not found"))</f>
        <v/>
      </c>
      <c r="N96" s="11" t="str">
        <f>IF($M96="","",IFERROR(IF(INDEX(Service_Providers!$C$2:$C$104,MATCH($M96,Service_Providers!$A$2:$A$104,0))="","",INDEX(Service_Providers!$C$2:$C$104,MATCH($M96,Service_Providers!$A$2:$A$104,0)))&amp;IF(AND(INDEX(Service_Providers!$C$2:$C$104,MATCH($M96,Service_Providers!$A$2:$A$104,0))&lt;&gt;"",INDEX(Service_Providers!$D$2:$D$104,MATCH($M96,Service_Providers!$A$2:$A$104,0))&lt;&gt;""),CHAR(10),"")&amp;IF(INDEX(Service_Providers!$D$2:$D$104,MATCH($M96,Service_Providers!$A$2:$A$104,0))="","",INDEX(Service_Providers!$D$2:$D$104,MATCH($M96,Service_Providers!$A$2:$A$104,0))),"Provider not found"))</f>
        <v/>
      </c>
    </row>
    <row r="97" spans="12:14" x14ac:dyDescent="0.25">
      <c r="L97" s="11" t="str">
        <f>IF($K97="","",IFERROR(IF(INDEX(Service_Providers!$C$2:$C$104,MATCH($K97,Service_Providers!$A$2:$A$104,0))="","",INDEX(Service_Providers!$C$2:$C$104,MATCH($K97,Service_Providers!$A$2:$A$104,0)))&amp;IF(AND(INDEX(Service_Providers!$C$2:$C$104,MATCH($K97,Service_Providers!$A$2:$A$104,0))&lt;&gt;"",INDEX(Service_Providers!$D$2:$D$104,MATCH($K97,Service_Providers!$A$2:$A$104,0))&lt;&gt;""),CHAR(10),"")&amp;IF(INDEX(Service_Providers!$D$2:$D$104,MATCH($K97,Service_Providers!$A$2:$A$104,0))="","",INDEX(Service_Providers!$D$2:$D$104,MATCH($K97,Service_Providers!$A$2:$A$104,0))),"Provider not found"))</f>
        <v/>
      </c>
      <c r="N97" s="11" t="str">
        <f>IF($M97="","",IFERROR(IF(INDEX(Service_Providers!$C$2:$C$104,MATCH($M97,Service_Providers!$A$2:$A$104,0))="","",INDEX(Service_Providers!$C$2:$C$104,MATCH($M97,Service_Providers!$A$2:$A$104,0)))&amp;IF(AND(INDEX(Service_Providers!$C$2:$C$104,MATCH($M97,Service_Providers!$A$2:$A$104,0))&lt;&gt;"",INDEX(Service_Providers!$D$2:$D$104,MATCH($M97,Service_Providers!$A$2:$A$104,0))&lt;&gt;""),CHAR(10),"")&amp;IF(INDEX(Service_Providers!$D$2:$D$104,MATCH($M97,Service_Providers!$A$2:$A$104,0))="","",INDEX(Service_Providers!$D$2:$D$104,MATCH($M97,Service_Providers!$A$2:$A$104,0))),"Provider not found"))</f>
        <v/>
      </c>
    </row>
    <row r="98" spans="12:14" x14ac:dyDescent="0.25">
      <c r="L98" s="11" t="str">
        <f>IF($K98="","",IFERROR(IF(INDEX(Service_Providers!$C$2:$C$104,MATCH($K98,Service_Providers!$A$2:$A$104,0))="","",INDEX(Service_Providers!$C$2:$C$104,MATCH($K98,Service_Providers!$A$2:$A$104,0)))&amp;IF(AND(INDEX(Service_Providers!$C$2:$C$104,MATCH($K98,Service_Providers!$A$2:$A$104,0))&lt;&gt;"",INDEX(Service_Providers!$D$2:$D$104,MATCH($K98,Service_Providers!$A$2:$A$104,0))&lt;&gt;""),CHAR(10),"")&amp;IF(INDEX(Service_Providers!$D$2:$D$104,MATCH($K98,Service_Providers!$A$2:$A$104,0))="","",INDEX(Service_Providers!$D$2:$D$104,MATCH($K98,Service_Providers!$A$2:$A$104,0))),"Provider not found"))</f>
        <v/>
      </c>
      <c r="N98" s="11" t="str">
        <f>IF($M98="","",IFERROR(IF(INDEX(Service_Providers!$C$2:$C$104,MATCH($M98,Service_Providers!$A$2:$A$104,0))="","",INDEX(Service_Providers!$C$2:$C$104,MATCH($M98,Service_Providers!$A$2:$A$104,0)))&amp;IF(AND(INDEX(Service_Providers!$C$2:$C$104,MATCH($M98,Service_Providers!$A$2:$A$104,0))&lt;&gt;"",INDEX(Service_Providers!$D$2:$D$104,MATCH($M98,Service_Providers!$A$2:$A$104,0))&lt;&gt;""),CHAR(10),"")&amp;IF(INDEX(Service_Providers!$D$2:$D$104,MATCH($M98,Service_Providers!$A$2:$A$104,0))="","",INDEX(Service_Providers!$D$2:$D$104,MATCH($M98,Service_Providers!$A$2:$A$104,0))),"Provider not found"))</f>
        <v/>
      </c>
    </row>
    <row r="99" spans="12:14" x14ac:dyDescent="0.25">
      <c r="L99" s="11" t="str">
        <f>IF($K99="","",IFERROR(IF(INDEX(Service_Providers!$C$2:$C$104,MATCH($K99,Service_Providers!$A$2:$A$104,0))="","",INDEX(Service_Providers!$C$2:$C$104,MATCH($K99,Service_Providers!$A$2:$A$104,0)))&amp;IF(AND(INDEX(Service_Providers!$C$2:$C$104,MATCH($K99,Service_Providers!$A$2:$A$104,0))&lt;&gt;"",INDEX(Service_Providers!$D$2:$D$104,MATCH($K99,Service_Providers!$A$2:$A$104,0))&lt;&gt;""),CHAR(10),"")&amp;IF(INDEX(Service_Providers!$D$2:$D$104,MATCH($K99,Service_Providers!$A$2:$A$104,0))="","",INDEX(Service_Providers!$D$2:$D$104,MATCH($K99,Service_Providers!$A$2:$A$104,0))),"Provider not found"))</f>
        <v/>
      </c>
      <c r="N99" s="11" t="str">
        <f>IF($M99="","",IFERROR(IF(INDEX(Service_Providers!$C$2:$C$104,MATCH($M99,Service_Providers!$A$2:$A$104,0))="","",INDEX(Service_Providers!$C$2:$C$104,MATCH($M99,Service_Providers!$A$2:$A$104,0)))&amp;IF(AND(INDEX(Service_Providers!$C$2:$C$104,MATCH($M99,Service_Providers!$A$2:$A$104,0))&lt;&gt;"",INDEX(Service_Providers!$D$2:$D$104,MATCH($M99,Service_Providers!$A$2:$A$104,0))&lt;&gt;""),CHAR(10),"")&amp;IF(INDEX(Service_Providers!$D$2:$D$104,MATCH($M99,Service_Providers!$A$2:$A$104,0))="","",INDEX(Service_Providers!$D$2:$D$104,MATCH($M99,Service_Providers!$A$2:$A$104,0))),"Provider not found"))</f>
        <v/>
      </c>
    </row>
    <row r="100" spans="12:14" x14ac:dyDescent="0.25">
      <c r="L100" s="11" t="str">
        <f>IF($K100="","",IFERROR(IF(INDEX(Service_Providers!$C$2:$C$104,MATCH($K100,Service_Providers!$A$2:$A$104,0))="","",INDEX(Service_Providers!$C$2:$C$104,MATCH($K100,Service_Providers!$A$2:$A$104,0)))&amp;IF(AND(INDEX(Service_Providers!$C$2:$C$104,MATCH($K100,Service_Providers!$A$2:$A$104,0))&lt;&gt;"",INDEX(Service_Providers!$D$2:$D$104,MATCH($K100,Service_Providers!$A$2:$A$104,0))&lt;&gt;""),CHAR(10),"")&amp;IF(INDEX(Service_Providers!$D$2:$D$104,MATCH($K100,Service_Providers!$A$2:$A$104,0))="","",INDEX(Service_Providers!$D$2:$D$104,MATCH($K100,Service_Providers!$A$2:$A$104,0))),"Provider not found"))</f>
        <v/>
      </c>
      <c r="N100" s="11" t="str">
        <f>IF($M100="","",IFERROR(IF(INDEX(Service_Providers!$C$2:$C$104,MATCH($M100,Service_Providers!$A$2:$A$104,0))="","",INDEX(Service_Providers!$C$2:$C$104,MATCH($M100,Service_Providers!$A$2:$A$104,0)))&amp;IF(AND(INDEX(Service_Providers!$C$2:$C$104,MATCH($M100,Service_Providers!$A$2:$A$104,0))&lt;&gt;"",INDEX(Service_Providers!$D$2:$D$104,MATCH($M100,Service_Providers!$A$2:$A$104,0))&lt;&gt;""),CHAR(10),"")&amp;IF(INDEX(Service_Providers!$D$2:$D$104,MATCH($M100,Service_Providers!$A$2:$A$104,0))="","",INDEX(Service_Providers!$D$2:$D$104,MATCH($M100,Service_Providers!$A$2:$A$104,0))),"Provider not found"))</f>
        <v/>
      </c>
    </row>
    <row r="101" spans="12:14" x14ac:dyDescent="0.25">
      <c r="L101" s="11" t="str">
        <f>IF($K101="","",IFERROR(IF(INDEX(Service_Providers!$C$2:$C$104,MATCH($K101,Service_Providers!$A$2:$A$104,0))="","",INDEX(Service_Providers!$C$2:$C$104,MATCH($K101,Service_Providers!$A$2:$A$104,0)))&amp;IF(AND(INDEX(Service_Providers!$C$2:$C$104,MATCH($K101,Service_Providers!$A$2:$A$104,0))&lt;&gt;"",INDEX(Service_Providers!$D$2:$D$104,MATCH($K101,Service_Providers!$A$2:$A$104,0))&lt;&gt;""),CHAR(10),"")&amp;IF(INDEX(Service_Providers!$D$2:$D$104,MATCH($K101,Service_Providers!$A$2:$A$104,0))="","",INDEX(Service_Providers!$D$2:$D$104,MATCH($K101,Service_Providers!$A$2:$A$104,0))),"Provider not found"))</f>
        <v/>
      </c>
      <c r="N101" s="11" t="str">
        <f>IF($M101="","",IFERROR(IF(INDEX(Service_Providers!$C$2:$C$104,MATCH($M101,Service_Providers!$A$2:$A$104,0))="","",INDEX(Service_Providers!$C$2:$C$104,MATCH($M101,Service_Providers!$A$2:$A$104,0)))&amp;IF(AND(INDEX(Service_Providers!$C$2:$C$104,MATCH($M101,Service_Providers!$A$2:$A$104,0))&lt;&gt;"",INDEX(Service_Providers!$D$2:$D$104,MATCH($M101,Service_Providers!$A$2:$A$104,0))&lt;&gt;""),CHAR(10),"")&amp;IF(INDEX(Service_Providers!$D$2:$D$104,MATCH($M101,Service_Providers!$A$2:$A$104,0))="","",INDEX(Service_Providers!$D$2:$D$104,MATCH($M101,Service_Providers!$A$2:$A$104,0))),"Provider not found"))</f>
        <v/>
      </c>
    </row>
    <row r="102" spans="12:14" x14ac:dyDescent="0.25">
      <c r="L102" s="11" t="str">
        <f>IF($K102="","",IFERROR(IF(INDEX(Service_Providers!$C$2:$C$104,MATCH($K102,Service_Providers!$A$2:$A$104,0))="","",INDEX(Service_Providers!$C$2:$C$104,MATCH($K102,Service_Providers!$A$2:$A$104,0)))&amp;IF(AND(INDEX(Service_Providers!$C$2:$C$104,MATCH($K102,Service_Providers!$A$2:$A$104,0))&lt;&gt;"",INDEX(Service_Providers!$D$2:$D$104,MATCH($K102,Service_Providers!$A$2:$A$104,0))&lt;&gt;""),CHAR(10),"")&amp;IF(INDEX(Service_Providers!$D$2:$D$104,MATCH($K102,Service_Providers!$A$2:$A$104,0))="","",INDEX(Service_Providers!$D$2:$D$104,MATCH($K102,Service_Providers!$A$2:$A$104,0))),"Provider not found"))</f>
        <v/>
      </c>
      <c r="N102" s="11" t="str">
        <f>IF($M102="","",IFERROR(IF(INDEX(Service_Providers!$C$2:$C$104,MATCH($M102,Service_Providers!$A$2:$A$104,0))="","",INDEX(Service_Providers!$C$2:$C$104,MATCH($M102,Service_Providers!$A$2:$A$104,0)))&amp;IF(AND(INDEX(Service_Providers!$C$2:$C$104,MATCH($M102,Service_Providers!$A$2:$A$104,0))&lt;&gt;"",INDEX(Service_Providers!$D$2:$D$104,MATCH($M102,Service_Providers!$A$2:$A$104,0))&lt;&gt;""),CHAR(10),"")&amp;IF(INDEX(Service_Providers!$D$2:$D$104,MATCH($M102,Service_Providers!$A$2:$A$104,0))="","",INDEX(Service_Providers!$D$2:$D$104,MATCH($M102,Service_Providers!$A$2:$A$104,0))),"Provider not found"))</f>
        <v/>
      </c>
    </row>
    <row r="103" spans="12:14" x14ac:dyDescent="0.25">
      <c r="L103" s="11" t="str">
        <f>IF($K103="","",IFERROR(IF(INDEX(Service_Providers!$C$2:$C$104,MATCH($K103,Service_Providers!$A$2:$A$104,0))="","",INDEX(Service_Providers!$C$2:$C$104,MATCH($K103,Service_Providers!$A$2:$A$104,0)))&amp;IF(AND(INDEX(Service_Providers!$C$2:$C$104,MATCH($K103,Service_Providers!$A$2:$A$104,0))&lt;&gt;"",INDEX(Service_Providers!$D$2:$D$104,MATCH($K103,Service_Providers!$A$2:$A$104,0))&lt;&gt;""),CHAR(10),"")&amp;IF(INDEX(Service_Providers!$D$2:$D$104,MATCH($K103,Service_Providers!$A$2:$A$104,0))="","",INDEX(Service_Providers!$D$2:$D$104,MATCH($K103,Service_Providers!$A$2:$A$104,0))),"Provider not found"))</f>
        <v/>
      </c>
      <c r="N103" s="11" t="str">
        <f>IF($M103="","",IFERROR(IF(INDEX(Service_Providers!$C$2:$C$104,MATCH($M103,Service_Providers!$A$2:$A$104,0))="","",INDEX(Service_Providers!$C$2:$C$104,MATCH($M103,Service_Providers!$A$2:$A$104,0)))&amp;IF(AND(INDEX(Service_Providers!$C$2:$C$104,MATCH($M103,Service_Providers!$A$2:$A$104,0))&lt;&gt;"",INDEX(Service_Providers!$D$2:$D$104,MATCH($M103,Service_Providers!$A$2:$A$104,0))&lt;&gt;""),CHAR(10),"")&amp;IF(INDEX(Service_Providers!$D$2:$D$104,MATCH($M103,Service_Providers!$A$2:$A$104,0))="","",INDEX(Service_Providers!$D$2:$D$104,MATCH($M103,Service_Providers!$A$2:$A$104,0))),"Provider not found"))</f>
        <v/>
      </c>
    </row>
    <row r="104" spans="12:14" x14ac:dyDescent="0.25">
      <c r="L104" s="11" t="str">
        <f>IF($K104="","",IFERROR(IF(INDEX(Service_Providers!$C$2:$C$104,MATCH($K104,Service_Providers!$A$2:$A$104,0))="","",INDEX(Service_Providers!$C$2:$C$104,MATCH($K104,Service_Providers!$A$2:$A$104,0)))&amp;IF(AND(INDEX(Service_Providers!$C$2:$C$104,MATCH($K104,Service_Providers!$A$2:$A$104,0))&lt;&gt;"",INDEX(Service_Providers!$D$2:$D$104,MATCH($K104,Service_Providers!$A$2:$A$104,0))&lt;&gt;""),CHAR(10),"")&amp;IF(INDEX(Service_Providers!$D$2:$D$104,MATCH($K104,Service_Providers!$A$2:$A$104,0))="","",INDEX(Service_Providers!$D$2:$D$104,MATCH($K104,Service_Providers!$A$2:$A$104,0))),"Provider not found"))</f>
        <v/>
      </c>
      <c r="N104" s="11" t="str">
        <f>IF($M104="","",IFERROR(IF(INDEX(Service_Providers!$C$2:$C$104,MATCH($M104,Service_Providers!$A$2:$A$104,0))="","",INDEX(Service_Providers!$C$2:$C$104,MATCH($M104,Service_Providers!$A$2:$A$104,0)))&amp;IF(AND(INDEX(Service_Providers!$C$2:$C$104,MATCH($M104,Service_Providers!$A$2:$A$104,0))&lt;&gt;"",INDEX(Service_Providers!$D$2:$D$104,MATCH($M104,Service_Providers!$A$2:$A$104,0))&lt;&gt;""),CHAR(10),"")&amp;IF(INDEX(Service_Providers!$D$2:$D$104,MATCH($M104,Service_Providers!$A$2:$A$104,0))="","",INDEX(Service_Providers!$D$2:$D$104,MATCH($M104,Service_Providers!$A$2:$A$104,0))),"Provider not found"))</f>
        <v/>
      </c>
    </row>
    <row r="105" spans="12:14" x14ac:dyDescent="0.25">
      <c r="L105" s="11" t="str">
        <f>IF($K105="","",IFERROR(IF(INDEX(Service_Providers!$C$2:$C$104,MATCH($K105,Service_Providers!$A$2:$A$104,0))="","",INDEX(Service_Providers!$C$2:$C$104,MATCH($K105,Service_Providers!$A$2:$A$104,0)))&amp;IF(AND(INDEX(Service_Providers!$C$2:$C$104,MATCH($K105,Service_Providers!$A$2:$A$104,0))&lt;&gt;"",INDEX(Service_Providers!$D$2:$D$104,MATCH($K105,Service_Providers!$A$2:$A$104,0))&lt;&gt;""),CHAR(10),"")&amp;IF(INDEX(Service_Providers!$D$2:$D$104,MATCH($K105,Service_Providers!$A$2:$A$104,0))="","",INDEX(Service_Providers!$D$2:$D$104,MATCH($K105,Service_Providers!$A$2:$A$104,0))),"Provider not found"))</f>
        <v/>
      </c>
      <c r="N105" s="11" t="str">
        <f>IF($M105="","",IFERROR(IF(INDEX(Service_Providers!$C$2:$C$104,MATCH($M105,Service_Providers!$A$2:$A$104,0))="","",INDEX(Service_Providers!$C$2:$C$104,MATCH($M105,Service_Providers!$A$2:$A$104,0)))&amp;IF(AND(INDEX(Service_Providers!$C$2:$C$104,MATCH($M105,Service_Providers!$A$2:$A$104,0))&lt;&gt;"",INDEX(Service_Providers!$D$2:$D$104,MATCH($M105,Service_Providers!$A$2:$A$104,0))&lt;&gt;""),CHAR(10),"")&amp;IF(INDEX(Service_Providers!$D$2:$D$104,MATCH($M105,Service_Providers!$A$2:$A$104,0))="","",INDEX(Service_Providers!$D$2:$D$104,MATCH($M105,Service_Providers!$A$2:$A$104,0))),"Provider not found"))</f>
        <v/>
      </c>
    </row>
    <row r="106" spans="12:14" x14ac:dyDescent="0.25">
      <c r="L106" s="11" t="str">
        <f>IF($K106="","",IFERROR(IF(INDEX(Service_Providers!$C$2:$C$104,MATCH($K106,Service_Providers!$A$2:$A$104,0))="","",INDEX(Service_Providers!$C$2:$C$104,MATCH($K106,Service_Providers!$A$2:$A$104,0)))&amp;IF(AND(INDEX(Service_Providers!$C$2:$C$104,MATCH($K106,Service_Providers!$A$2:$A$104,0))&lt;&gt;"",INDEX(Service_Providers!$D$2:$D$104,MATCH($K106,Service_Providers!$A$2:$A$104,0))&lt;&gt;""),CHAR(10),"")&amp;IF(INDEX(Service_Providers!$D$2:$D$104,MATCH($K106,Service_Providers!$A$2:$A$104,0))="","",INDEX(Service_Providers!$D$2:$D$104,MATCH($K106,Service_Providers!$A$2:$A$104,0))),"Provider not found"))</f>
        <v/>
      </c>
      <c r="N106" s="11" t="str">
        <f>IF($M106="","",IFERROR(IF(INDEX(Service_Providers!$C$2:$C$104,MATCH($M106,Service_Providers!$A$2:$A$104,0))="","",INDEX(Service_Providers!$C$2:$C$104,MATCH($M106,Service_Providers!$A$2:$A$104,0)))&amp;IF(AND(INDEX(Service_Providers!$C$2:$C$104,MATCH($M106,Service_Providers!$A$2:$A$104,0))&lt;&gt;"",INDEX(Service_Providers!$D$2:$D$104,MATCH($M106,Service_Providers!$A$2:$A$104,0))&lt;&gt;""),CHAR(10),"")&amp;IF(INDEX(Service_Providers!$D$2:$D$104,MATCH($M106,Service_Providers!$A$2:$A$104,0))="","",INDEX(Service_Providers!$D$2:$D$104,MATCH($M106,Service_Providers!$A$2:$A$104,0))),"Provider not found"))</f>
        <v/>
      </c>
    </row>
    <row r="107" spans="12:14" x14ac:dyDescent="0.25">
      <c r="L107" s="11" t="str">
        <f>IF($K107="","",IFERROR(IF(INDEX(Service_Providers!$C$2:$C$104,MATCH($K107,Service_Providers!$A$2:$A$104,0))="","",INDEX(Service_Providers!$C$2:$C$104,MATCH($K107,Service_Providers!$A$2:$A$104,0)))&amp;IF(AND(INDEX(Service_Providers!$C$2:$C$104,MATCH($K107,Service_Providers!$A$2:$A$104,0))&lt;&gt;"",INDEX(Service_Providers!$D$2:$D$104,MATCH($K107,Service_Providers!$A$2:$A$104,0))&lt;&gt;""),CHAR(10),"")&amp;IF(INDEX(Service_Providers!$D$2:$D$104,MATCH($K107,Service_Providers!$A$2:$A$104,0))="","",INDEX(Service_Providers!$D$2:$D$104,MATCH($K107,Service_Providers!$A$2:$A$104,0))),"Provider not found"))</f>
        <v/>
      </c>
      <c r="N107" s="11" t="str">
        <f>IF($M107="","",IFERROR(IF(INDEX(Service_Providers!$C$2:$C$104,MATCH($M107,Service_Providers!$A$2:$A$104,0))="","",INDEX(Service_Providers!$C$2:$C$104,MATCH($M107,Service_Providers!$A$2:$A$104,0)))&amp;IF(AND(INDEX(Service_Providers!$C$2:$C$104,MATCH($M107,Service_Providers!$A$2:$A$104,0))&lt;&gt;"",INDEX(Service_Providers!$D$2:$D$104,MATCH($M107,Service_Providers!$A$2:$A$104,0))&lt;&gt;""),CHAR(10),"")&amp;IF(INDEX(Service_Providers!$D$2:$D$104,MATCH($M107,Service_Providers!$A$2:$A$104,0))="","",INDEX(Service_Providers!$D$2:$D$104,MATCH($M107,Service_Providers!$A$2:$A$104,0))),"Provider not found"))</f>
        <v/>
      </c>
    </row>
    <row r="108" spans="12:14" x14ac:dyDescent="0.25">
      <c r="L108" s="11" t="str">
        <f>IF($K108="","",IFERROR(IF(INDEX(Service_Providers!$C$2:$C$104,MATCH($K108,Service_Providers!$A$2:$A$104,0))="","",INDEX(Service_Providers!$C$2:$C$104,MATCH($K108,Service_Providers!$A$2:$A$104,0)))&amp;IF(AND(INDEX(Service_Providers!$C$2:$C$104,MATCH($K108,Service_Providers!$A$2:$A$104,0))&lt;&gt;"",INDEX(Service_Providers!$D$2:$D$104,MATCH($K108,Service_Providers!$A$2:$A$104,0))&lt;&gt;""),CHAR(10),"")&amp;IF(INDEX(Service_Providers!$D$2:$D$104,MATCH($K108,Service_Providers!$A$2:$A$104,0))="","",INDEX(Service_Providers!$D$2:$D$104,MATCH($K108,Service_Providers!$A$2:$A$104,0))),"Provider not found"))</f>
        <v/>
      </c>
      <c r="N108" s="11" t="str">
        <f>IF($M108="","",IFERROR(IF(INDEX(Service_Providers!$C$2:$C$104,MATCH($M108,Service_Providers!$A$2:$A$104,0))="","",INDEX(Service_Providers!$C$2:$C$104,MATCH($M108,Service_Providers!$A$2:$A$104,0)))&amp;IF(AND(INDEX(Service_Providers!$C$2:$C$104,MATCH($M108,Service_Providers!$A$2:$A$104,0))&lt;&gt;"",INDEX(Service_Providers!$D$2:$D$104,MATCH($M108,Service_Providers!$A$2:$A$104,0))&lt;&gt;""),CHAR(10),"")&amp;IF(INDEX(Service_Providers!$D$2:$D$104,MATCH($M108,Service_Providers!$A$2:$A$104,0))="","",INDEX(Service_Providers!$D$2:$D$104,MATCH($M108,Service_Providers!$A$2:$A$104,0))),"Provider not found"))</f>
        <v/>
      </c>
    </row>
    <row r="109" spans="12:14" x14ac:dyDescent="0.25">
      <c r="L109" s="11" t="str">
        <f>IF($K109="","",IFERROR(IF(INDEX(Service_Providers!$C$2:$C$104,MATCH($K109,Service_Providers!$A$2:$A$104,0))="","",INDEX(Service_Providers!$C$2:$C$104,MATCH($K109,Service_Providers!$A$2:$A$104,0)))&amp;IF(AND(INDEX(Service_Providers!$C$2:$C$104,MATCH($K109,Service_Providers!$A$2:$A$104,0))&lt;&gt;"",INDEX(Service_Providers!$D$2:$D$104,MATCH($K109,Service_Providers!$A$2:$A$104,0))&lt;&gt;""),CHAR(10),"")&amp;IF(INDEX(Service_Providers!$D$2:$D$104,MATCH($K109,Service_Providers!$A$2:$A$104,0))="","",INDEX(Service_Providers!$D$2:$D$104,MATCH($K109,Service_Providers!$A$2:$A$104,0))),"Provider not found"))</f>
        <v/>
      </c>
      <c r="N109" s="11" t="str">
        <f>IF($M109="","",IFERROR(IF(INDEX(Service_Providers!$C$2:$C$104,MATCH($M109,Service_Providers!$A$2:$A$104,0))="","",INDEX(Service_Providers!$C$2:$C$104,MATCH($M109,Service_Providers!$A$2:$A$104,0)))&amp;IF(AND(INDEX(Service_Providers!$C$2:$C$104,MATCH($M109,Service_Providers!$A$2:$A$104,0))&lt;&gt;"",INDEX(Service_Providers!$D$2:$D$104,MATCH($M109,Service_Providers!$A$2:$A$104,0))&lt;&gt;""),CHAR(10),"")&amp;IF(INDEX(Service_Providers!$D$2:$D$104,MATCH($M109,Service_Providers!$A$2:$A$104,0))="","",INDEX(Service_Providers!$D$2:$D$104,MATCH($M109,Service_Providers!$A$2:$A$104,0))),"Provider not found"))</f>
        <v/>
      </c>
    </row>
    <row r="110" spans="12:14" x14ac:dyDescent="0.25">
      <c r="L110" s="11" t="str">
        <f>IF($K110="","",IFERROR(IF(INDEX(Service_Providers!$C$2:$C$104,MATCH($K110,Service_Providers!$A$2:$A$104,0))="","",INDEX(Service_Providers!$C$2:$C$104,MATCH($K110,Service_Providers!$A$2:$A$104,0)))&amp;IF(AND(INDEX(Service_Providers!$C$2:$C$104,MATCH($K110,Service_Providers!$A$2:$A$104,0))&lt;&gt;"",INDEX(Service_Providers!$D$2:$D$104,MATCH($K110,Service_Providers!$A$2:$A$104,0))&lt;&gt;""),CHAR(10),"")&amp;IF(INDEX(Service_Providers!$D$2:$D$104,MATCH($K110,Service_Providers!$A$2:$A$104,0))="","",INDEX(Service_Providers!$D$2:$D$104,MATCH($K110,Service_Providers!$A$2:$A$104,0))),"Provider not found"))</f>
        <v/>
      </c>
      <c r="N110" s="11" t="str">
        <f>IF($M110="","",IFERROR(IF(INDEX(Service_Providers!$C$2:$C$104,MATCH($M110,Service_Providers!$A$2:$A$104,0))="","",INDEX(Service_Providers!$C$2:$C$104,MATCH($M110,Service_Providers!$A$2:$A$104,0)))&amp;IF(AND(INDEX(Service_Providers!$C$2:$C$104,MATCH($M110,Service_Providers!$A$2:$A$104,0))&lt;&gt;"",INDEX(Service_Providers!$D$2:$D$104,MATCH($M110,Service_Providers!$A$2:$A$104,0))&lt;&gt;""),CHAR(10),"")&amp;IF(INDEX(Service_Providers!$D$2:$D$104,MATCH($M110,Service_Providers!$A$2:$A$104,0))="","",INDEX(Service_Providers!$D$2:$D$104,MATCH($M110,Service_Providers!$A$2:$A$104,0))),"Provider not found"))</f>
        <v/>
      </c>
    </row>
    <row r="111" spans="12:14" x14ac:dyDescent="0.25">
      <c r="L111" s="11" t="str">
        <f>IF($K111="","",IFERROR(IF(INDEX(Service_Providers!$C$2:$C$104,MATCH($K111,Service_Providers!$A$2:$A$104,0))="","",INDEX(Service_Providers!$C$2:$C$104,MATCH($K111,Service_Providers!$A$2:$A$104,0)))&amp;IF(AND(INDEX(Service_Providers!$C$2:$C$104,MATCH($K111,Service_Providers!$A$2:$A$104,0))&lt;&gt;"",INDEX(Service_Providers!$D$2:$D$104,MATCH($K111,Service_Providers!$A$2:$A$104,0))&lt;&gt;""),CHAR(10),"")&amp;IF(INDEX(Service_Providers!$D$2:$D$104,MATCH($K111,Service_Providers!$A$2:$A$104,0))="","",INDEX(Service_Providers!$D$2:$D$104,MATCH($K111,Service_Providers!$A$2:$A$104,0))),"Provider not found"))</f>
        <v/>
      </c>
      <c r="N111" s="11" t="str">
        <f>IF($M111="","",IFERROR(IF(INDEX(Service_Providers!$C$2:$C$104,MATCH($M111,Service_Providers!$A$2:$A$104,0))="","",INDEX(Service_Providers!$C$2:$C$104,MATCH($M111,Service_Providers!$A$2:$A$104,0)))&amp;IF(AND(INDEX(Service_Providers!$C$2:$C$104,MATCH($M111,Service_Providers!$A$2:$A$104,0))&lt;&gt;"",INDEX(Service_Providers!$D$2:$D$104,MATCH($M111,Service_Providers!$A$2:$A$104,0))&lt;&gt;""),CHAR(10),"")&amp;IF(INDEX(Service_Providers!$D$2:$D$104,MATCH($M111,Service_Providers!$A$2:$A$104,0))="","",INDEX(Service_Providers!$D$2:$D$104,MATCH($M111,Service_Providers!$A$2:$A$104,0))),"Provider not found"))</f>
        <v/>
      </c>
    </row>
    <row r="112" spans="12:14" x14ac:dyDescent="0.25">
      <c r="L112" s="11" t="str">
        <f>IF($K112="","",IFERROR(IF(INDEX(Service_Providers!$C$2:$C$104,MATCH($K112,Service_Providers!$A$2:$A$104,0))="","",INDEX(Service_Providers!$C$2:$C$104,MATCH($K112,Service_Providers!$A$2:$A$104,0)))&amp;IF(AND(INDEX(Service_Providers!$C$2:$C$104,MATCH($K112,Service_Providers!$A$2:$A$104,0))&lt;&gt;"",INDEX(Service_Providers!$D$2:$D$104,MATCH($K112,Service_Providers!$A$2:$A$104,0))&lt;&gt;""),CHAR(10),"")&amp;IF(INDEX(Service_Providers!$D$2:$D$104,MATCH($K112,Service_Providers!$A$2:$A$104,0))="","",INDEX(Service_Providers!$D$2:$D$104,MATCH($K112,Service_Providers!$A$2:$A$104,0))),"Provider not found"))</f>
        <v/>
      </c>
      <c r="N112" s="11" t="str">
        <f>IF($M112="","",IFERROR(IF(INDEX(Service_Providers!$C$2:$C$104,MATCH($M112,Service_Providers!$A$2:$A$104,0))="","",INDEX(Service_Providers!$C$2:$C$104,MATCH($M112,Service_Providers!$A$2:$A$104,0)))&amp;IF(AND(INDEX(Service_Providers!$C$2:$C$104,MATCH($M112,Service_Providers!$A$2:$A$104,0))&lt;&gt;"",INDEX(Service_Providers!$D$2:$D$104,MATCH($M112,Service_Providers!$A$2:$A$104,0))&lt;&gt;""),CHAR(10),"")&amp;IF(INDEX(Service_Providers!$D$2:$D$104,MATCH($M112,Service_Providers!$A$2:$A$104,0))="","",INDEX(Service_Providers!$D$2:$D$104,MATCH($M112,Service_Providers!$A$2:$A$104,0))),"Provider not found"))</f>
        <v/>
      </c>
    </row>
    <row r="113" spans="12:14" x14ac:dyDescent="0.25">
      <c r="L113" s="11" t="str">
        <f>IF($K113="","",IFERROR(IF(INDEX(Service_Providers!$C$2:$C$104,MATCH($K113,Service_Providers!$A$2:$A$104,0))="","",INDEX(Service_Providers!$C$2:$C$104,MATCH($K113,Service_Providers!$A$2:$A$104,0)))&amp;IF(AND(INDEX(Service_Providers!$C$2:$C$104,MATCH($K113,Service_Providers!$A$2:$A$104,0))&lt;&gt;"",INDEX(Service_Providers!$D$2:$D$104,MATCH($K113,Service_Providers!$A$2:$A$104,0))&lt;&gt;""),CHAR(10),"")&amp;IF(INDEX(Service_Providers!$D$2:$D$104,MATCH($K113,Service_Providers!$A$2:$A$104,0))="","",INDEX(Service_Providers!$D$2:$D$104,MATCH($K113,Service_Providers!$A$2:$A$104,0))),"Provider not found"))</f>
        <v/>
      </c>
      <c r="N113" s="11" t="str">
        <f>IF($M113="","",IFERROR(IF(INDEX(Service_Providers!$C$2:$C$104,MATCH($M113,Service_Providers!$A$2:$A$104,0))="","",INDEX(Service_Providers!$C$2:$C$104,MATCH($M113,Service_Providers!$A$2:$A$104,0)))&amp;IF(AND(INDEX(Service_Providers!$C$2:$C$104,MATCH($M113,Service_Providers!$A$2:$A$104,0))&lt;&gt;"",INDEX(Service_Providers!$D$2:$D$104,MATCH($M113,Service_Providers!$A$2:$A$104,0))&lt;&gt;""),CHAR(10),"")&amp;IF(INDEX(Service_Providers!$D$2:$D$104,MATCH($M113,Service_Providers!$A$2:$A$104,0))="","",INDEX(Service_Providers!$D$2:$D$104,MATCH($M113,Service_Providers!$A$2:$A$104,0))),"Provider not found"))</f>
        <v/>
      </c>
    </row>
    <row r="114" spans="12:14" x14ac:dyDescent="0.25">
      <c r="L114" s="11" t="str">
        <f>IF($K114="","",IFERROR(IF(INDEX(Service_Providers!$C$2:$C$104,MATCH($K114,Service_Providers!$A$2:$A$104,0))="","",INDEX(Service_Providers!$C$2:$C$104,MATCH($K114,Service_Providers!$A$2:$A$104,0)))&amp;IF(AND(INDEX(Service_Providers!$C$2:$C$104,MATCH($K114,Service_Providers!$A$2:$A$104,0))&lt;&gt;"",INDEX(Service_Providers!$D$2:$D$104,MATCH($K114,Service_Providers!$A$2:$A$104,0))&lt;&gt;""),CHAR(10),"")&amp;IF(INDEX(Service_Providers!$D$2:$D$104,MATCH($K114,Service_Providers!$A$2:$A$104,0))="","",INDEX(Service_Providers!$D$2:$D$104,MATCH($K114,Service_Providers!$A$2:$A$104,0))),"Provider not found"))</f>
        <v/>
      </c>
      <c r="N114" s="11" t="str">
        <f>IF($M114="","",IFERROR(IF(INDEX(Service_Providers!$C$2:$C$104,MATCH($M114,Service_Providers!$A$2:$A$104,0))="","",INDEX(Service_Providers!$C$2:$C$104,MATCH($M114,Service_Providers!$A$2:$A$104,0)))&amp;IF(AND(INDEX(Service_Providers!$C$2:$C$104,MATCH($M114,Service_Providers!$A$2:$A$104,0))&lt;&gt;"",INDEX(Service_Providers!$D$2:$D$104,MATCH($M114,Service_Providers!$A$2:$A$104,0))&lt;&gt;""),CHAR(10),"")&amp;IF(INDEX(Service_Providers!$D$2:$D$104,MATCH($M114,Service_Providers!$A$2:$A$104,0))="","",INDEX(Service_Providers!$D$2:$D$104,MATCH($M114,Service_Providers!$A$2:$A$104,0))),"Provider not found"))</f>
        <v/>
      </c>
    </row>
    <row r="115" spans="12:14" x14ac:dyDescent="0.25">
      <c r="L115" s="11" t="str">
        <f>IF($K115="","",IFERROR(IF(INDEX(Service_Providers!$C$2:$C$104,MATCH($K115,Service_Providers!$A$2:$A$104,0))="","",INDEX(Service_Providers!$C$2:$C$104,MATCH($K115,Service_Providers!$A$2:$A$104,0)))&amp;IF(AND(INDEX(Service_Providers!$C$2:$C$104,MATCH($K115,Service_Providers!$A$2:$A$104,0))&lt;&gt;"",INDEX(Service_Providers!$D$2:$D$104,MATCH($K115,Service_Providers!$A$2:$A$104,0))&lt;&gt;""),CHAR(10),"")&amp;IF(INDEX(Service_Providers!$D$2:$D$104,MATCH($K115,Service_Providers!$A$2:$A$104,0))="","",INDEX(Service_Providers!$D$2:$D$104,MATCH($K115,Service_Providers!$A$2:$A$104,0))),"Provider not found"))</f>
        <v/>
      </c>
      <c r="N115" s="11" t="str">
        <f>IF($M115="","",IFERROR(IF(INDEX(Service_Providers!$C$2:$C$104,MATCH($M115,Service_Providers!$A$2:$A$104,0))="","",INDEX(Service_Providers!$C$2:$C$104,MATCH($M115,Service_Providers!$A$2:$A$104,0)))&amp;IF(AND(INDEX(Service_Providers!$C$2:$C$104,MATCH($M115,Service_Providers!$A$2:$A$104,0))&lt;&gt;"",INDEX(Service_Providers!$D$2:$D$104,MATCH($M115,Service_Providers!$A$2:$A$104,0))&lt;&gt;""),CHAR(10),"")&amp;IF(INDEX(Service_Providers!$D$2:$D$104,MATCH($M115,Service_Providers!$A$2:$A$104,0))="","",INDEX(Service_Providers!$D$2:$D$104,MATCH($M115,Service_Providers!$A$2:$A$104,0))),"Provider not found"))</f>
        <v/>
      </c>
    </row>
    <row r="116" spans="12:14" x14ac:dyDescent="0.25">
      <c r="L116" s="11" t="str">
        <f>IF($K116="","",IFERROR(IF(INDEX(Service_Providers!$C$2:$C$104,MATCH($K116,Service_Providers!$A$2:$A$104,0))="","",INDEX(Service_Providers!$C$2:$C$104,MATCH($K116,Service_Providers!$A$2:$A$104,0)))&amp;IF(AND(INDEX(Service_Providers!$C$2:$C$104,MATCH($K116,Service_Providers!$A$2:$A$104,0))&lt;&gt;"",INDEX(Service_Providers!$D$2:$D$104,MATCH($K116,Service_Providers!$A$2:$A$104,0))&lt;&gt;""),CHAR(10),"")&amp;IF(INDEX(Service_Providers!$D$2:$D$104,MATCH($K116,Service_Providers!$A$2:$A$104,0))="","",INDEX(Service_Providers!$D$2:$D$104,MATCH($K116,Service_Providers!$A$2:$A$104,0))),"Provider not found"))</f>
        <v/>
      </c>
      <c r="N116" s="11" t="str">
        <f>IF($M116="","",IFERROR(IF(INDEX(Service_Providers!$C$2:$C$104,MATCH($M116,Service_Providers!$A$2:$A$104,0))="","",INDEX(Service_Providers!$C$2:$C$104,MATCH($M116,Service_Providers!$A$2:$A$104,0)))&amp;IF(AND(INDEX(Service_Providers!$C$2:$C$104,MATCH($M116,Service_Providers!$A$2:$A$104,0))&lt;&gt;"",INDEX(Service_Providers!$D$2:$D$104,MATCH($M116,Service_Providers!$A$2:$A$104,0))&lt;&gt;""),CHAR(10),"")&amp;IF(INDEX(Service_Providers!$D$2:$D$104,MATCH($M116,Service_Providers!$A$2:$A$104,0))="","",INDEX(Service_Providers!$D$2:$D$104,MATCH($M116,Service_Providers!$A$2:$A$104,0))),"Provider not found"))</f>
        <v/>
      </c>
    </row>
    <row r="117" spans="12:14" x14ac:dyDescent="0.25">
      <c r="L117" s="11" t="str">
        <f>IF($K117="","",IFERROR(IF(INDEX(Service_Providers!$C$2:$C$104,MATCH($K117,Service_Providers!$A$2:$A$104,0))="","",INDEX(Service_Providers!$C$2:$C$104,MATCH($K117,Service_Providers!$A$2:$A$104,0)))&amp;IF(AND(INDEX(Service_Providers!$C$2:$C$104,MATCH($K117,Service_Providers!$A$2:$A$104,0))&lt;&gt;"",INDEX(Service_Providers!$D$2:$D$104,MATCH($K117,Service_Providers!$A$2:$A$104,0))&lt;&gt;""),CHAR(10),"")&amp;IF(INDEX(Service_Providers!$D$2:$D$104,MATCH($K117,Service_Providers!$A$2:$A$104,0))="","",INDEX(Service_Providers!$D$2:$D$104,MATCH($K117,Service_Providers!$A$2:$A$104,0))),"Provider not found"))</f>
        <v/>
      </c>
      <c r="N117" s="11" t="str">
        <f>IF($M117="","",IFERROR(IF(INDEX(Service_Providers!$C$2:$C$104,MATCH($M117,Service_Providers!$A$2:$A$104,0))="","",INDEX(Service_Providers!$C$2:$C$104,MATCH($M117,Service_Providers!$A$2:$A$104,0)))&amp;IF(AND(INDEX(Service_Providers!$C$2:$C$104,MATCH($M117,Service_Providers!$A$2:$A$104,0))&lt;&gt;"",INDEX(Service_Providers!$D$2:$D$104,MATCH($M117,Service_Providers!$A$2:$A$104,0))&lt;&gt;""),CHAR(10),"")&amp;IF(INDEX(Service_Providers!$D$2:$D$104,MATCH($M117,Service_Providers!$A$2:$A$104,0))="","",INDEX(Service_Providers!$D$2:$D$104,MATCH($M117,Service_Providers!$A$2:$A$104,0))),"Provider not found"))</f>
        <v/>
      </c>
    </row>
    <row r="118" spans="12:14" x14ac:dyDescent="0.25">
      <c r="L118" s="11" t="str">
        <f>IF($K118="","",IFERROR(IF(INDEX(Service_Providers!$C$2:$C$104,MATCH($K118,Service_Providers!$A$2:$A$104,0))="","",INDEX(Service_Providers!$C$2:$C$104,MATCH($K118,Service_Providers!$A$2:$A$104,0)))&amp;IF(AND(INDEX(Service_Providers!$C$2:$C$104,MATCH($K118,Service_Providers!$A$2:$A$104,0))&lt;&gt;"",INDEX(Service_Providers!$D$2:$D$104,MATCH($K118,Service_Providers!$A$2:$A$104,0))&lt;&gt;""),CHAR(10),"")&amp;IF(INDEX(Service_Providers!$D$2:$D$104,MATCH($K118,Service_Providers!$A$2:$A$104,0))="","",INDEX(Service_Providers!$D$2:$D$104,MATCH($K118,Service_Providers!$A$2:$A$104,0))),"Provider not found"))</f>
        <v/>
      </c>
      <c r="N118" s="11" t="str">
        <f>IF($M118="","",IFERROR(IF(INDEX(Service_Providers!$C$2:$C$104,MATCH($M118,Service_Providers!$A$2:$A$104,0))="","",INDEX(Service_Providers!$C$2:$C$104,MATCH($M118,Service_Providers!$A$2:$A$104,0)))&amp;IF(AND(INDEX(Service_Providers!$C$2:$C$104,MATCH($M118,Service_Providers!$A$2:$A$104,0))&lt;&gt;"",INDEX(Service_Providers!$D$2:$D$104,MATCH($M118,Service_Providers!$A$2:$A$104,0))&lt;&gt;""),CHAR(10),"")&amp;IF(INDEX(Service_Providers!$D$2:$D$104,MATCH($M118,Service_Providers!$A$2:$A$104,0))="","",INDEX(Service_Providers!$D$2:$D$104,MATCH($M118,Service_Providers!$A$2:$A$104,0))),"Provider not found"))</f>
        <v/>
      </c>
    </row>
    <row r="119" spans="12:14" x14ac:dyDescent="0.25">
      <c r="L119" s="11" t="str">
        <f>IF($K119="","",IFERROR(IF(INDEX(Service_Providers!$C$2:$C$104,MATCH($K119,Service_Providers!$A$2:$A$104,0))="","",INDEX(Service_Providers!$C$2:$C$104,MATCH($K119,Service_Providers!$A$2:$A$104,0)))&amp;IF(AND(INDEX(Service_Providers!$C$2:$C$104,MATCH($K119,Service_Providers!$A$2:$A$104,0))&lt;&gt;"",INDEX(Service_Providers!$D$2:$D$104,MATCH($K119,Service_Providers!$A$2:$A$104,0))&lt;&gt;""),CHAR(10),"")&amp;IF(INDEX(Service_Providers!$D$2:$D$104,MATCH($K119,Service_Providers!$A$2:$A$104,0))="","",INDEX(Service_Providers!$D$2:$D$104,MATCH($K119,Service_Providers!$A$2:$A$104,0))),"Provider not found"))</f>
        <v/>
      </c>
      <c r="N119" s="11" t="str">
        <f>IF($M119="","",IFERROR(IF(INDEX(Service_Providers!$C$2:$C$104,MATCH($M119,Service_Providers!$A$2:$A$104,0))="","",INDEX(Service_Providers!$C$2:$C$104,MATCH($M119,Service_Providers!$A$2:$A$104,0)))&amp;IF(AND(INDEX(Service_Providers!$C$2:$C$104,MATCH($M119,Service_Providers!$A$2:$A$104,0))&lt;&gt;"",INDEX(Service_Providers!$D$2:$D$104,MATCH($M119,Service_Providers!$A$2:$A$104,0))&lt;&gt;""),CHAR(10),"")&amp;IF(INDEX(Service_Providers!$D$2:$D$104,MATCH($M119,Service_Providers!$A$2:$A$104,0))="","",INDEX(Service_Providers!$D$2:$D$104,MATCH($M119,Service_Providers!$A$2:$A$104,0))),"Provider not found"))</f>
        <v/>
      </c>
    </row>
    <row r="120" spans="12:14" x14ac:dyDescent="0.25">
      <c r="L120" s="11" t="str">
        <f>IF($K120="","",IFERROR(IF(INDEX(Service_Providers!$C$2:$C$104,MATCH($K120,Service_Providers!$A$2:$A$104,0))="","",INDEX(Service_Providers!$C$2:$C$104,MATCH($K120,Service_Providers!$A$2:$A$104,0)))&amp;IF(AND(INDEX(Service_Providers!$C$2:$C$104,MATCH($K120,Service_Providers!$A$2:$A$104,0))&lt;&gt;"",INDEX(Service_Providers!$D$2:$D$104,MATCH($K120,Service_Providers!$A$2:$A$104,0))&lt;&gt;""),CHAR(10),"")&amp;IF(INDEX(Service_Providers!$D$2:$D$104,MATCH($K120,Service_Providers!$A$2:$A$104,0))="","",INDEX(Service_Providers!$D$2:$D$104,MATCH($K120,Service_Providers!$A$2:$A$104,0))),"Provider not found"))</f>
        <v/>
      </c>
      <c r="N120" s="11" t="str">
        <f>IF($M120="","",IFERROR(IF(INDEX(Service_Providers!$C$2:$C$104,MATCH($M120,Service_Providers!$A$2:$A$104,0))="","",INDEX(Service_Providers!$C$2:$C$104,MATCH($M120,Service_Providers!$A$2:$A$104,0)))&amp;IF(AND(INDEX(Service_Providers!$C$2:$C$104,MATCH($M120,Service_Providers!$A$2:$A$104,0))&lt;&gt;"",INDEX(Service_Providers!$D$2:$D$104,MATCH($M120,Service_Providers!$A$2:$A$104,0))&lt;&gt;""),CHAR(10),"")&amp;IF(INDEX(Service_Providers!$D$2:$D$104,MATCH($M120,Service_Providers!$A$2:$A$104,0))="","",INDEX(Service_Providers!$D$2:$D$104,MATCH($M120,Service_Providers!$A$2:$A$104,0))),"Provider not found"))</f>
        <v/>
      </c>
    </row>
    <row r="121" spans="12:14" x14ac:dyDescent="0.25">
      <c r="L121" s="11" t="str">
        <f>IF($K121="","",IFERROR(IF(INDEX(Service_Providers!$C$2:$C$104,MATCH($K121,Service_Providers!$A$2:$A$104,0))="","",INDEX(Service_Providers!$C$2:$C$104,MATCH($K121,Service_Providers!$A$2:$A$104,0)))&amp;IF(AND(INDEX(Service_Providers!$C$2:$C$104,MATCH($K121,Service_Providers!$A$2:$A$104,0))&lt;&gt;"",INDEX(Service_Providers!$D$2:$D$104,MATCH($K121,Service_Providers!$A$2:$A$104,0))&lt;&gt;""),CHAR(10),"")&amp;IF(INDEX(Service_Providers!$D$2:$D$104,MATCH($K121,Service_Providers!$A$2:$A$104,0))="","",INDEX(Service_Providers!$D$2:$D$104,MATCH($K121,Service_Providers!$A$2:$A$104,0))),"Provider not found"))</f>
        <v/>
      </c>
      <c r="N121" s="11" t="str">
        <f>IF($M121="","",IFERROR(IF(INDEX(Service_Providers!$C$2:$C$104,MATCH($M121,Service_Providers!$A$2:$A$104,0))="","",INDEX(Service_Providers!$C$2:$C$104,MATCH($M121,Service_Providers!$A$2:$A$104,0)))&amp;IF(AND(INDEX(Service_Providers!$C$2:$C$104,MATCH($M121,Service_Providers!$A$2:$A$104,0))&lt;&gt;"",INDEX(Service_Providers!$D$2:$D$104,MATCH($M121,Service_Providers!$A$2:$A$104,0))&lt;&gt;""),CHAR(10),"")&amp;IF(INDEX(Service_Providers!$D$2:$D$104,MATCH($M121,Service_Providers!$A$2:$A$104,0))="","",INDEX(Service_Providers!$D$2:$D$104,MATCH($M121,Service_Providers!$A$2:$A$104,0))),"Provider not found"))</f>
        <v/>
      </c>
    </row>
    <row r="122" spans="12:14" x14ac:dyDescent="0.25">
      <c r="L122" s="11" t="str">
        <f>IF($K122="","",IFERROR(IF(INDEX(Service_Providers!$C$2:$C$104,MATCH($K122,Service_Providers!$A$2:$A$104,0))="","",INDEX(Service_Providers!$C$2:$C$104,MATCH($K122,Service_Providers!$A$2:$A$104,0)))&amp;IF(AND(INDEX(Service_Providers!$C$2:$C$104,MATCH($K122,Service_Providers!$A$2:$A$104,0))&lt;&gt;"",INDEX(Service_Providers!$D$2:$D$104,MATCH($K122,Service_Providers!$A$2:$A$104,0))&lt;&gt;""),CHAR(10),"")&amp;IF(INDEX(Service_Providers!$D$2:$D$104,MATCH($K122,Service_Providers!$A$2:$A$104,0))="","",INDEX(Service_Providers!$D$2:$D$104,MATCH($K122,Service_Providers!$A$2:$A$104,0))),"Provider not found"))</f>
        <v/>
      </c>
      <c r="N122" s="11" t="str">
        <f>IF($M122="","",IFERROR(IF(INDEX(Service_Providers!$C$2:$C$104,MATCH($M122,Service_Providers!$A$2:$A$104,0))="","",INDEX(Service_Providers!$C$2:$C$104,MATCH($M122,Service_Providers!$A$2:$A$104,0)))&amp;IF(AND(INDEX(Service_Providers!$C$2:$C$104,MATCH($M122,Service_Providers!$A$2:$A$104,0))&lt;&gt;"",INDEX(Service_Providers!$D$2:$D$104,MATCH($M122,Service_Providers!$A$2:$A$104,0))&lt;&gt;""),CHAR(10),"")&amp;IF(INDEX(Service_Providers!$D$2:$D$104,MATCH($M122,Service_Providers!$A$2:$A$104,0))="","",INDEX(Service_Providers!$D$2:$D$104,MATCH($M122,Service_Providers!$A$2:$A$104,0))),"Provider not found"))</f>
        <v/>
      </c>
    </row>
    <row r="123" spans="12:14" x14ac:dyDescent="0.25">
      <c r="L123" s="11" t="str">
        <f>IF($K123="","",IFERROR(IF(INDEX(Service_Providers!$C$2:$C$104,MATCH($K123,Service_Providers!$A$2:$A$104,0))="","",INDEX(Service_Providers!$C$2:$C$104,MATCH($K123,Service_Providers!$A$2:$A$104,0)))&amp;IF(AND(INDEX(Service_Providers!$C$2:$C$104,MATCH($K123,Service_Providers!$A$2:$A$104,0))&lt;&gt;"",INDEX(Service_Providers!$D$2:$D$104,MATCH($K123,Service_Providers!$A$2:$A$104,0))&lt;&gt;""),CHAR(10),"")&amp;IF(INDEX(Service_Providers!$D$2:$D$104,MATCH($K123,Service_Providers!$A$2:$A$104,0))="","",INDEX(Service_Providers!$D$2:$D$104,MATCH($K123,Service_Providers!$A$2:$A$104,0))),"Provider not found"))</f>
        <v/>
      </c>
      <c r="N123" s="11" t="str">
        <f>IF($M123="","",IFERROR(IF(INDEX(Service_Providers!$C$2:$C$104,MATCH($M123,Service_Providers!$A$2:$A$104,0))="","",INDEX(Service_Providers!$C$2:$C$104,MATCH($M123,Service_Providers!$A$2:$A$104,0)))&amp;IF(AND(INDEX(Service_Providers!$C$2:$C$104,MATCH($M123,Service_Providers!$A$2:$A$104,0))&lt;&gt;"",INDEX(Service_Providers!$D$2:$D$104,MATCH($M123,Service_Providers!$A$2:$A$104,0))&lt;&gt;""),CHAR(10),"")&amp;IF(INDEX(Service_Providers!$D$2:$D$104,MATCH($M123,Service_Providers!$A$2:$A$104,0))="","",INDEX(Service_Providers!$D$2:$D$104,MATCH($M123,Service_Providers!$A$2:$A$104,0))),"Provider not found"))</f>
        <v/>
      </c>
    </row>
    <row r="124" spans="12:14" x14ac:dyDescent="0.25">
      <c r="L124" s="11" t="str">
        <f>IF($K124="","",IFERROR(IF(INDEX(Service_Providers!$C$2:$C$104,MATCH($K124,Service_Providers!$A$2:$A$104,0))="","",INDEX(Service_Providers!$C$2:$C$104,MATCH($K124,Service_Providers!$A$2:$A$104,0)))&amp;IF(AND(INDEX(Service_Providers!$C$2:$C$104,MATCH($K124,Service_Providers!$A$2:$A$104,0))&lt;&gt;"",INDEX(Service_Providers!$D$2:$D$104,MATCH($K124,Service_Providers!$A$2:$A$104,0))&lt;&gt;""),CHAR(10),"")&amp;IF(INDEX(Service_Providers!$D$2:$D$104,MATCH($K124,Service_Providers!$A$2:$A$104,0))="","",INDEX(Service_Providers!$D$2:$D$104,MATCH($K124,Service_Providers!$A$2:$A$104,0))),"Provider not found"))</f>
        <v/>
      </c>
      <c r="N124" s="11" t="str">
        <f>IF($M124="","",IFERROR(IF(INDEX(Service_Providers!$C$2:$C$104,MATCH($M124,Service_Providers!$A$2:$A$104,0))="","",INDEX(Service_Providers!$C$2:$C$104,MATCH($M124,Service_Providers!$A$2:$A$104,0)))&amp;IF(AND(INDEX(Service_Providers!$C$2:$C$104,MATCH($M124,Service_Providers!$A$2:$A$104,0))&lt;&gt;"",INDEX(Service_Providers!$D$2:$D$104,MATCH($M124,Service_Providers!$A$2:$A$104,0))&lt;&gt;""),CHAR(10),"")&amp;IF(INDEX(Service_Providers!$D$2:$D$104,MATCH($M124,Service_Providers!$A$2:$A$104,0))="","",INDEX(Service_Providers!$D$2:$D$104,MATCH($M124,Service_Providers!$A$2:$A$104,0))),"Provider not found"))</f>
        <v/>
      </c>
    </row>
    <row r="125" spans="12:14" x14ac:dyDescent="0.25">
      <c r="L125" s="11" t="str">
        <f>IF($K125="","",IFERROR(IF(INDEX(Service_Providers!$C$2:$C$104,MATCH($K125,Service_Providers!$A$2:$A$104,0))="","",INDEX(Service_Providers!$C$2:$C$104,MATCH($K125,Service_Providers!$A$2:$A$104,0)))&amp;IF(AND(INDEX(Service_Providers!$C$2:$C$104,MATCH($K125,Service_Providers!$A$2:$A$104,0))&lt;&gt;"",INDEX(Service_Providers!$D$2:$D$104,MATCH($K125,Service_Providers!$A$2:$A$104,0))&lt;&gt;""),CHAR(10),"")&amp;IF(INDEX(Service_Providers!$D$2:$D$104,MATCH($K125,Service_Providers!$A$2:$A$104,0))="","",INDEX(Service_Providers!$D$2:$D$104,MATCH($K125,Service_Providers!$A$2:$A$104,0))),"Provider not found"))</f>
        <v/>
      </c>
      <c r="N125" s="11" t="str">
        <f>IF($M125="","",IFERROR(IF(INDEX(Service_Providers!$C$2:$C$104,MATCH($M125,Service_Providers!$A$2:$A$104,0))="","",INDEX(Service_Providers!$C$2:$C$104,MATCH($M125,Service_Providers!$A$2:$A$104,0)))&amp;IF(AND(INDEX(Service_Providers!$C$2:$C$104,MATCH($M125,Service_Providers!$A$2:$A$104,0))&lt;&gt;"",INDEX(Service_Providers!$D$2:$D$104,MATCH($M125,Service_Providers!$A$2:$A$104,0))&lt;&gt;""),CHAR(10),"")&amp;IF(INDEX(Service_Providers!$D$2:$D$104,MATCH($M125,Service_Providers!$A$2:$A$104,0))="","",INDEX(Service_Providers!$D$2:$D$104,MATCH($M125,Service_Providers!$A$2:$A$104,0))),"Provider not found"))</f>
        <v/>
      </c>
    </row>
    <row r="126" spans="12:14" x14ac:dyDescent="0.25">
      <c r="L126" s="11" t="str">
        <f>IF($K126="","",IFERROR(IF(INDEX(Service_Providers!$C$2:$C$104,MATCH($K126,Service_Providers!$A$2:$A$104,0))="","",INDEX(Service_Providers!$C$2:$C$104,MATCH($K126,Service_Providers!$A$2:$A$104,0)))&amp;IF(AND(INDEX(Service_Providers!$C$2:$C$104,MATCH($K126,Service_Providers!$A$2:$A$104,0))&lt;&gt;"",INDEX(Service_Providers!$D$2:$D$104,MATCH($K126,Service_Providers!$A$2:$A$104,0))&lt;&gt;""),CHAR(10),"")&amp;IF(INDEX(Service_Providers!$D$2:$D$104,MATCH($K126,Service_Providers!$A$2:$A$104,0))="","",INDEX(Service_Providers!$D$2:$D$104,MATCH($K126,Service_Providers!$A$2:$A$104,0))),"Provider not found"))</f>
        <v/>
      </c>
      <c r="N126" s="11" t="str">
        <f>IF($M126="","",IFERROR(IF(INDEX(Service_Providers!$C$2:$C$104,MATCH($M126,Service_Providers!$A$2:$A$104,0))="","",INDEX(Service_Providers!$C$2:$C$104,MATCH($M126,Service_Providers!$A$2:$A$104,0)))&amp;IF(AND(INDEX(Service_Providers!$C$2:$C$104,MATCH($M126,Service_Providers!$A$2:$A$104,0))&lt;&gt;"",INDEX(Service_Providers!$D$2:$D$104,MATCH($M126,Service_Providers!$A$2:$A$104,0))&lt;&gt;""),CHAR(10),"")&amp;IF(INDEX(Service_Providers!$D$2:$D$104,MATCH($M126,Service_Providers!$A$2:$A$104,0))="","",INDEX(Service_Providers!$D$2:$D$104,MATCH($M126,Service_Providers!$A$2:$A$104,0))),"Provider not found"))</f>
        <v/>
      </c>
    </row>
    <row r="127" spans="12:14" x14ac:dyDescent="0.25">
      <c r="L127" s="11" t="str">
        <f>IF($K127="","",IFERROR(IF(INDEX(Service_Providers!$C$2:$C$104,MATCH($K127,Service_Providers!$A$2:$A$104,0))="","",INDEX(Service_Providers!$C$2:$C$104,MATCH($K127,Service_Providers!$A$2:$A$104,0)))&amp;IF(AND(INDEX(Service_Providers!$C$2:$C$104,MATCH($K127,Service_Providers!$A$2:$A$104,0))&lt;&gt;"",INDEX(Service_Providers!$D$2:$D$104,MATCH($K127,Service_Providers!$A$2:$A$104,0))&lt;&gt;""),CHAR(10),"")&amp;IF(INDEX(Service_Providers!$D$2:$D$104,MATCH($K127,Service_Providers!$A$2:$A$104,0))="","",INDEX(Service_Providers!$D$2:$D$104,MATCH($K127,Service_Providers!$A$2:$A$104,0))),"Provider not found"))</f>
        <v/>
      </c>
      <c r="N127" s="11" t="str">
        <f>IF($M127="","",IFERROR(IF(INDEX(Service_Providers!$C$2:$C$104,MATCH($M127,Service_Providers!$A$2:$A$104,0))="","",INDEX(Service_Providers!$C$2:$C$104,MATCH($M127,Service_Providers!$A$2:$A$104,0)))&amp;IF(AND(INDEX(Service_Providers!$C$2:$C$104,MATCH($M127,Service_Providers!$A$2:$A$104,0))&lt;&gt;"",INDEX(Service_Providers!$D$2:$D$104,MATCH($M127,Service_Providers!$A$2:$A$104,0))&lt;&gt;""),CHAR(10),"")&amp;IF(INDEX(Service_Providers!$D$2:$D$104,MATCH($M127,Service_Providers!$A$2:$A$104,0))="","",INDEX(Service_Providers!$D$2:$D$104,MATCH($M127,Service_Providers!$A$2:$A$104,0))),"Provider not found"))</f>
        <v/>
      </c>
    </row>
    <row r="128" spans="12:14" x14ac:dyDescent="0.25">
      <c r="L128" s="11" t="str">
        <f>IF($K128="","",IFERROR(IF(INDEX(Service_Providers!$C$2:$C$104,MATCH($K128,Service_Providers!$A$2:$A$104,0))="","",INDEX(Service_Providers!$C$2:$C$104,MATCH($K128,Service_Providers!$A$2:$A$104,0)))&amp;IF(AND(INDEX(Service_Providers!$C$2:$C$104,MATCH($K128,Service_Providers!$A$2:$A$104,0))&lt;&gt;"",INDEX(Service_Providers!$D$2:$D$104,MATCH($K128,Service_Providers!$A$2:$A$104,0))&lt;&gt;""),CHAR(10),"")&amp;IF(INDEX(Service_Providers!$D$2:$D$104,MATCH($K128,Service_Providers!$A$2:$A$104,0))="","",INDEX(Service_Providers!$D$2:$D$104,MATCH($K128,Service_Providers!$A$2:$A$104,0))),"Provider not found"))</f>
        <v/>
      </c>
      <c r="N128" s="11" t="str">
        <f>IF($M128="","",IFERROR(IF(INDEX(Service_Providers!$C$2:$C$104,MATCH($M128,Service_Providers!$A$2:$A$104,0))="","",INDEX(Service_Providers!$C$2:$C$104,MATCH($M128,Service_Providers!$A$2:$A$104,0)))&amp;IF(AND(INDEX(Service_Providers!$C$2:$C$104,MATCH($M128,Service_Providers!$A$2:$A$104,0))&lt;&gt;"",INDEX(Service_Providers!$D$2:$D$104,MATCH($M128,Service_Providers!$A$2:$A$104,0))&lt;&gt;""),CHAR(10),"")&amp;IF(INDEX(Service_Providers!$D$2:$D$104,MATCH($M128,Service_Providers!$A$2:$A$104,0))="","",INDEX(Service_Providers!$D$2:$D$104,MATCH($M128,Service_Providers!$A$2:$A$104,0))),"Provider not found"))</f>
        <v/>
      </c>
    </row>
    <row r="129" spans="12:14" x14ac:dyDescent="0.25">
      <c r="L129" s="11" t="str">
        <f>IF($K129="","",IFERROR(IF(INDEX(Service_Providers!$C$2:$C$104,MATCH($K129,Service_Providers!$A$2:$A$104,0))="","",INDEX(Service_Providers!$C$2:$C$104,MATCH($K129,Service_Providers!$A$2:$A$104,0)))&amp;IF(AND(INDEX(Service_Providers!$C$2:$C$104,MATCH($K129,Service_Providers!$A$2:$A$104,0))&lt;&gt;"",INDEX(Service_Providers!$D$2:$D$104,MATCH($K129,Service_Providers!$A$2:$A$104,0))&lt;&gt;""),CHAR(10),"")&amp;IF(INDEX(Service_Providers!$D$2:$D$104,MATCH($K129,Service_Providers!$A$2:$A$104,0))="","",INDEX(Service_Providers!$D$2:$D$104,MATCH($K129,Service_Providers!$A$2:$A$104,0))),"Provider not found"))</f>
        <v/>
      </c>
      <c r="N129" s="11" t="str">
        <f>IF($M129="","",IFERROR(IF(INDEX(Service_Providers!$C$2:$C$104,MATCH($M129,Service_Providers!$A$2:$A$104,0))="","",INDEX(Service_Providers!$C$2:$C$104,MATCH($M129,Service_Providers!$A$2:$A$104,0)))&amp;IF(AND(INDEX(Service_Providers!$C$2:$C$104,MATCH($M129,Service_Providers!$A$2:$A$104,0))&lt;&gt;"",INDEX(Service_Providers!$D$2:$D$104,MATCH($M129,Service_Providers!$A$2:$A$104,0))&lt;&gt;""),CHAR(10),"")&amp;IF(INDEX(Service_Providers!$D$2:$D$104,MATCH($M129,Service_Providers!$A$2:$A$104,0))="","",INDEX(Service_Providers!$D$2:$D$104,MATCH($M129,Service_Providers!$A$2:$A$104,0))),"Provider not found"))</f>
        <v/>
      </c>
    </row>
    <row r="130" spans="12:14" x14ac:dyDescent="0.25">
      <c r="L130" s="11" t="str">
        <f>IF($K130="","",IFERROR(IF(INDEX(Service_Providers!$C$2:$C$104,MATCH($K130,Service_Providers!$A$2:$A$104,0))="","",INDEX(Service_Providers!$C$2:$C$104,MATCH($K130,Service_Providers!$A$2:$A$104,0)))&amp;IF(AND(INDEX(Service_Providers!$C$2:$C$104,MATCH($K130,Service_Providers!$A$2:$A$104,0))&lt;&gt;"",INDEX(Service_Providers!$D$2:$D$104,MATCH($K130,Service_Providers!$A$2:$A$104,0))&lt;&gt;""),CHAR(10),"")&amp;IF(INDEX(Service_Providers!$D$2:$D$104,MATCH($K130,Service_Providers!$A$2:$A$104,0))="","",INDEX(Service_Providers!$D$2:$D$104,MATCH($K130,Service_Providers!$A$2:$A$104,0))),"Provider not found"))</f>
        <v/>
      </c>
      <c r="N130" s="11" t="str">
        <f>IF($M130="","",IFERROR(IF(INDEX(Service_Providers!$C$2:$C$104,MATCH($M130,Service_Providers!$A$2:$A$104,0))="","",INDEX(Service_Providers!$C$2:$C$104,MATCH($M130,Service_Providers!$A$2:$A$104,0)))&amp;IF(AND(INDEX(Service_Providers!$C$2:$C$104,MATCH($M130,Service_Providers!$A$2:$A$104,0))&lt;&gt;"",INDEX(Service_Providers!$D$2:$D$104,MATCH($M130,Service_Providers!$A$2:$A$104,0))&lt;&gt;""),CHAR(10),"")&amp;IF(INDEX(Service_Providers!$D$2:$D$104,MATCH($M130,Service_Providers!$A$2:$A$104,0))="","",INDEX(Service_Providers!$D$2:$D$104,MATCH($M130,Service_Providers!$A$2:$A$104,0))),"Provider not found"))</f>
        <v/>
      </c>
    </row>
    <row r="131" spans="12:14" x14ac:dyDescent="0.25">
      <c r="L131" s="11" t="str">
        <f>IF($K131="","",IFERROR(IF(INDEX(Service_Providers!$C$2:$C$104,MATCH($K131,Service_Providers!$A$2:$A$104,0))="","",INDEX(Service_Providers!$C$2:$C$104,MATCH($K131,Service_Providers!$A$2:$A$104,0)))&amp;IF(AND(INDEX(Service_Providers!$C$2:$C$104,MATCH($K131,Service_Providers!$A$2:$A$104,0))&lt;&gt;"",INDEX(Service_Providers!$D$2:$D$104,MATCH($K131,Service_Providers!$A$2:$A$104,0))&lt;&gt;""),CHAR(10),"")&amp;IF(INDEX(Service_Providers!$D$2:$D$104,MATCH($K131,Service_Providers!$A$2:$A$104,0))="","",INDEX(Service_Providers!$D$2:$D$104,MATCH($K131,Service_Providers!$A$2:$A$104,0))),"Provider not found"))</f>
        <v/>
      </c>
      <c r="N131" s="11" t="str">
        <f>IF($M131="","",IFERROR(IF(INDEX(Service_Providers!$C$2:$C$104,MATCH($M131,Service_Providers!$A$2:$A$104,0))="","",INDEX(Service_Providers!$C$2:$C$104,MATCH($M131,Service_Providers!$A$2:$A$104,0)))&amp;IF(AND(INDEX(Service_Providers!$C$2:$C$104,MATCH($M131,Service_Providers!$A$2:$A$104,0))&lt;&gt;"",INDEX(Service_Providers!$D$2:$D$104,MATCH($M131,Service_Providers!$A$2:$A$104,0))&lt;&gt;""),CHAR(10),"")&amp;IF(INDEX(Service_Providers!$D$2:$D$104,MATCH($M131,Service_Providers!$A$2:$A$104,0))="","",INDEX(Service_Providers!$D$2:$D$104,MATCH($M131,Service_Providers!$A$2:$A$104,0))),"Provider not found"))</f>
        <v/>
      </c>
    </row>
    <row r="132" spans="12:14" x14ac:dyDescent="0.25">
      <c r="L132" s="11" t="str">
        <f>IF($K132="","",IFERROR(IF(INDEX(Service_Providers!$C$2:$C$104,MATCH($K132,Service_Providers!$A$2:$A$104,0))="","",INDEX(Service_Providers!$C$2:$C$104,MATCH($K132,Service_Providers!$A$2:$A$104,0)))&amp;IF(AND(INDEX(Service_Providers!$C$2:$C$104,MATCH($K132,Service_Providers!$A$2:$A$104,0))&lt;&gt;"",INDEX(Service_Providers!$D$2:$D$104,MATCH($K132,Service_Providers!$A$2:$A$104,0))&lt;&gt;""),CHAR(10),"")&amp;IF(INDEX(Service_Providers!$D$2:$D$104,MATCH($K132,Service_Providers!$A$2:$A$104,0))="","",INDEX(Service_Providers!$D$2:$D$104,MATCH($K132,Service_Providers!$A$2:$A$104,0))),"Provider not found"))</f>
        <v/>
      </c>
      <c r="N132" s="11" t="str">
        <f>IF($M132="","",IFERROR(IF(INDEX(Service_Providers!$C$2:$C$104,MATCH($M132,Service_Providers!$A$2:$A$104,0))="","",INDEX(Service_Providers!$C$2:$C$104,MATCH($M132,Service_Providers!$A$2:$A$104,0)))&amp;IF(AND(INDEX(Service_Providers!$C$2:$C$104,MATCH($M132,Service_Providers!$A$2:$A$104,0))&lt;&gt;"",INDEX(Service_Providers!$D$2:$D$104,MATCH($M132,Service_Providers!$A$2:$A$104,0))&lt;&gt;""),CHAR(10),"")&amp;IF(INDEX(Service_Providers!$D$2:$D$104,MATCH($M132,Service_Providers!$A$2:$A$104,0))="","",INDEX(Service_Providers!$D$2:$D$104,MATCH($M132,Service_Providers!$A$2:$A$104,0))),"Provider not found"))</f>
        <v/>
      </c>
    </row>
    <row r="133" spans="12:14" x14ac:dyDescent="0.25">
      <c r="L133" s="11" t="str">
        <f>IF($K133="","",IFERROR(IF(INDEX(Service_Providers!$C$2:$C$104,MATCH($K133,Service_Providers!$A$2:$A$104,0))="","",INDEX(Service_Providers!$C$2:$C$104,MATCH($K133,Service_Providers!$A$2:$A$104,0)))&amp;IF(AND(INDEX(Service_Providers!$C$2:$C$104,MATCH($K133,Service_Providers!$A$2:$A$104,0))&lt;&gt;"",INDEX(Service_Providers!$D$2:$D$104,MATCH($K133,Service_Providers!$A$2:$A$104,0))&lt;&gt;""),CHAR(10),"")&amp;IF(INDEX(Service_Providers!$D$2:$D$104,MATCH($K133,Service_Providers!$A$2:$A$104,0))="","",INDEX(Service_Providers!$D$2:$D$104,MATCH($K133,Service_Providers!$A$2:$A$104,0))),"Provider not found"))</f>
        <v/>
      </c>
      <c r="N133" s="11" t="str">
        <f>IF($M133="","",IFERROR(IF(INDEX(Service_Providers!$C$2:$C$104,MATCH($M133,Service_Providers!$A$2:$A$104,0))="","",INDEX(Service_Providers!$C$2:$C$104,MATCH($M133,Service_Providers!$A$2:$A$104,0)))&amp;IF(AND(INDEX(Service_Providers!$C$2:$C$104,MATCH($M133,Service_Providers!$A$2:$A$104,0))&lt;&gt;"",INDEX(Service_Providers!$D$2:$D$104,MATCH($M133,Service_Providers!$A$2:$A$104,0))&lt;&gt;""),CHAR(10),"")&amp;IF(INDEX(Service_Providers!$D$2:$D$104,MATCH($M133,Service_Providers!$A$2:$A$104,0))="","",INDEX(Service_Providers!$D$2:$D$104,MATCH($M133,Service_Providers!$A$2:$A$104,0))),"Provider not found"))</f>
        <v/>
      </c>
    </row>
    <row r="134" spans="12:14" x14ac:dyDescent="0.25">
      <c r="L134" s="11" t="str">
        <f>IF($K134="","",IFERROR(IF(INDEX(Service_Providers!$C$2:$C$104,MATCH($K134,Service_Providers!$A$2:$A$104,0))="","",INDEX(Service_Providers!$C$2:$C$104,MATCH($K134,Service_Providers!$A$2:$A$104,0)))&amp;IF(AND(INDEX(Service_Providers!$C$2:$C$104,MATCH($K134,Service_Providers!$A$2:$A$104,0))&lt;&gt;"",INDEX(Service_Providers!$D$2:$D$104,MATCH($K134,Service_Providers!$A$2:$A$104,0))&lt;&gt;""),CHAR(10),"")&amp;IF(INDEX(Service_Providers!$D$2:$D$104,MATCH($K134,Service_Providers!$A$2:$A$104,0))="","",INDEX(Service_Providers!$D$2:$D$104,MATCH($K134,Service_Providers!$A$2:$A$104,0))),"Provider not found"))</f>
        <v/>
      </c>
      <c r="N134" s="11" t="str">
        <f>IF($M134="","",IFERROR(IF(INDEX(Service_Providers!$C$2:$C$104,MATCH($M134,Service_Providers!$A$2:$A$104,0))="","",INDEX(Service_Providers!$C$2:$C$104,MATCH($M134,Service_Providers!$A$2:$A$104,0)))&amp;IF(AND(INDEX(Service_Providers!$C$2:$C$104,MATCH($M134,Service_Providers!$A$2:$A$104,0))&lt;&gt;"",INDEX(Service_Providers!$D$2:$D$104,MATCH($M134,Service_Providers!$A$2:$A$104,0))&lt;&gt;""),CHAR(10),"")&amp;IF(INDEX(Service_Providers!$D$2:$D$104,MATCH($M134,Service_Providers!$A$2:$A$104,0))="","",INDEX(Service_Providers!$D$2:$D$104,MATCH($M134,Service_Providers!$A$2:$A$104,0))),"Provider not found"))</f>
        <v/>
      </c>
    </row>
    <row r="135" spans="12:14" x14ac:dyDescent="0.25">
      <c r="L135" s="11" t="str">
        <f>IF($K135="","",IFERROR(IF(INDEX(Service_Providers!$C$2:$C$104,MATCH($K135,Service_Providers!$A$2:$A$104,0))="","",INDEX(Service_Providers!$C$2:$C$104,MATCH($K135,Service_Providers!$A$2:$A$104,0)))&amp;IF(AND(INDEX(Service_Providers!$C$2:$C$104,MATCH($K135,Service_Providers!$A$2:$A$104,0))&lt;&gt;"",INDEX(Service_Providers!$D$2:$D$104,MATCH($K135,Service_Providers!$A$2:$A$104,0))&lt;&gt;""),CHAR(10),"")&amp;IF(INDEX(Service_Providers!$D$2:$D$104,MATCH($K135,Service_Providers!$A$2:$A$104,0))="","",INDEX(Service_Providers!$D$2:$D$104,MATCH($K135,Service_Providers!$A$2:$A$104,0))),"Provider not found"))</f>
        <v/>
      </c>
      <c r="N135" s="11" t="str">
        <f>IF($M135="","",IFERROR(IF(INDEX(Service_Providers!$C$2:$C$104,MATCH($M135,Service_Providers!$A$2:$A$104,0))="","",INDEX(Service_Providers!$C$2:$C$104,MATCH($M135,Service_Providers!$A$2:$A$104,0)))&amp;IF(AND(INDEX(Service_Providers!$C$2:$C$104,MATCH($M135,Service_Providers!$A$2:$A$104,0))&lt;&gt;"",INDEX(Service_Providers!$D$2:$D$104,MATCH($M135,Service_Providers!$A$2:$A$104,0))&lt;&gt;""),CHAR(10),"")&amp;IF(INDEX(Service_Providers!$D$2:$D$104,MATCH($M135,Service_Providers!$A$2:$A$104,0))="","",INDEX(Service_Providers!$D$2:$D$104,MATCH($M135,Service_Providers!$A$2:$A$104,0))),"Provider not found"))</f>
        <v/>
      </c>
    </row>
    <row r="136" spans="12:14" x14ac:dyDescent="0.25">
      <c r="L136" s="11" t="str">
        <f>IF($K136="","",IFERROR(IF(INDEX(Service_Providers!$C$2:$C$104,MATCH($K136,Service_Providers!$A$2:$A$104,0))="","",INDEX(Service_Providers!$C$2:$C$104,MATCH($K136,Service_Providers!$A$2:$A$104,0)))&amp;IF(AND(INDEX(Service_Providers!$C$2:$C$104,MATCH($K136,Service_Providers!$A$2:$A$104,0))&lt;&gt;"",INDEX(Service_Providers!$D$2:$D$104,MATCH($K136,Service_Providers!$A$2:$A$104,0))&lt;&gt;""),CHAR(10),"")&amp;IF(INDEX(Service_Providers!$D$2:$D$104,MATCH($K136,Service_Providers!$A$2:$A$104,0))="","",INDEX(Service_Providers!$D$2:$D$104,MATCH($K136,Service_Providers!$A$2:$A$104,0))),"Provider not found"))</f>
        <v/>
      </c>
      <c r="N136" s="11" t="str">
        <f>IF($M136="","",IFERROR(IF(INDEX(Service_Providers!$C$2:$C$104,MATCH($M136,Service_Providers!$A$2:$A$104,0))="","",INDEX(Service_Providers!$C$2:$C$104,MATCH($M136,Service_Providers!$A$2:$A$104,0)))&amp;IF(AND(INDEX(Service_Providers!$C$2:$C$104,MATCH($M136,Service_Providers!$A$2:$A$104,0))&lt;&gt;"",INDEX(Service_Providers!$D$2:$D$104,MATCH($M136,Service_Providers!$A$2:$A$104,0))&lt;&gt;""),CHAR(10),"")&amp;IF(INDEX(Service_Providers!$D$2:$D$104,MATCH($M136,Service_Providers!$A$2:$A$104,0))="","",INDEX(Service_Providers!$D$2:$D$104,MATCH($M136,Service_Providers!$A$2:$A$104,0))),"Provider not found"))</f>
        <v/>
      </c>
    </row>
    <row r="137" spans="12:14" x14ac:dyDescent="0.25">
      <c r="L137" s="11" t="str">
        <f>IF($K137="","",IFERROR(IF(INDEX(Service_Providers!$C$2:$C$104,MATCH($K137,Service_Providers!$A$2:$A$104,0))="","",INDEX(Service_Providers!$C$2:$C$104,MATCH($K137,Service_Providers!$A$2:$A$104,0)))&amp;IF(AND(INDEX(Service_Providers!$C$2:$C$104,MATCH($K137,Service_Providers!$A$2:$A$104,0))&lt;&gt;"",INDEX(Service_Providers!$D$2:$D$104,MATCH($K137,Service_Providers!$A$2:$A$104,0))&lt;&gt;""),CHAR(10),"")&amp;IF(INDEX(Service_Providers!$D$2:$D$104,MATCH($K137,Service_Providers!$A$2:$A$104,0))="","",INDEX(Service_Providers!$D$2:$D$104,MATCH($K137,Service_Providers!$A$2:$A$104,0))),"Provider not found"))</f>
        <v/>
      </c>
      <c r="N137" s="11" t="str">
        <f>IF($M137="","",IFERROR(IF(INDEX(Service_Providers!$C$2:$C$104,MATCH($M137,Service_Providers!$A$2:$A$104,0))="","",INDEX(Service_Providers!$C$2:$C$104,MATCH($M137,Service_Providers!$A$2:$A$104,0)))&amp;IF(AND(INDEX(Service_Providers!$C$2:$C$104,MATCH($M137,Service_Providers!$A$2:$A$104,0))&lt;&gt;"",INDEX(Service_Providers!$D$2:$D$104,MATCH($M137,Service_Providers!$A$2:$A$104,0))&lt;&gt;""),CHAR(10),"")&amp;IF(INDEX(Service_Providers!$D$2:$D$104,MATCH($M137,Service_Providers!$A$2:$A$104,0))="","",INDEX(Service_Providers!$D$2:$D$104,MATCH($M137,Service_Providers!$A$2:$A$104,0))),"Provider not found"))</f>
        <v/>
      </c>
    </row>
    <row r="138" spans="12:14" x14ac:dyDescent="0.25">
      <c r="L138" s="11" t="str">
        <f>IF($K138="","",IFERROR(IF(INDEX(Service_Providers!$C$2:$C$104,MATCH($K138,Service_Providers!$A$2:$A$104,0))="","",INDEX(Service_Providers!$C$2:$C$104,MATCH($K138,Service_Providers!$A$2:$A$104,0)))&amp;IF(AND(INDEX(Service_Providers!$C$2:$C$104,MATCH($K138,Service_Providers!$A$2:$A$104,0))&lt;&gt;"",INDEX(Service_Providers!$D$2:$D$104,MATCH($K138,Service_Providers!$A$2:$A$104,0))&lt;&gt;""),CHAR(10),"")&amp;IF(INDEX(Service_Providers!$D$2:$D$104,MATCH($K138,Service_Providers!$A$2:$A$104,0))="","",INDEX(Service_Providers!$D$2:$D$104,MATCH($K138,Service_Providers!$A$2:$A$104,0))),"Provider not found"))</f>
        <v/>
      </c>
      <c r="N138" s="11" t="str">
        <f>IF($M138="","",IFERROR(IF(INDEX(Service_Providers!$C$2:$C$104,MATCH($M138,Service_Providers!$A$2:$A$104,0))="","",INDEX(Service_Providers!$C$2:$C$104,MATCH($M138,Service_Providers!$A$2:$A$104,0)))&amp;IF(AND(INDEX(Service_Providers!$C$2:$C$104,MATCH($M138,Service_Providers!$A$2:$A$104,0))&lt;&gt;"",INDEX(Service_Providers!$D$2:$D$104,MATCH($M138,Service_Providers!$A$2:$A$104,0))&lt;&gt;""),CHAR(10),"")&amp;IF(INDEX(Service_Providers!$D$2:$D$104,MATCH($M138,Service_Providers!$A$2:$A$104,0))="","",INDEX(Service_Providers!$D$2:$D$104,MATCH($M138,Service_Providers!$A$2:$A$104,0))),"Provider not found"))</f>
        <v/>
      </c>
    </row>
    <row r="139" spans="12:14" x14ac:dyDescent="0.25">
      <c r="L139" s="11" t="str">
        <f>IF($K139="","",IFERROR(IF(INDEX(Service_Providers!$C$2:$C$104,MATCH($K139,Service_Providers!$A$2:$A$104,0))="","",INDEX(Service_Providers!$C$2:$C$104,MATCH($K139,Service_Providers!$A$2:$A$104,0)))&amp;IF(AND(INDEX(Service_Providers!$C$2:$C$104,MATCH($K139,Service_Providers!$A$2:$A$104,0))&lt;&gt;"",INDEX(Service_Providers!$D$2:$D$104,MATCH($K139,Service_Providers!$A$2:$A$104,0))&lt;&gt;""),CHAR(10),"")&amp;IF(INDEX(Service_Providers!$D$2:$D$104,MATCH($K139,Service_Providers!$A$2:$A$104,0))="","",INDEX(Service_Providers!$D$2:$D$104,MATCH($K139,Service_Providers!$A$2:$A$104,0))),"Provider not found"))</f>
        <v/>
      </c>
      <c r="N139" s="11" t="str">
        <f>IF($M139="","",IFERROR(IF(INDEX(Service_Providers!$C$2:$C$104,MATCH($M139,Service_Providers!$A$2:$A$104,0))="","",INDEX(Service_Providers!$C$2:$C$104,MATCH($M139,Service_Providers!$A$2:$A$104,0)))&amp;IF(AND(INDEX(Service_Providers!$C$2:$C$104,MATCH($M139,Service_Providers!$A$2:$A$104,0))&lt;&gt;"",INDEX(Service_Providers!$D$2:$D$104,MATCH($M139,Service_Providers!$A$2:$A$104,0))&lt;&gt;""),CHAR(10),"")&amp;IF(INDEX(Service_Providers!$D$2:$D$104,MATCH($M139,Service_Providers!$A$2:$A$104,0))="","",INDEX(Service_Providers!$D$2:$D$104,MATCH($M139,Service_Providers!$A$2:$A$104,0))),"Provider not found"))</f>
        <v/>
      </c>
    </row>
    <row r="140" spans="12:14" x14ac:dyDescent="0.25">
      <c r="L140" s="11" t="str">
        <f>IF($K140="","",IFERROR(IF(INDEX(Service_Providers!$C$2:$C$104,MATCH($K140,Service_Providers!$A$2:$A$104,0))="","",INDEX(Service_Providers!$C$2:$C$104,MATCH($K140,Service_Providers!$A$2:$A$104,0)))&amp;IF(AND(INDEX(Service_Providers!$C$2:$C$104,MATCH($K140,Service_Providers!$A$2:$A$104,0))&lt;&gt;"",INDEX(Service_Providers!$D$2:$D$104,MATCH($K140,Service_Providers!$A$2:$A$104,0))&lt;&gt;""),CHAR(10),"")&amp;IF(INDEX(Service_Providers!$D$2:$D$104,MATCH($K140,Service_Providers!$A$2:$A$104,0))="","",INDEX(Service_Providers!$D$2:$D$104,MATCH($K140,Service_Providers!$A$2:$A$104,0))),"Provider not found"))</f>
        <v/>
      </c>
      <c r="N140" s="11" t="str">
        <f>IF($M140="","",IFERROR(IF(INDEX(Service_Providers!$C$2:$C$104,MATCH($M140,Service_Providers!$A$2:$A$104,0))="","",INDEX(Service_Providers!$C$2:$C$104,MATCH($M140,Service_Providers!$A$2:$A$104,0)))&amp;IF(AND(INDEX(Service_Providers!$C$2:$C$104,MATCH($M140,Service_Providers!$A$2:$A$104,0))&lt;&gt;"",INDEX(Service_Providers!$D$2:$D$104,MATCH($M140,Service_Providers!$A$2:$A$104,0))&lt;&gt;""),CHAR(10),"")&amp;IF(INDEX(Service_Providers!$D$2:$D$104,MATCH($M140,Service_Providers!$A$2:$A$104,0))="","",INDEX(Service_Providers!$D$2:$D$104,MATCH($M140,Service_Providers!$A$2:$A$104,0))),"Provider not found"))</f>
        <v/>
      </c>
    </row>
    <row r="141" spans="12:14" x14ac:dyDescent="0.25">
      <c r="L141" s="11" t="str">
        <f>IF($K141="","",IFERROR(IF(INDEX(Service_Providers!$C$2:$C$104,MATCH($K141,Service_Providers!$A$2:$A$104,0))="","",INDEX(Service_Providers!$C$2:$C$104,MATCH($K141,Service_Providers!$A$2:$A$104,0)))&amp;IF(AND(INDEX(Service_Providers!$C$2:$C$104,MATCH($K141,Service_Providers!$A$2:$A$104,0))&lt;&gt;"",INDEX(Service_Providers!$D$2:$D$104,MATCH($K141,Service_Providers!$A$2:$A$104,0))&lt;&gt;""),CHAR(10),"")&amp;IF(INDEX(Service_Providers!$D$2:$D$104,MATCH($K141,Service_Providers!$A$2:$A$104,0))="","",INDEX(Service_Providers!$D$2:$D$104,MATCH($K141,Service_Providers!$A$2:$A$104,0))),"Provider not found"))</f>
        <v/>
      </c>
      <c r="N141" s="11" t="str">
        <f>IF($M141="","",IFERROR(IF(INDEX(Service_Providers!$C$2:$C$104,MATCH($M141,Service_Providers!$A$2:$A$104,0))="","",INDEX(Service_Providers!$C$2:$C$104,MATCH($M141,Service_Providers!$A$2:$A$104,0)))&amp;IF(AND(INDEX(Service_Providers!$C$2:$C$104,MATCH($M141,Service_Providers!$A$2:$A$104,0))&lt;&gt;"",INDEX(Service_Providers!$D$2:$D$104,MATCH($M141,Service_Providers!$A$2:$A$104,0))&lt;&gt;""),CHAR(10),"")&amp;IF(INDEX(Service_Providers!$D$2:$D$104,MATCH($M141,Service_Providers!$A$2:$A$104,0))="","",INDEX(Service_Providers!$D$2:$D$104,MATCH($M141,Service_Providers!$A$2:$A$104,0))),"Provider not found"))</f>
        <v/>
      </c>
    </row>
    <row r="142" spans="12:14" x14ac:dyDescent="0.25">
      <c r="L142" s="11" t="str">
        <f>IF($K142="","",IFERROR(IF(INDEX(Service_Providers!$C$2:$C$104,MATCH($K142,Service_Providers!$A$2:$A$104,0))="","",INDEX(Service_Providers!$C$2:$C$104,MATCH($K142,Service_Providers!$A$2:$A$104,0)))&amp;IF(AND(INDEX(Service_Providers!$C$2:$C$104,MATCH($K142,Service_Providers!$A$2:$A$104,0))&lt;&gt;"",INDEX(Service_Providers!$D$2:$D$104,MATCH($K142,Service_Providers!$A$2:$A$104,0))&lt;&gt;""),CHAR(10),"")&amp;IF(INDEX(Service_Providers!$D$2:$D$104,MATCH($K142,Service_Providers!$A$2:$A$104,0))="","",INDEX(Service_Providers!$D$2:$D$104,MATCH($K142,Service_Providers!$A$2:$A$104,0))),"Provider not found"))</f>
        <v/>
      </c>
      <c r="N142" s="11" t="str">
        <f>IF($M142="","",IFERROR(IF(INDEX(Service_Providers!$C$2:$C$104,MATCH($M142,Service_Providers!$A$2:$A$104,0))="","",INDEX(Service_Providers!$C$2:$C$104,MATCH($M142,Service_Providers!$A$2:$A$104,0)))&amp;IF(AND(INDEX(Service_Providers!$C$2:$C$104,MATCH($M142,Service_Providers!$A$2:$A$104,0))&lt;&gt;"",INDEX(Service_Providers!$D$2:$D$104,MATCH($M142,Service_Providers!$A$2:$A$104,0))&lt;&gt;""),CHAR(10),"")&amp;IF(INDEX(Service_Providers!$D$2:$D$104,MATCH($M142,Service_Providers!$A$2:$A$104,0))="","",INDEX(Service_Providers!$D$2:$D$104,MATCH($M142,Service_Providers!$A$2:$A$104,0))),"Provider not found"))</f>
        <v/>
      </c>
    </row>
    <row r="143" spans="12:14" x14ac:dyDescent="0.25">
      <c r="L143" s="11" t="str">
        <f>IF($K143="","",IFERROR(IF(INDEX(Service_Providers!$C$2:$C$104,MATCH($K143,Service_Providers!$A$2:$A$104,0))="","",INDEX(Service_Providers!$C$2:$C$104,MATCH($K143,Service_Providers!$A$2:$A$104,0)))&amp;IF(AND(INDEX(Service_Providers!$C$2:$C$104,MATCH($K143,Service_Providers!$A$2:$A$104,0))&lt;&gt;"",INDEX(Service_Providers!$D$2:$D$104,MATCH($K143,Service_Providers!$A$2:$A$104,0))&lt;&gt;""),CHAR(10),"")&amp;IF(INDEX(Service_Providers!$D$2:$D$104,MATCH($K143,Service_Providers!$A$2:$A$104,0))="","",INDEX(Service_Providers!$D$2:$D$104,MATCH($K143,Service_Providers!$A$2:$A$104,0))),"Provider not found"))</f>
        <v/>
      </c>
      <c r="N143" s="11" t="str">
        <f>IF($M143="","",IFERROR(IF(INDEX(Service_Providers!$C$2:$C$104,MATCH($M143,Service_Providers!$A$2:$A$104,0))="","",INDEX(Service_Providers!$C$2:$C$104,MATCH($M143,Service_Providers!$A$2:$A$104,0)))&amp;IF(AND(INDEX(Service_Providers!$C$2:$C$104,MATCH($M143,Service_Providers!$A$2:$A$104,0))&lt;&gt;"",INDEX(Service_Providers!$D$2:$D$104,MATCH($M143,Service_Providers!$A$2:$A$104,0))&lt;&gt;""),CHAR(10),"")&amp;IF(INDEX(Service_Providers!$D$2:$D$104,MATCH($M143,Service_Providers!$A$2:$A$104,0))="","",INDEX(Service_Providers!$D$2:$D$104,MATCH($M143,Service_Providers!$A$2:$A$104,0))),"Provider not found"))</f>
        <v/>
      </c>
    </row>
    <row r="144" spans="12:14" x14ac:dyDescent="0.25">
      <c r="L144" s="11" t="str">
        <f>IF($K144="","",IFERROR(IF(INDEX(Service_Providers!$C$2:$C$104,MATCH($K144,Service_Providers!$A$2:$A$104,0))="","",INDEX(Service_Providers!$C$2:$C$104,MATCH($K144,Service_Providers!$A$2:$A$104,0)))&amp;IF(AND(INDEX(Service_Providers!$C$2:$C$104,MATCH($K144,Service_Providers!$A$2:$A$104,0))&lt;&gt;"",INDEX(Service_Providers!$D$2:$D$104,MATCH($K144,Service_Providers!$A$2:$A$104,0))&lt;&gt;""),CHAR(10),"")&amp;IF(INDEX(Service_Providers!$D$2:$D$104,MATCH($K144,Service_Providers!$A$2:$A$104,0))="","",INDEX(Service_Providers!$D$2:$D$104,MATCH($K144,Service_Providers!$A$2:$A$104,0))),"Provider not found"))</f>
        <v/>
      </c>
      <c r="N144" s="11" t="str">
        <f>IF($M144="","",IFERROR(IF(INDEX(Service_Providers!$C$2:$C$104,MATCH($M144,Service_Providers!$A$2:$A$104,0))="","",INDEX(Service_Providers!$C$2:$C$104,MATCH($M144,Service_Providers!$A$2:$A$104,0)))&amp;IF(AND(INDEX(Service_Providers!$C$2:$C$104,MATCH($M144,Service_Providers!$A$2:$A$104,0))&lt;&gt;"",INDEX(Service_Providers!$D$2:$D$104,MATCH($M144,Service_Providers!$A$2:$A$104,0))&lt;&gt;""),CHAR(10),"")&amp;IF(INDEX(Service_Providers!$D$2:$D$104,MATCH($M144,Service_Providers!$A$2:$A$104,0))="","",INDEX(Service_Providers!$D$2:$D$104,MATCH($M144,Service_Providers!$A$2:$A$104,0))),"Provider not found"))</f>
        <v/>
      </c>
    </row>
    <row r="145" spans="12:14" x14ac:dyDescent="0.25">
      <c r="L145" s="11" t="str">
        <f>IF($K145="","",IFERROR(IF(INDEX(Service_Providers!$C$2:$C$104,MATCH($K145,Service_Providers!$A$2:$A$104,0))="","",INDEX(Service_Providers!$C$2:$C$104,MATCH($K145,Service_Providers!$A$2:$A$104,0)))&amp;IF(AND(INDEX(Service_Providers!$C$2:$C$104,MATCH($K145,Service_Providers!$A$2:$A$104,0))&lt;&gt;"",INDEX(Service_Providers!$D$2:$D$104,MATCH($K145,Service_Providers!$A$2:$A$104,0))&lt;&gt;""),CHAR(10),"")&amp;IF(INDEX(Service_Providers!$D$2:$D$104,MATCH($K145,Service_Providers!$A$2:$A$104,0))="","",INDEX(Service_Providers!$D$2:$D$104,MATCH($K145,Service_Providers!$A$2:$A$104,0))),"Provider not found"))</f>
        <v/>
      </c>
      <c r="N145" s="11" t="str">
        <f>IF($M145="","",IFERROR(IF(INDEX(Service_Providers!$C$2:$C$104,MATCH($M145,Service_Providers!$A$2:$A$104,0))="","",INDEX(Service_Providers!$C$2:$C$104,MATCH($M145,Service_Providers!$A$2:$A$104,0)))&amp;IF(AND(INDEX(Service_Providers!$C$2:$C$104,MATCH($M145,Service_Providers!$A$2:$A$104,0))&lt;&gt;"",INDEX(Service_Providers!$D$2:$D$104,MATCH($M145,Service_Providers!$A$2:$A$104,0))&lt;&gt;""),CHAR(10),"")&amp;IF(INDEX(Service_Providers!$D$2:$D$104,MATCH($M145,Service_Providers!$A$2:$A$104,0))="","",INDEX(Service_Providers!$D$2:$D$104,MATCH($M145,Service_Providers!$A$2:$A$104,0))),"Provider not found"))</f>
        <v/>
      </c>
    </row>
    <row r="146" spans="12:14" x14ac:dyDescent="0.25">
      <c r="L146" s="11" t="str">
        <f>IF($K146="","",IFERROR(IF(INDEX(Service_Providers!$C$2:$C$104,MATCH($K146,Service_Providers!$A$2:$A$104,0))="","",INDEX(Service_Providers!$C$2:$C$104,MATCH($K146,Service_Providers!$A$2:$A$104,0)))&amp;IF(AND(INDEX(Service_Providers!$C$2:$C$104,MATCH($K146,Service_Providers!$A$2:$A$104,0))&lt;&gt;"",INDEX(Service_Providers!$D$2:$D$104,MATCH($K146,Service_Providers!$A$2:$A$104,0))&lt;&gt;""),CHAR(10),"")&amp;IF(INDEX(Service_Providers!$D$2:$D$104,MATCH($K146,Service_Providers!$A$2:$A$104,0))="","",INDEX(Service_Providers!$D$2:$D$104,MATCH($K146,Service_Providers!$A$2:$A$104,0))),"Provider not found"))</f>
        <v/>
      </c>
      <c r="N146" s="11" t="str">
        <f>IF($M146="","",IFERROR(IF(INDEX(Service_Providers!$C$2:$C$104,MATCH($M146,Service_Providers!$A$2:$A$104,0))="","",INDEX(Service_Providers!$C$2:$C$104,MATCH($M146,Service_Providers!$A$2:$A$104,0)))&amp;IF(AND(INDEX(Service_Providers!$C$2:$C$104,MATCH($M146,Service_Providers!$A$2:$A$104,0))&lt;&gt;"",INDEX(Service_Providers!$D$2:$D$104,MATCH($M146,Service_Providers!$A$2:$A$104,0))&lt;&gt;""),CHAR(10),"")&amp;IF(INDEX(Service_Providers!$D$2:$D$104,MATCH($M146,Service_Providers!$A$2:$A$104,0))="","",INDEX(Service_Providers!$D$2:$D$104,MATCH($M146,Service_Providers!$A$2:$A$104,0))),"Provider not found"))</f>
        <v/>
      </c>
    </row>
    <row r="147" spans="12:14" x14ac:dyDescent="0.25">
      <c r="L147" s="11" t="str">
        <f>IF($K147="","",IFERROR(IF(INDEX(Service_Providers!$C$2:$C$104,MATCH($K147,Service_Providers!$A$2:$A$104,0))="","",INDEX(Service_Providers!$C$2:$C$104,MATCH($K147,Service_Providers!$A$2:$A$104,0)))&amp;IF(AND(INDEX(Service_Providers!$C$2:$C$104,MATCH($K147,Service_Providers!$A$2:$A$104,0))&lt;&gt;"",INDEX(Service_Providers!$D$2:$D$104,MATCH($K147,Service_Providers!$A$2:$A$104,0))&lt;&gt;""),CHAR(10),"")&amp;IF(INDEX(Service_Providers!$D$2:$D$104,MATCH($K147,Service_Providers!$A$2:$A$104,0))="","",INDEX(Service_Providers!$D$2:$D$104,MATCH($K147,Service_Providers!$A$2:$A$104,0))),"Provider not found"))</f>
        <v/>
      </c>
      <c r="N147" s="11" t="str">
        <f>IF($M147="","",IFERROR(IF(INDEX(Service_Providers!$C$2:$C$104,MATCH($M147,Service_Providers!$A$2:$A$104,0))="","",INDEX(Service_Providers!$C$2:$C$104,MATCH($M147,Service_Providers!$A$2:$A$104,0)))&amp;IF(AND(INDEX(Service_Providers!$C$2:$C$104,MATCH($M147,Service_Providers!$A$2:$A$104,0))&lt;&gt;"",INDEX(Service_Providers!$D$2:$D$104,MATCH($M147,Service_Providers!$A$2:$A$104,0))&lt;&gt;""),CHAR(10),"")&amp;IF(INDEX(Service_Providers!$D$2:$D$104,MATCH($M147,Service_Providers!$A$2:$A$104,0))="","",INDEX(Service_Providers!$D$2:$D$104,MATCH($M147,Service_Providers!$A$2:$A$104,0))),"Provider not found"))</f>
        <v/>
      </c>
    </row>
    <row r="148" spans="12:14" x14ac:dyDescent="0.25">
      <c r="L148" s="11" t="str">
        <f>IF($K148="","",IFERROR(IF(INDEX(Service_Providers!$C$2:$C$104,MATCH($K148,Service_Providers!$A$2:$A$104,0))="","",INDEX(Service_Providers!$C$2:$C$104,MATCH($K148,Service_Providers!$A$2:$A$104,0)))&amp;IF(AND(INDEX(Service_Providers!$C$2:$C$104,MATCH($K148,Service_Providers!$A$2:$A$104,0))&lt;&gt;"",INDEX(Service_Providers!$D$2:$D$104,MATCH($K148,Service_Providers!$A$2:$A$104,0))&lt;&gt;""),CHAR(10),"")&amp;IF(INDEX(Service_Providers!$D$2:$D$104,MATCH($K148,Service_Providers!$A$2:$A$104,0))="","",INDEX(Service_Providers!$D$2:$D$104,MATCH($K148,Service_Providers!$A$2:$A$104,0))),"Provider not found"))</f>
        <v/>
      </c>
      <c r="N148" s="11" t="str">
        <f>IF($M148="","",IFERROR(IF(INDEX(Service_Providers!$C$2:$C$104,MATCH($M148,Service_Providers!$A$2:$A$104,0))="","",INDEX(Service_Providers!$C$2:$C$104,MATCH($M148,Service_Providers!$A$2:$A$104,0)))&amp;IF(AND(INDEX(Service_Providers!$C$2:$C$104,MATCH($M148,Service_Providers!$A$2:$A$104,0))&lt;&gt;"",INDEX(Service_Providers!$D$2:$D$104,MATCH($M148,Service_Providers!$A$2:$A$104,0))&lt;&gt;""),CHAR(10),"")&amp;IF(INDEX(Service_Providers!$D$2:$D$104,MATCH($M148,Service_Providers!$A$2:$A$104,0))="","",INDEX(Service_Providers!$D$2:$D$104,MATCH($M148,Service_Providers!$A$2:$A$104,0))),"Provider not found"))</f>
        <v/>
      </c>
    </row>
    <row r="149" spans="12:14" x14ac:dyDescent="0.25">
      <c r="L149" s="11" t="str">
        <f>IF($K149="","",IFERROR(IF(INDEX(Service_Providers!$C$2:$C$104,MATCH($K149,Service_Providers!$A$2:$A$104,0))="","",INDEX(Service_Providers!$C$2:$C$104,MATCH($K149,Service_Providers!$A$2:$A$104,0)))&amp;IF(AND(INDEX(Service_Providers!$C$2:$C$104,MATCH($K149,Service_Providers!$A$2:$A$104,0))&lt;&gt;"",INDEX(Service_Providers!$D$2:$D$104,MATCH($K149,Service_Providers!$A$2:$A$104,0))&lt;&gt;""),CHAR(10),"")&amp;IF(INDEX(Service_Providers!$D$2:$D$104,MATCH($K149,Service_Providers!$A$2:$A$104,0))="","",INDEX(Service_Providers!$D$2:$D$104,MATCH($K149,Service_Providers!$A$2:$A$104,0))),"Provider not found"))</f>
        <v/>
      </c>
      <c r="N149" s="11" t="str">
        <f>IF($M149="","",IFERROR(IF(INDEX(Service_Providers!$C$2:$C$104,MATCH($M149,Service_Providers!$A$2:$A$104,0))="","",INDEX(Service_Providers!$C$2:$C$104,MATCH($M149,Service_Providers!$A$2:$A$104,0)))&amp;IF(AND(INDEX(Service_Providers!$C$2:$C$104,MATCH($M149,Service_Providers!$A$2:$A$104,0))&lt;&gt;"",INDEX(Service_Providers!$D$2:$D$104,MATCH($M149,Service_Providers!$A$2:$A$104,0))&lt;&gt;""),CHAR(10),"")&amp;IF(INDEX(Service_Providers!$D$2:$D$104,MATCH($M149,Service_Providers!$A$2:$A$104,0))="","",INDEX(Service_Providers!$D$2:$D$104,MATCH($M149,Service_Providers!$A$2:$A$104,0))),"Provider not found"))</f>
        <v/>
      </c>
    </row>
    <row r="150" spans="12:14" x14ac:dyDescent="0.25">
      <c r="L150" s="11" t="str">
        <f>IF($K150="","",IFERROR(IF(INDEX(Service_Providers!$C$2:$C$104,MATCH($K150,Service_Providers!$A$2:$A$104,0))="","",INDEX(Service_Providers!$C$2:$C$104,MATCH($K150,Service_Providers!$A$2:$A$104,0)))&amp;IF(AND(INDEX(Service_Providers!$C$2:$C$104,MATCH($K150,Service_Providers!$A$2:$A$104,0))&lt;&gt;"",INDEX(Service_Providers!$D$2:$D$104,MATCH($K150,Service_Providers!$A$2:$A$104,0))&lt;&gt;""),CHAR(10),"")&amp;IF(INDEX(Service_Providers!$D$2:$D$104,MATCH($K150,Service_Providers!$A$2:$A$104,0))="","",INDEX(Service_Providers!$D$2:$D$104,MATCH($K150,Service_Providers!$A$2:$A$104,0))),"Provider not found"))</f>
        <v/>
      </c>
      <c r="N150" s="11" t="str">
        <f>IF($M150="","",IFERROR(IF(INDEX(Service_Providers!$C$2:$C$104,MATCH($M150,Service_Providers!$A$2:$A$104,0))="","",INDEX(Service_Providers!$C$2:$C$104,MATCH($M150,Service_Providers!$A$2:$A$104,0)))&amp;IF(AND(INDEX(Service_Providers!$C$2:$C$104,MATCH($M150,Service_Providers!$A$2:$A$104,0))&lt;&gt;"",INDEX(Service_Providers!$D$2:$D$104,MATCH($M150,Service_Providers!$A$2:$A$104,0))&lt;&gt;""),CHAR(10),"")&amp;IF(INDEX(Service_Providers!$D$2:$D$104,MATCH($M150,Service_Providers!$A$2:$A$104,0))="","",INDEX(Service_Providers!$D$2:$D$104,MATCH($M150,Service_Providers!$A$2:$A$104,0))),"Provider not found"))</f>
        <v/>
      </c>
    </row>
    <row r="151" spans="12:14" x14ac:dyDescent="0.25">
      <c r="L151" s="11" t="str">
        <f>IF($K151="","",IFERROR(IF(INDEX(Service_Providers!$C$2:$C$104,MATCH($K151,Service_Providers!$A$2:$A$104,0))="","",INDEX(Service_Providers!$C$2:$C$104,MATCH($K151,Service_Providers!$A$2:$A$104,0)))&amp;IF(AND(INDEX(Service_Providers!$C$2:$C$104,MATCH($K151,Service_Providers!$A$2:$A$104,0))&lt;&gt;"",INDEX(Service_Providers!$D$2:$D$104,MATCH($K151,Service_Providers!$A$2:$A$104,0))&lt;&gt;""),CHAR(10),"")&amp;IF(INDEX(Service_Providers!$D$2:$D$104,MATCH($K151,Service_Providers!$A$2:$A$104,0))="","",INDEX(Service_Providers!$D$2:$D$104,MATCH($K151,Service_Providers!$A$2:$A$104,0))),"Provider not found"))</f>
        <v/>
      </c>
      <c r="N151" s="11" t="str">
        <f>IF($M151="","",IFERROR(IF(INDEX(Service_Providers!$C$2:$C$104,MATCH($M151,Service_Providers!$A$2:$A$104,0))="","",INDEX(Service_Providers!$C$2:$C$104,MATCH($M151,Service_Providers!$A$2:$A$104,0)))&amp;IF(AND(INDEX(Service_Providers!$C$2:$C$104,MATCH($M151,Service_Providers!$A$2:$A$104,0))&lt;&gt;"",INDEX(Service_Providers!$D$2:$D$104,MATCH($M151,Service_Providers!$A$2:$A$104,0))&lt;&gt;""),CHAR(10),"")&amp;IF(INDEX(Service_Providers!$D$2:$D$104,MATCH($M151,Service_Providers!$A$2:$A$104,0))="","",INDEX(Service_Providers!$D$2:$D$104,MATCH($M151,Service_Providers!$A$2:$A$104,0))),"Provider not found"))</f>
        <v/>
      </c>
    </row>
    <row r="152" spans="12:14" x14ac:dyDescent="0.25">
      <c r="L152" s="11" t="str">
        <f>IF($K152="","",IFERROR(IF(INDEX(Service_Providers!$C$2:$C$104,MATCH($K152,Service_Providers!$A$2:$A$104,0))="","",INDEX(Service_Providers!$C$2:$C$104,MATCH($K152,Service_Providers!$A$2:$A$104,0)))&amp;IF(AND(INDEX(Service_Providers!$C$2:$C$104,MATCH($K152,Service_Providers!$A$2:$A$104,0))&lt;&gt;"",INDEX(Service_Providers!$D$2:$D$104,MATCH($K152,Service_Providers!$A$2:$A$104,0))&lt;&gt;""),CHAR(10),"")&amp;IF(INDEX(Service_Providers!$D$2:$D$104,MATCH($K152,Service_Providers!$A$2:$A$104,0))="","",INDEX(Service_Providers!$D$2:$D$104,MATCH($K152,Service_Providers!$A$2:$A$104,0))),"Provider not found"))</f>
        <v/>
      </c>
      <c r="N152" s="11" t="str">
        <f>IF($M152="","",IFERROR(IF(INDEX(Service_Providers!$C$2:$C$104,MATCH($M152,Service_Providers!$A$2:$A$104,0))="","",INDEX(Service_Providers!$C$2:$C$104,MATCH($M152,Service_Providers!$A$2:$A$104,0)))&amp;IF(AND(INDEX(Service_Providers!$C$2:$C$104,MATCH($M152,Service_Providers!$A$2:$A$104,0))&lt;&gt;"",INDEX(Service_Providers!$D$2:$D$104,MATCH($M152,Service_Providers!$A$2:$A$104,0))&lt;&gt;""),CHAR(10),"")&amp;IF(INDEX(Service_Providers!$D$2:$D$104,MATCH($M152,Service_Providers!$A$2:$A$104,0))="","",INDEX(Service_Providers!$D$2:$D$104,MATCH($M152,Service_Providers!$A$2:$A$104,0))),"Provider not found"))</f>
        <v/>
      </c>
    </row>
    <row r="153" spans="12:14" x14ac:dyDescent="0.25">
      <c r="L153" s="11" t="str">
        <f>IF($K153="","",IFERROR(IF(INDEX(Service_Providers!$C$2:$C$104,MATCH($K153,Service_Providers!$A$2:$A$104,0))="","",INDEX(Service_Providers!$C$2:$C$104,MATCH($K153,Service_Providers!$A$2:$A$104,0)))&amp;IF(AND(INDEX(Service_Providers!$C$2:$C$104,MATCH($K153,Service_Providers!$A$2:$A$104,0))&lt;&gt;"",INDEX(Service_Providers!$D$2:$D$104,MATCH($K153,Service_Providers!$A$2:$A$104,0))&lt;&gt;""),CHAR(10),"")&amp;IF(INDEX(Service_Providers!$D$2:$D$104,MATCH($K153,Service_Providers!$A$2:$A$104,0))="","",INDEX(Service_Providers!$D$2:$D$104,MATCH($K153,Service_Providers!$A$2:$A$104,0))),"Provider not found"))</f>
        <v/>
      </c>
      <c r="N153" s="11" t="str">
        <f>IF($M153="","",IFERROR(IF(INDEX(Service_Providers!$C$2:$C$104,MATCH($M153,Service_Providers!$A$2:$A$104,0))="","",INDEX(Service_Providers!$C$2:$C$104,MATCH($M153,Service_Providers!$A$2:$A$104,0)))&amp;IF(AND(INDEX(Service_Providers!$C$2:$C$104,MATCH($M153,Service_Providers!$A$2:$A$104,0))&lt;&gt;"",INDEX(Service_Providers!$D$2:$D$104,MATCH($M153,Service_Providers!$A$2:$A$104,0))&lt;&gt;""),CHAR(10),"")&amp;IF(INDEX(Service_Providers!$D$2:$D$104,MATCH($M153,Service_Providers!$A$2:$A$104,0))="","",INDEX(Service_Providers!$D$2:$D$104,MATCH($M153,Service_Providers!$A$2:$A$104,0))),"Provider not found"))</f>
        <v/>
      </c>
    </row>
    <row r="154" spans="12:14" x14ac:dyDescent="0.25">
      <c r="L154" s="11" t="str">
        <f>IF($K154="","",IFERROR(IF(INDEX(Service_Providers!$C$2:$C$104,MATCH($K154,Service_Providers!$A$2:$A$104,0))="","",INDEX(Service_Providers!$C$2:$C$104,MATCH($K154,Service_Providers!$A$2:$A$104,0)))&amp;IF(AND(INDEX(Service_Providers!$C$2:$C$104,MATCH($K154,Service_Providers!$A$2:$A$104,0))&lt;&gt;"",INDEX(Service_Providers!$D$2:$D$104,MATCH($K154,Service_Providers!$A$2:$A$104,0))&lt;&gt;""),CHAR(10),"")&amp;IF(INDEX(Service_Providers!$D$2:$D$104,MATCH($K154,Service_Providers!$A$2:$A$104,0))="","",INDEX(Service_Providers!$D$2:$D$104,MATCH($K154,Service_Providers!$A$2:$A$104,0))),"Provider not found"))</f>
        <v/>
      </c>
      <c r="N154" s="11" t="str">
        <f>IF($M154="","",IFERROR(IF(INDEX(Service_Providers!$C$2:$C$104,MATCH($M154,Service_Providers!$A$2:$A$104,0))="","",INDEX(Service_Providers!$C$2:$C$104,MATCH($M154,Service_Providers!$A$2:$A$104,0)))&amp;IF(AND(INDEX(Service_Providers!$C$2:$C$104,MATCH($M154,Service_Providers!$A$2:$A$104,0))&lt;&gt;"",INDEX(Service_Providers!$D$2:$D$104,MATCH($M154,Service_Providers!$A$2:$A$104,0))&lt;&gt;""),CHAR(10),"")&amp;IF(INDEX(Service_Providers!$D$2:$D$104,MATCH($M154,Service_Providers!$A$2:$A$104,0))="","",INDEX(Service_Providers!$D$2:$D$104,MATCH($M154,Service_Providers!$A$2:$A$104,0))),"Provider not found"))</f>
        <v/>
      </c>
    </row>
    <row r="155" spans="12:14" x14ac:dyDescent="0.25">
      <c r="L155" s="11" t="str">
        <f>IF($K155="","",IFERROR(IF(INDEX(Service_Providers!$C$2:$C$104,MATCH($K155,Service_Providers!$A$2:$A$104,0))="","",INDEX(Service_Providers!$C$2:$C$104,MATCH($K155,Service_Providers!$A$2:$A$104,0)))&amp;IF(AND(INDEX(Service_Providers!$C$2:$C$104,MATCH($K155,Service_Providers!$A$2:$A$104,0))&lt;&gt;"",INDEX(Service_Providers!$D$2:$D$104,MATCH($K155,Service_Providers!$A$2:$A$104,0))&lt;&gt;""),CHAR(10),"")&amp;IF(INDEX(Service_Providers!$D$2:$D$104,MATCH($K155,Service_Providers!$A$2:$A$104,0))="","",INDEX(Service_Providers!$D$2:$D$104,MATCH($K155,Service_Providers!$A$2:$A$104,0))),"Provider not found"))</f>
        <v/>
      </c>
      <c r="N155" s="11" t="str">
        <f>IF($M155="","",IFERROR(IF(INDEX(Service_Providers!$C$2:$C$104,MATCH($M155,Service_Providers!$A$2:$A$104,0))="","",INDEX(Service_Providers!$C$2:$C$104,MATCH($M155,Service_Providers!$A$2:$A$104,0)))&amp;IF(AND(INDEX(Service_Providers!$C$2:$C$104,MATCH($M155,Service_Providers!$A$2:$A$104,0))&lt;&gt;"",INDEX(Service_Providers!$D$2:$D$104,MATCH($M155,Service_Providers!$A$2:$A$104,0))&lt;&gt;""),CHAR(10),"")&amp;IF(INDEX(Service_Providers!$D$2:$D$104,MATCH($M155,Service_Providers!$A$2:$A$104,0))="","",INDEX(Service_Providers!$D$2:$D$104,MATCH($M155,Service_Providers!$A$2:$A$104,0))),"Provider not found"))</f>
        <v/>
      </c>
    </row>
    <row r="156" spans="12:14" x14ac:dyDescent="0.25">
      <c r="L156" s="11" t="str">
        <f>IF($K156="","",IFERROR(IF(INDEX(Service_Providers!$C$2:$C$104,MATCH($K156,Service_Providers!$A$2:$A$104,0))="","",INDEX(Service_Providers!$C$2:$C$104,MATCH($K156,Service_Providers!$A$2:$A$104,0)))&amp;IF(AND(INDEX(Service_Providers!$C$2:$C$104,MATCH($K156,Service_Providers!$A$2:$A$104,0))&lt;&gt;"",INDEX(Service_Providers!$D$2:$D$104,MATCH($K156,Service_Providers!$A$2:$A$104,0))&lt;&gt;""),CHAR(10),"")&amp;IF(INDEX(Service_Providers!$D$2:$D$104,MATCH($K156,Service_Providers!$A$2:$A$104,0))="","",INDEX(Service_Providers!$D$2:$D$104,MATCH($K156,Service_Providers!$A$2:$A$104,0))),"Provider not found"))</f>
        <v/>
      </c>
      <c r="N156" s="11" t="str">
        <f>IF($M156="","",IFERROR(IF(INDEX(Service_Providers!$C$2:$C$104,MATCH($M156,Service_Providers!$A$2:$A$104,0))="","",INDEX(Service_Providers!$C$2:$C$104,MATCH($M156,Service_Providers!$A$2:$A$104,0)))&amp;IF(AND(INDEX(Service_Providers!$C$2:$C$104,MATCH($M156,Service_Providers!$A$2:$A$104,0))&lt;&gt;"",INDEX(Service_Providers!$D$2:$D$104,MATCH($M156,Service_Providers!$A$2:$A$104,0))&lt;&gt;""),CHAR(10),"")&amp;IF(INDEX(Service_Providers!$D$2:$D$104,MATCH($M156,Service_Providers!$A$2:$A$104,0))="","",INDEX(Service_Providers!$D$2:$D$104,MATCH($M156,Service_Providers!$A$2:$A$104,0))),"Provider not found"))</f>
        <v/>
      </c>
    </row>
    <row r="157" spans="12:14" x14ac:dyDescent="0.25">
      <c r="L157" s="11" t="str">
        <f>IF($K157="","",IFERROR(IF(INDEX(Service_Providers!$C$2:$C$104,MATCH($K157,Service_Providers!$A$2:$A$104,0))="","",INDEX(Service_Providers!$C$2:$C$104,MATCH($K157,Service_Providers!$A$2:$A$104,0)))&amp;IF(AND(INDEX(Service_Providers!$C$2:$C$104,MATCH($K157,Service_Providers!$A$2:$A$104,0))&lt;&gt;"",INDEX(Service_Providers!$D$2:$D$104,MATCH($K157,Service_Providers!$A$2:$A$104,0))&lt;&gt;""),CHAR(10),"")&amp;IF(INDEX(Service_Providers!$D$2:$D$104,MATCH($K157,Service_Providers!$A$2:$A$104,0))="","",INDEX(Service_Providers!$D$2:$D$104,MATCH($K157,Service_Providers!$A$2:$A$104,0))),"Provider not found"))</f>
        <v/>
      </c>
      <c r="N157" s="11" t="str">
        <f>IF($M157="","",IFERROR(IF(INDEX(Service_Providers!$C$2:$C$104,MATCH($M157,Service_Providers!$A$2:$A$104,0))="","",INDEX(Service_Providers!$C$2:$C$104,MATCH($M157,Service_Providers!$A$2:$A$104,0)))&amp;IF(AND(INDEX(Service_Providers!$C$2:$C$104,MATCH($M157,Service_Providers!$A$2:$A$104,0))&lt;&gt;"",INDEX(Service_Providers!$D$2:$D$104,MATCH($M157,Service_Providers!$A$2:$A$104,0))&lt;&gt;""),CHAR(10),"")&amp;IF(INDEX(Service_Providers!$D$2:$D$104,MATCH($M157,Service_Providers!$A$2:$A$104,0))="","",INDEX(Service_Providers!$D$2:$D$104,MATCH($M157,Service_Providers!$A$2:$A$104,0))),"Provider not found"))</f>
        <v/>
      </c>
    </row>
    <row r="158" spans="12:14" x14ac:dyDescent="0.25">
      <c r="L158" s="11" t="str">
        <f>IF($K158="","",IFERROR(IF(INDEX(Service_Providers!$C$2:$C$104,MATCH($K158,Service_Providers!$A$2:$A$104,0))="","",INDEX(Service_Providers!$C$2:$C$104,MATCH($K158,Service_Providers!$A$2:$A$104,0)))&amp;IF(AND(INDEX(Service_Providers!$C$2:$C$104,MATCH($K158,Service_Providers!$A$2:$A$104,0))&lt;&gt;"",INDEX(Service_Providers!$D$2:$D$104,MATCH($K158,Service_Providers!$A$2:$A$104,0))&lt;&gt;""),CHAR(10),"")&amp;IF(INDEX(Service_Providers!$D$2:$D$104,MATCH($K158,Service_Providers!$A$2:$A$104,0))="","",INDEX(Service_Providers!$D$2:$D$104,MATCH($K158,Service_Providers!$A$2:$A$104,0))),"Provider not found"))</f>
        <v/>
      </c>
      <c r="N158" s="11" t="str">
        <f>IF($M158="","",IFERROR(IF(INDEX(Service_Providers!$C$2:$C$104,MATCH($M158,Service_Providers!$A$2:$A$104,0))="","",INDEX(Service_Providers!$C$2:$C$104,MATCH($M158,Service_Providers!$A$2:$A$104,0)))&amp;IF(AND(INDEX(Service_Providers!$C$2:$C$104,MATCH($M158,Service_Providers!$A$2:$A$104,0))&lt;&gt;"",INDEX(Service_Providers!$D$2:$D$104,MATCH($M158,Service_Providers!$A$2:$A$104,0))&lt;&gt;""),CHAR(10),"")&amp;IF(INDEX(Service_Providers!$D$2:$D$104,MATCH($M158,Service_Providers!$A$2:$A$104,0))="","",INDEX(Service_Providers!$D$2:$D$104,MATCH($M158,Service_Providers!$A$2:$A$104,0))),"Provider not found"))</f>
        <v/>
      </c>
    </row>
    <row r="159" spans="12:14" x14ac:dyDescent="0.25">
      <c r="L159" s="11" t="str">
        <f>IF($K159="","",IFERROR(IF(INDEX(Service_Providers!$C$2:$C$104,MATCH($K159,Service_Providers!$A$2:$A$104,0))="","",INDEX(Service_Providers!$C$2:$C$104,MATCH($K159,Service_Providers!$A$2:$A$104,0)))&amp;IF(AND(INDEX(Service_Providers!$C$2:$C$104,MATCH($K159,Service_Providers!$A$2:$A$104,0))&lt;&gt;"",INDEX(Service_Providers!$D$2:$D$104,MATCH($K159,Service_Providers!$A$2:$A$104,0))&lt;&gt;""),CHAR(10),"")&amp;IF(INDEX(Service_Providers!$D$2:$D$104,MATCH($K159,Service_Providers!$A$2:$A$104,0))="","",INDEX(Service_Providers!$D$2:$D$104,MATCH($K159,Service_Providers!$A$2:$A$104,0))),"Provider not found"))</f>
        <v/>
      </c>
      <c r="N159" s="11" t="str">
        <f>IF($M159="","",IFERROR(IF(INDEX(Service_Providers!$C$2:$C$104,MATCH($M159,Service_Providers!$A$2:$A$104,0))="","",INDEX(Service_Providers!$C$2:$C$104,MATCH($M159,Service_Providers!$A$2:$A$104,0)))&amp;IF(AND(INDEX(Service_Providers!$C$2:$C$104,MATCH($M159,Service_Providers!$A$2:$A$104,0))&lt;&gt;"",INDEX(Service_Providers!$D$2:$D$104,MATCH($M159,Service_Providers!$A$2:$A$104,0))&lt;&gt;""),CHAR(10),"")&amp;IF(INDEX(Service_Providers!$D$2:$D$104,MATCH($M159,Service_Providers!$A$2:$A$104,0))="","",INDEX(Service_Providers!$D$2:$D$104,MATCH($M159,Service_Providers!$A$2:$A$104,0))),"Provider not found"))</f>
        <v/>
      </c>
    </row>
    <row r="160" spans="12:14" x14ac:dyDescent="0.25">
      <c r="L160" s="11" t="str">
        <f>IF($K160="","",IFERROR(IF(INDEX(Service_Providers!$C$2:$C$104,MATCH($K160,Service_Providers!$A$2:$A$104,0))="","",INDEX(Service_Providers!$C$2:$C$104,MATCH($K160,Service_Providers!$A$2:$A$104,0)))&amp;IF(AND(INDEX(Service_Providers!$C$2:$C$104,MATCH($K160,Service_Providers!$A$2:$A$104,0))&lt;&gt;"",INDEX(Service_Providers!$D$2:$D$104,MATCH($K160,Service_Providers!$A$2:$A$104,0))&lt;&gt;""),CHAR(10),"")&amp;IF(INDEX(Service_Providers!$D$2:$D$104,MATCH($K160,Service_Providers!$A$2:$A$104,0))="","",INDEX(Service_Providers!$D$2:$D$104,MATCH($K160,Service_Providers!$A$2:$A$104,0))),"Provider not found"))</f>
        <v/>
      </c>
      <c r="N160" s="11" t="str">
        <f>IF($M160="","",IFERROR(IF(INDEX(Service_Providers!$C$2:$C$104,MATCH($M160,Service_Providers!$A$2:$A$104,0))="","",INDEX(Service_Providers!$C$2:$C$104,MATCH($M160,Service_Providers!$A$2:$A$104,0)))&amp;IF(AND(INDEX(Service_Providers!$C$2:$C$104,MATCH($M160,Service_Providers!$A$2:$A$104,0))&lt;&gt;"",INDEX(Service_Providers!$D$2:$D$104,MATCH($M160,Service_Providers!$A$2:$A$104,0))&lt;&gt;""),CHAR(10),"")&amp;IF(INDEX(Service_Providers!$D$2:$D$104,MATCH($M160,Service_Providers!$A$2:$A$104,0))="","",INDEX(Service_Providers!$D$2:$D$104,MATCH($M160,Service_Providers!$A$2:$A$104,0))),"Provider not found"))</f>
        <v/>
      </c>
    </row>
    <row r="161" spans="12:14" x14ac:dyDescent="0.25">
      <c r="L161" s="11" t="str">
        <f>IF($K161="","",IFERROR(IF(INDEX(Service_Providers!$C$2:$C$104,MATCH($K161,Service_Providers!$A$2:$A$104,0))="","",INDEX(Service_Providers!$C$2:$C$104,MATCH($K161,Service_Providers!$A$2:$A$104,0)))&amp;IF(AND(INDEX(Service_Providers!$C$2:$C$104,MATCH($K161,Service_Providers!$A$2:$A$104,0))&lt;&gt;"",INDEX(Service_Providers!$D$2:$D$104,MATCH($K161,Service_Providers!$A$2:$A$104,0))&lt;&gt;""),CHAR(10),"")&amp;IF(INDEX(Service_Providers!$D$2:$D$104,MATCH($K161,Service_Providers!$A$2:$A$104,0))="","",INDEX(Service_Providers!$D$2:$D$104,MATCH($K161,Service_Providers!$A$2:$A$104,0))),"Provider not found"))</f>
        <v/>
      </c>
      <c r="N161" s="11" t="str">
        <f>IF($M161="","",IFERROR(IF(INDEX(Service_Providers!$C$2:$C$104,MATCH($M161,Service_Providers!$A$2:$A$104,0))="","",INDEX(Service_Providers!$C$2:$C$104,MATCH($M161,Service_Providers!$A$2:$A$104,0)))&amp;IF(AND(INDEX(Service_Providers!$C$2:$C$104,MATCH($M161,Service_Providers!$A$2:$A$104,0))&lt;&gt;"",INDEX(Service_Providers!$D$2:$D$104,MATCH($M161,Service_Providers!$A$2:$A$104,0))&lt;&gt;""),CHAR(10),"")&amp;IF(INDEX(Service_Providers!$D$2:$D$104,MATCH($M161,Service_Providers!$A$2:$A$104,0))="","",INDEX(Service_Providers!$D$2:$D$104,MATCH($M161,Service_Providers!$A$2:$A$104,0))),"Provider not found"))</f>
        <v/>
      </c>
    </row>
    <row r="162" spans="12:14" x14ac:dyDescent="0.25">
      <c r="L162" s="11" t="str">
        <f>IF($K162="","",IFERROR(IF(INDEX(Service_Providers!$C$2:$C$104,MATCH($K162,Service_Providers!$A$2:$A$104,0))="","",INDEX(Service_Providers!$C$2:$C$104,MATCH($K162,Service_Providers!$A$2:$A$104,0)))&amp;IF(AND(INDEX(Service_Providers!$C$2:$C$104,MATCH($K162,Service_Providers!$A$2:$A$104,0))&lt;&gt;"",INDEX(Service_Providers!$D$2:$D$104,MATCH($K162,Service_Providers!$A$2:$A$104,0))&lt;&gt;""),CHAR(10),"")&amp;IF(INDEX(Service_Providers!$D$2:$D$104,MATCH($K162,Service_Providers!$A$2:$A$104,0))="","",INDEX(Service_Providers!$D$2:$D$104,MATCH($K162,Service_Providers!$A$2:$A$104,0))),"Provider not found"))</f>
        <v/>
      </c>
      <c r="N162" s="11" t="str">
        <f>IF($M162="","",IFERROR(IF(INDEX(Service_Providers!$C$2:$C$104,MATCH($M162,Service_Providers!$A$2:$A$104,0))="","",INDEX(Service_Providers!$C$2:$C$104,MATCH($M162,Service_Providers!$A$2:$A$104,0)))&amp;IF(AND(INDEX(Service_Providers!$C$2:$C$104,MATCH($M162,Service_Providers!$A$2:$A$104,0))&lt;&gt;"",INDEX(Service_Providers!$D$2:$D$104,MATCH($M162,Service_Providers!$A$2:$A$104,0))&lt;&gt;""),CHAR(10),"")&amp;IF(INDEX(Service_Providers!$D$2:$D$104,MATCH($M162,Service_Providers!$A$2:$A$104,0))="","",INDEX(Service_Providers!$D$2:$D$104,MATCH($M162,Service_Providers!$A$2:$A$104,0))),"Provider not found"))</f>
        <v/>
      </c>
    </row>
    <row r="163" spans="12:14" x14ac:dyDescent="0.25">
      <c r="L163" s="11" t="str">
        <f>IF($K163="","",IFERROR(IF(INDEX(Service_Providers!$C$2:$C$104,MATCH($K163,Service_Providers!$A$2:$A$104,0))="","",INDEX(Service_Providers!$C$2:$C$104,MATCH($K163,Service_Providers!$A$2:$A$104,0)))&amp;IF(AND(INDEX(Service_Providers!$C$2:$C$104,MATCH($K163,Service_Providers!$A$2:$A$104,0))&lt;&gt;"",INDEX(Service_Providers!$D$2:$D$104,MATCH($K163,Service_Providers!$A$2:$A$104,0))&lt;&gt;""),CHAR(10),"")&amp;IF(INDEX(Service_Providers!$D$2:$D$104,MATCH($K163,Service_Providers!$A$2:$A$104,0))="","",INDEX(Service_Providers!$D$2:$D$104,MATCH($K163,Service_Providers!$A$2:$A$104,0))),"Provider not found"))</f>
        <v/>
      </c>
      <c r="N163" s="11" t="str">
        <f>IF($M163="","",IFERROR(IF(INDEX(Service_Providers!$C$2:$C$104,MATCH($M163,Service_Providers!$A$2:$A$104,0))="","",INDEX(Service_Providers!$C$2:$C$104,MATCH($M163,Service_Providers!$A$2:$A$104,0)))&amp;IF(AND(INDEX(Service_Providers!$C$2:$C$104,MATCH($M163,Service_Providers!$A$2:$A$104,0))&lt;&gt;"",INDEX(Service_Providers!$D$2:$D$104,MATCH($M163,Service_Providers!$A$2:$A$104,0))&lt;&gt;""),CHAR(10),"")&amp;IF(INDEX(Service_Providers!$D$2:$D$104,MATCH($M163,Service_Providers!$A$2:$A$104,0))="","",INDEX(Service_Providers!$D$2:$D$104,MATCH($M163,Service_Providers!$A$2:$A$104,0))),"Provider not found"))</f>
        <v/>
      </c>
    </row>
    <row r="164" spans="12:14" x14ac:dyDescent="0.25">
      <c r="L164" s="11" t="str">
        <f>IF($K164="","",IFERROR(IF(INDEX(Service_Providers!$C$2:$C$104,MATCH($K164,Service_Providers!$A$2:$A$104,0))="","",INDEX(Service_Providers!$C$2:$C$104,MATCH($K164,Service_Providers!$A$2:$A$104,0)))&amp;IF(AND(INDEX(Service_Providers!$C$2:$C$104,MATCH($K164,Service_Providers!$A$2:$A$104,0))&lt;&gt;"",INDEX(Service_Providers!$D$2:$D$104,MATCH($K164,Service_Providers!$A$2:$A$104,0))&lt;&gt;""),CHAR(10),"")&amp;IF(INDEX(Service_Providers!$D$2:$D$104,MATCH($K164,Service_Providers!$A$2:$A$104,0))="","",INDEX(Service_Providers!$D$2:$D$104,MATCH($K164,Service_Providers!$A$2:$A$104,0))),"Provider not found"))</f>
        <v/>
      </c>
      <c r="N164" s="11" t="str">
        <f>IF($M164="","",IFERROR(IF(INDEX(Service_Providers!$C$2:$C$104,MATCH($M164,Service_Providers!$A$2:$A$104,0))="","",INDEX(Service_Providers!$C$2:$C$104,MATCH($M164,Service_Providers!$A$2:$A$104,0)))&amp;IF(AND(INDEX(Service_Providers!$C$2:$C$104,MATCH($M164,Service_Providers!$A$2:$A$104,0))&lt;&gt;"",INDEX(Service_Providers!$D$2:$D$104,MATCH($M164,Service_Providers!$A$2:$A$104,0))&lt;&gt;""),CHAR(10),"")&amp;IF(INDEX(Service_Providers!$D$2:$D$104,MATCH($M164,Service_Providers!$A$2:$A$104,0))="","",INDEX(Service_Providers!$D$2:$D$104,MATCH($M164,Service_Providers!$A$2:$A$104,0))),"Provider not found"))</f>
        <v/>
      </c>
    </row>
    <row r="165" spans="12:14" x14ac:dyDescent="0.25">
      <c r="L165" s="11" t="str">
        <f>IF($K165="","",IFERROR(IF(INDEX(Service_Providers!$C$2:$C$104,MATCH($K165,Service_Providers!$A$2:$A$104,0))="","",INDEX(Service_Providers!$C$2:$C$104,MATCH($K165,Service_Providers!$A$2:$A$104,0)))&amp;IF(AND(INDEX(Service_Providers!$C$2:$C$104,MATCH($K165,Service_Providers!$A$2:$A$104,0))&lt;&gt;"",INDEX(Service_Providers!$D$2:$D$104,MATCH($K165,Service_Providers!$A$2:$A$104,0))&lt;&gt;""),CHAR(10),"")&amp;IF(INDEX(Service_Providers!$D$2:$D$104,MATCH($K165,Service_Providers!$A$2:$A$104,0))="","",INDEX(Service_Providers!$D$2:$D$104,MATCH($K165,Service_Providers!$A$2:$A$104,0))),"Provider not found"))</f>
        <v/>
      </c>
      <c r="N165" s="11" t="str">
        <f>IF($M165="","",IFERROR(IF(INDEX(Service_Providers!$C$2:$C$104,MATCH($M165,Service_Providers!$A$2:$A$104,0))="","",INDEX(Service_Providers!$C$2:$C$104,MATCH($M165,Service_Providers!$A$2:$A$104,0)))&amp;IF(AND(INDEX(Service_Providers!$C$2:$C$104,MATCH($M165,Service_Providers!$A$2:$A$104,0))&lt;&gt;"",INDEX(Service_Providers!$D$2:$D$104,MATCH($M165,Service_Providers!$A$2:$A$104,0))&lt;&gt;""),CHAR(10),"")&amp;IF(INDEX(Service_Providers!$D$2:$D$104,MATCH($M165,Service_Providers!$A$2:$A$104,0))="","",INDEX(Service_Providers!$D$2:$D$104,MATCH($M165,Service_Providers!$A$2:$A$104,0))),"Provider not found"))</f>
        <v/>
      </c>
    </row>
    <row r="166" spans="12:14" x14ac:dyDescent="0.25">
      <c r="L166" s="11" t="str">
        <f>IF($K166="","",IFERROR(IF(INDEX(Service_Providers!$C$2:$C$104,MATCH($K166,Service_Providers!$A$2:$A$104,0))="","",INDEX(Service_Providers!$C$2:$C$104,MATCH($K166,Service_Providers!$A$2:$A$104,0)))&amp;IF(AND(INDEX(Service_Providers!$C$2:$C$104,MATCH($K166,Service_Providers!$A$2:$A$104,0))&lt;&gt;"",INDEX(Service_Providers!$D$2:$D$104,MATCH($K166,Service_Providers!$A$2:$A$104,0))&lt;&gt;""),CHAR(10),"")&amp;IF(INDEX(Service_Providers!$D$2:$D$104,MATCH($K166,Service_Providers!$A$2:$A$104,0))="","",INDEX(Service_Providers!$D$2:$D$104,MATCH($K166,Service_Providers!$A$2:$A$104,0))),"Provider not found"))</f>
        <v/>
      </c>
      <c r="N166" s="11" t="str">
        <f>IF($M166="","",IFERROR(IF(INDEX(Service_Providers!$C$2:$C$104,MATCH($M166,Service_Providers!$A$2:$A$104,0))="","",INDEX(Service_Providers!$C$2:$C$104,MATCH($M166,Service_Providers!$A$2:$A$104,0)))&amp;IF(AND(INDEX(Service_Providers!$C$2:$C$104,MATCH($M166,Service_Providers!$A$2:$A$104,0))&lt;&gt;"",INDEX(Service_Providers!$D$2:$D$104,MATCH($M166,Service_Providers!$A$2:$A$104,0))&lt;&gt;""),CHAR(10),"")&amp;IF(INDEX(Service_Providers!$D$2:$D$104,MATCH($M166,Service_Providers!$A$2:$A$104,0))="","",INDEX(Service_Providers!$D$2:$D$104,MATCH($M166,Service_Providers!$A$2:$A$104,0))),"Provider not found"))</f>
        <v/>
      </c>
    </row>
    <row r="167" spans="12:14" x14ac:dyDescent="0.25">
      <c r="L167" s="11" t="str">
        <f>IF($K167="","",IFERROR(IF(INDEX(Service_Providers!$C$2:$C$104,MATCH($K167,Service_Providers!$A$2:$A$104,0))="","",INDEX(Service_Providers!$C$2:$C$104,MATCH($K167,Service_Providers!$A$2:$A$104,0)))&amp;IF(AND(INDEX(Service_Providers!$C$2:$C$104,MATCH($K167,Service_Providers!$A$2:$A$104,0))&lt;&gt;"",INDEX(Service_Providers!$D$2:$D$104,MATCH($K167,Service_Providers!$A$2:$A$104,0))&lt;&gt;""),CHAR(10),"")&amp;IF(INDEX(Service_Providers!$D$2:$D$104,MATCH($K167,Service_Providers!$A$2:$A$104,0))="","",INDEX(Service_Providers!$D$2:$D$104,MATCH($K167,Service_Providers!$A$2:$A$104,0))),"Provider not found"))</f>
        <v/>
      </c>
      <c r="N167" s="11" t="str">
        <f>IF($M167="","",IFERROR(IF(INDEX(Service_Providers!$C$2:$C$104,MATCH($M167,Service_Providers!$A$2:$A$104,0))="","",INDEX(Service_Providers!$C$2:$C$104,MATCH($M167,Service_Providers!$A$2:$A$104,0)))&amp;IF(AND(INDEX(Service_Providers!$C$2:$C$104,MATCH($M167,Service_Providers!$A$2:$A$104,0))&lt;&gt;"",INDEX(Service_Providers!$D$2:$D$104,MATCH($M167,Service_Providers!$A$2:$A$104,0))&lt;&gt;""),CHAR(10),"")&amp;IF(INDEX(Service_Providers!$D$2:$D$104,MATCH($M167,Service_Providers!$A$2:$A$104,0))="","",INDEX(Service_Providers!$D$2:$D$104,MATCH($M167,Service_Providers!$A$2:$A$104,0))),"Provider not found"))</f>
        <v/>
      </c>
    </row>
    <row r="168" spans="12:14" x14ac:dyDescent="0.25">
      <c r="L168" s="11" t="str">
        <f>IF($K168="","",IFERROR(IF(INDEX(Service_Providers!$C$2:$C$104,MATCH($K168,Service_Providers!$A$2:$A$104,0))="","",INDEX(Service_Providers!$C$2:$C$104,MATCH($K168,Service_Providers!$A$2:$A$104,0)))&amp;IF(AND(INDEX(Service_Providers!$C$2:$C$104,MATCH($K168,Service_Providers!$A$2:$A$104,0))&lt;&gt;"",INDEX(Service_Providers!$D$2:$D$104,MATCH($K168,Service_Providers!$A$2:$A$104,0))&lt;&gt;""),CHAR(10),"")&amp;IF(INDEX(Service_Providers!$D$2:$D$104,MATCH($K168,Service_Providers!$A$2:$A$104,0))="","",INDEX(Service_Providers!$D$2:$D$104,MATCH($K168,Service_Providers!$A$2:$A$104,0))),"Provider not found"))</f>
        <v/>
      </c>
      <c r="N168" s="11" t="str">
        <f>IF($M168="","",IFERROR(IF(INDEX(Service_Providers!$C$2:$C$104,MATCH($M168,Service_Providers!$A$2:$A$104,0))="","",INDEX(Service_Providers!$C$2:$C$104,MATCH($M168,Service_Providers!$A$2:$A$104,0)))&amp;IF(AND(INDEX(Service_Providers!$C$2:$C$104,MATCH($M168,Service_Providers!$A$2:$A$104,0))&lt;&gt;"",INDEX(Service_Providers!$D$2:$D$104,MATCH($M168,Service_Providers!$A$2:$A$104,0))&lt;&gt;""),CHAR(10),"")&amp;IF(INDEX(Service_Providers!$D$2:$D$104,MATCH($M168,Service_Providers!$A$2:$A$104,0))="","",INDEX(Service_Providers!$D$2:$D$104,MATCH($M168,Service_Providers!$A$2:$A$104,0))),"Provider not found"))</f>
        <v/>
      </c>
    </row>
    <row r="169" spans="12:14" x14ac:dyDescent="0.25">
      <c r="L169" s="11" t="str">
        <f>IF($K169="","",IFERROR(IF(INDEX(Service_Providers!$C$2:$C$104,MATCH($K169,Service_Providers!$A$2:$A$104,0))="","",INDEX(Service_Providers!$C$2:$C$104,MATCH($K169,Service_Providers!$A$2:$A$104,0)))&amp;IF(AND(INDEX(Service_Providers!$C$2:$C$104,MATCH($K169,Service_Providers!$A$2:$A$104,0))&lt;&gt;"",INDEX(Service_Providers!$D$2:$D$104,MATCH($K169,Service_Providers!$A$2:$A$104,0))&lt;&gt;""),CHAR(10),"")&amp;IF(INDEX(Service_Providers!$D$2:$D$104,MATCH($K169,Service_Providers!$A$2:$A$104,0))="","",INDEX(Service_Providers!$D$2:$D$104,MATCH($K169,Service_Providers!$A$2:$A$104,0))),"Provider not found"))</f>
        <v/>
      </c>
      <c r="N169" s="11" t="str">
        <f>IF($M169="","",IFERROR(IF(INDEX(Service_Providers!$C$2:$C$104,MATCH($M169,Service_Providers!$A$2:$A$104,0))="","",INDEX(Service_Providers!$C$2:$C$104,MATCH($M169,Service_Providers!$A$2:$A$104,0)))&amp;IF(AND(INDEX(Service_Providers!$C$2:$C$104,MATCH($M169,Service_Providers!$A$2:$A$104,0))&lt;&gt;"",INDEX(Service_Providers!$D$2:$D$104,MATCH($M169,Service_Providers!$A$2:$A$104,0))&lt;&gt;""),CHAR(10),"")&amp;IF(INDEX(Service_Providers!$D$2:$D$104,MATCH($M169,Service_Providers!$A$2:$A$104,0))="","",INDEX(Service_Providers!$D$2:$D$104,MATCH($M169,Service_Providers!$A$2:$A$104,0))),"Provider not found"))</f>
        <v/>
      </c>
    </row>
    <row r="170" spans="12:14" x14ac:dyDescent="0.25">
      <c r="L170" s="11" t="str">
        <f>IF($K170="","",IFERROR(IF(INDEX(Service_Providers!$C$2:$C$104,MATCH($K170,Service_Providers!$A$2:$A$104,0))="","",INDEX(Service_Providers!$C$2:$C$104,MATCH($K170,Service_Providers!$A$2:$A$104,0)))&amp;IF(AND(INDEX(Service_Providers!$C$2:$C$104,MATCH($K170,Service_Providers!$A$2:$A$104,0))&lt;&gt;"",INDEX(Service_Providers!$D$2:$D$104,MATCH($K170,Service_Providers!$A$2:$A$104,0))&lt;&gt;""),CHAR(10),"")&amp;IF(INDEX(Service_Providers!$D$2:$D$104,MATCH($K170,Service_Providers!$A$2:$A$104,0))="","",INDEX(Service_Providers!$D$2:$D$104,MATCH($K170,Service_Providers!$A$2:$A$104,0))),"Provider not found"))</f>
        <v/>
      </c>
      <c r="N170" s="11" t="str">
        <f>IF($M170="","",IFERROR(IF(INDEX(Service_Providers!$C$2:$C$104,MATCH($M170,Service_Providers!$A$2:$A$104,0))="","",INDEX(Service_Providers!$C$2:$C$104,MATCH($M170,Service_Providers!$A$2:$A$104,0)))&amp;IF(AND(INDEX(Service_Providers!$C$2:$C$104,MATCH($M170,Service_Providers!$A$2:$A$104,0))&lt;&gt;"",INDEX(Service_Providers!$D$2:$D$104,MATCH($M170,Service_Providers!$A$2:$A$104,0))&lt;&gt;""),CHAR(10),"")&amp;IF(INDEX(Service_Providers!$D$2:$D$104,MATCH($M170,Service_Providers!$A$2:$A$104,0))="","",INDEX(Service_Providers!$D$2:$D$104,MATCH($M170,Service_Providers!$A$2:$A$104,0))),"Provider not found"))</f>
        <v/>
      </c>
    </row>
    <row r="171" spans="12:14" x14ac:dyDescent="0.25">
      <c r="L171" s="11" t="str">
        <f>IF($K171="","",IFERROR(IF(INDEX(Service_Providers!$C$2:$C$104,MATCH($K171,Service_Providers!$A$2:$A$104,0))="","",INDEX(Service_Providers!$C$2:$C$104,MATCH($K171,Service_Providers!$A$2:$A$104,0)))&amp;IF(AND(INDEX(Service_Providers!$C$2:$C$104,MATCH($K171,Service_Providers!$A$2:$A$104,0))&lt;&gt;"",INDEX(Service_Providers!$D$2:$D$104,MATCH($K171,Service_Providers!$A$2:$A$104,0))&lt;&gt;""),CHAR(10),"")&amp;IF(INDEX(Service_Providers!$D$2:$D$104,MATCH($K171,Service_Providers!$A$2:$A$104,0))="","",INDEX(Service_Providers!$D$2:$D$104,MATCH($K171,Service_Providers!$A$2:$A$104,0))),"Provider not found"))</f>
        <v/>
      </c>
      <c r="N171" s="11" t="str">
        <f>IF($M171="","",IFERROR(IF(INDEX(Service_Providers!$C$2:$C$104,MATCH($M171,Service_Providers!$A$2:$A$104,0))="","",INDEX(Service_Providers!$C$2:$C$104,MATCH($M171,Service_Providers!$A$2:$A$104,0)))&amp;IF(AND(INDEX(Service_Providers!$C$2:$C$104,MATCH($M171,Service_Providers!$A$2:$A$104,0))&lt;&gt;"",INDEX(Service_Providers!$D$2:$D$104,MATCH($M171,Service_Providers!$A$2:$A$104,0))&lt;&gt;""),CHAR(10),"")&amp;IF(INDEX(Service_Providers!$D$2:$D$104,MATCH($M171,Service_Providers!$A$2:$A$104,0))="","",INDEX(Service_Providers!$D$2:$D$104,MATCH($M171,Service_Providers!$A$2:$A$104,0))),"Provider not found"))</f>
        <v/>
      </c>
    </row>
    <row r="172" spans="12:14" x14ac:dyDescent="0.25">
      <c r="L172" s="11" t="str">
        <f>IF($K172="","",IFERROR(IF(INDEX(Service_Providers!$C$2:$C$104,MATCH($K172,Service_Providers!$A$2:$A$104,0))="","",INDEX(Service_Providers!$C$2:$C$104,MATCH($K172,Service_Providers!$A$2:$A$104,0)))&amp;IF(AND(INDEX(Service_Providers!$C$2:$C$104,MATCH($K172,Service_Providers!$A$2:$A$104,0))&lt;&gt;"",INDEX(Service_Providers!$D$2:$D$104,MATCH($K172,Service_Providers!$A$2:$A$104,0))&lt;&gt;""),CHAR(10),"")&amp;IF(INDEX(Service_Providers!$D$2:$D$104,MATCH($K172,Service_Providers!$A$2:$A$104,0))="","",INDEX(Service_Providers!$D$2:$D$104,MATCH($K172,Service_Providers!$A$2:$A$104,0))),"Provider not found"))</f>
        <v/>
      </c>
      <c r="N172" s="11" t="str">
        <f>IF($M172="","",IFERROR(IF(INDEX(Service_Providers!$C$2:$C$104,MATCH($M172,Service_Providers!$A$2:$A$104,0))="","",INDEX(Service_Providers!$C$2:$C$104,MATCH($M172,Service_Providers!$A$2:$A$104,0)))&amp;IF(AND(INDEX(Service_Providers!$C$2:$C$104,MATCH($M172,Service_Providers!$A$2:$A$104,0))&lt;&gt;"",INDEX(Service_Providers!$D$2:$D$104,MATCH($M172,Service_Providers!$A$2:$A$104,0))&lt;&gt;""),CHAR(10),"")&amp;IF(INDEX(Service_Providers!$D$2:$D$104,MATCH($M172,Service_Providers!$A$2:$A$104,0))="","",INDEX(Service_Providers!$D$2:$D$104,MATCH($M172,Service_Providers!$A$2:$A$104,0))),"Provider not found"))</f>
        <v/>
      </c>
    </row>
    <row r="173" spans="12:14" x14ac:dyDescent="0.25">
      <c r="L173" s="11" t="str">
        <f>IF($K173="","",IFERROR(IF(INDEX(Service_Providers!$C$2:$C$104,MATCH($K173,Service_Providers!$A$2:$A$104,0))="","",INDEX(Service_Providers!$C$2:$C$104,MATCH($K173,Service_Providers!$A$2:$A$104,0)))&amp;IF(AND(INDEX(Service_Providers!$C$2:$C$104,MATCH($K173,Service_Providers!$A$2:$A$104,0))&lt;&gt;"",INDEX(Service_Providers!$D$2:$D$104,MATCH($K173,Service_Providers!$A$2:$A$104,0))&lt;&gt;""),CHAR(10),"")&amp;IF(INDEX(Service_Providers!$D$2:$D$104,MATCH($K173,Service_Providers!$A$2:$A$104,0))="","",INDEX(Service_Providers!$D$2:$D$104,MATCH($K173,Service_Providers!$A$2:$A$104,0))),"Provider not found"))</f>
        <v/>
      </c>
      <c r="N173" s="11" t="str">
        <f>IF($M173="","",IFERROR(IF(INDEX(Service_Providers!$C$2:$C$104,MATCH($M173,Service_Providers!$A$2:$A$104,0))="","",INDEX(Service_Providers!$C$2:$C$104,MATCH($M173,Service_Providers!$A$2:$A$104,0)))&amp;IF(AND(INDEX(Service_Providers!$C$2:$C$104,MATCH($M173,Service_Providers!$A$2:$A$104,0))&lt;&gt;"",INDEX(Service_Providers!$D$2:$D$104,MATCH($M173,Service_Providers!$A$2:$A$104,0))&lt;&gt;""),CHAR(10),"")&amp;IF(INDEX(Service_Providers!$D$2:$D$104,MATCH($M173,Service_Providers!$A$2:$A$104,0))="","",INDEX(Service_Providers!$D$2:$D$104,MATCH($M173,Service_Providers!$A$2:$A$104,0))),"Provider not found"))</f>
        <v/>
      </c>
    </row>
    <row r="174" spans="12:14" x14ac:dyDescent="0.25">
      <c r="L174" s="11" t="str">
        <f>IF($K174="","",IFERROR(IF(INDEX(Service_Providers!$C$2:$C$104,MATCH($K174,Service_Providers!$A$2:$A$104,0))="","",INDEX(Service_Providers!$C$2:$C$104,MATCH($K174,Service_Providers!$A$2:$A$104,0)))&amp;IF(AND(INDEX(Service_Providers!$C$2:$C$104,MATCH($K174,Service_Providers!$A$2:$A$104,0))&lt;&gt;"",INDEX(Service_Providers!$D$2:$D$104,MATCH($K174,Service_Providers!$A$2:$A$104,0))&lt;&gt;""),CHAR(10),"")&amp;IF(INDEX(Service_Providers!$D$2:$D$104,MATCH($K174,Service_Providers!$A$2:$A$104,0))="","",INDEX(Service_Providers!$D$2:$D$104,MATCH($K174,Service_Providers!$A$2:$A$104,0))),"Provider not found"))</f>
        <v/>
      </c>
      <c r="N174" s="11" t="str">
        <f>IF($M174="","",IFERROR(IF(INDEX(Service_Providers!$C$2:$C$104,MATCH($M174,Service_Providers!$A$2:$A$104,0))="","",INDEX(Service_Providers!$C$2:$C$104,MATCH($M174,Service_Providers!$A$2:$A$104,0)))&amp;IF(AND(INDEX(Service_Providers!$C$2:$C$104,MATCH($M174,Service_Providers!$A$2:$A$104,0))&lt;&gt;"",INDEX(Service_Providers!$D$2:$D$104,MATCH($M174,Service_Providers!$A$2:$A$104,0))&lt;&gt;""),CHAR(10),"")&amp;IF(INDEX(Service_Providers!$D$2:$D$104,MATCH($M174,Service_Providers!$A$2:$A$104,0))="","",INDEX(Service_Providers!$D$2:$D$104,MATCH($M174,Service_Providers!$A$2:$A$104,0))),"Provider not found"))</f>
        <v/>
      </c>
    </row>
    <row r="175" spans="12:14" x14ac:dyDescent="0.25">
      <c r="L175" s="11" t="str">
        <f>IF($K175="","",IFERROR(IF(INDEX(Service_Providers!$C$2:$C$104,MATCH($K175,Service_Providers!$A$2:$A$104,0))="","",INDEX(Service_Providers!$C$2:$C$104,MATCH($K175,Service_Providers!$A$2:$A$104,0)))&amp;IF(AND(INDEX(Service_Providers!$C$2:$C$104,MATCH($K175,Service_Providers!$A$2:$A$104,0))&lt;&gt;"",INDEX(Service_Providers!$D$2:$D$104,MATCH($K175,Service_Providers!$A$2:$A$104,0))&lt;&gt;""),CHAR(10),"")&amp;IF(INDEX(Service_Providers!$D$2:$D$104,MATCH($K175,Service_Providers!$A$2:$A$104,0))="","",INDEX(Service_Providers!$D$2:$D$104,MATCH($K175,Service_Providers!$A$2:$A$104,0))),"Provider not found"))</f>
        <v/>
      </c>
      <c r="N175" s="11" t="str">
        <f>IF($M175="","",IFERROR(IF(INDEX(Service_Providers!$C$2:$C$104,MATCH($M175,Service_Providers!$A$2:$A$104,0))="","",INDEX(Service_Providers!$C$2:$C$104,MATCH($M175,Service_Providers!$A$2:$A$104,0)))&amp;IF(AND(INDEX(Service_Providers!$C$2:$C$104,MATCH($M175,Service_Providers!$A$2:$A$104,0))&lt;&gt;"",INDEX(Service_Providers!$D$2:$D$104,MATCH($M175,Service_Providers!$A$2:$A$104,0))&lt;&gt;""),CHAR(10),"")&amp;IF(INDEX(Service_Providers!$D$2:$D$104,MATCH($M175,Service_Providers!$A$2:$A$104,0))="","",INDEX(Service_Providers!$D$2:$D$104,MATCH($M175,Service_Providers!$A$2:$A$104,0))),"Provider not found"))</f>
        <v/>
      </c>
    </row>
    <row r="176" spans="12:14" x14ac:dyDescent="0.25">
      <c r="L176" s="11" t="str">
        <f>IF($K176="","",IFERROR(IF(INDEX(Service_Providers!$C$2:$C$104,MATCH($K176,Service_Providers!$A$2:$A$104,0))="","",INDEX(Service_Providers!$C$2:$C$104,MATCH($K176,Service_Providers!$A$2:$A$104,0)))&amp;IF(AND(INDEX(Service_Providers!$C$2:$C$104,MATCH($K176,Service_Providers!$A$2:$A$104,0))&lt;&gt;"",INDEX(Service_Providers!$D$2:$D$104,MATCH($K176,Service_Providers!$A$2:$A$104,0))&lt;&gt;""),CHAR(10),"")&amp;IF(INDEX(Service_Providers!$D$2:$D$104,MATCH($K176,Service_Providers!$A$2:$A$104,0))="","",INDEX(Service_Providers!$D$2:$D$104,MATCH($K176,Service_Providers!$A$2:$A$104,0))),"Provider not found"))</f>
        <v/>
      </c>
      <c r="N176" s="11" t="str">
        <f>IF($M176="","",IFERROR(IF(INDEX(Service_Providers!$C$2:$C$104,MATCH($M176,Service_Providers!$A$2:$A$104,0))="","",INDEX(Service_Providers!$C$2:$C$104,MATCH($M176,Service_Providers!$A$2:$A$104,0)))&amp;IF(AND(INDEX(Service_Providers!$C$2:$C$104,MATCH($M176,Service_Providers!$A$2:$A$104,0))&lt;&gt;"",INDEX(Service_Providers!$D$2:$D$104,MATCH($M176,Service_Providers!$A$2:$A$104,0))&lt;&gt;""),CHAR(10),"")&amp;IF(INDEX(Service_Providers!$D$2:$D$104,MATCH($M176,Service_Providers!$A$2:$A$104,0))="","",INDEX(Service_Providers!$D$2:$D$104,MATCH($M176,Service_Providers!$A$2:$A$104,0))),"Provider not found"))</f>
        <v/>
      </c>
    </row>
    <row r="177" spans="12:14" x14ac:dyDescent="0.25">
      <c r="L177" s="11" t="str">
        <f>IF($K177="","",IFERROR(IF(INDEX(Service_Providers!$C$2:$C$104,MATCH($K177,Service_Providers!$A$2:$A$104,0))="","",INDEX(Service_Providers!$C$2:$C$104,MATCH($K177,Service_Providers!$A$2:$A$104,0)))&amp;IF(AND(INDEX(Service_Providers!$C$2:$C$104,MATCH($K177,Service_Providers!$A$2:$A$104,0))&lt;&gt;"",INDEX(Service_Providers!$D$2:$D$104,MATCH($K177,Service_Providers!$A$2:$A$104,0))&lt;&gt;""),CHAR(10),"")&amp;IF(INDEX(Service_Providers!$D$2:$D$104,MATCH($K177,Service_Providers!$A$2:$A$104,0))="","",INDEX(Service_Providers!$D$2:$D$104,MATCH($K177,Service_Providers!$A$2:$A$104,0))),"Provider not found"))</f>
        <v/>
      </c>
      <c r="N177" s="11" t="str">
        <f>IF($M177="","",IFERROR(IF(INDEX(Service_Providers!$C$2:$C$104,MATCH($M177,Service_Providers!$A$2:$A$104,0))="","",INDEX(Service_Providers!$C$2:$C$104,MATCH($M177,Service_Providers!$A$2:$A$104,0)))&amp;IF(AND(INDEX(Service_Providers!$C$2:$C$104,MATCH($M177,Service_Providers!$A$2:$A$104,0))&lt;&gt;"",INDEX(Service_Providers!$D$2:$D$104,MATCH($M177,Service_Providers!$A$2:$A$104,0))&lt;&gt;""),CHAR(10),"")&amp;IF(INDEX(Service_Providers!$D$2:$D$104,MATCH($M177,Service_Providers!$A$2:$A$104,0))="","",INDEX(Service_Providers!$D$2:$D$104,MATCH($M177,Service_Providers!$A$2:$A$104,0))),"Provider not found"))</f>
        <v/>
      </c>
    </row>
    <row r="178" spans="12:14" x14ac:dyDescent="0.25">
      <c r="L178" s="11" t="str">
        <f>IF($K178="","",IFERROR(IF(INDEX(Service_Providers!$C$2:$C$104,MATCH($K178,Service_Providers!$A$2:$A$104,0))="","",INDEX(Service_Providers!$C$2:$C$104,MATCH($K178,Service_Providers!$A$2:$A$104,0)))&amp;IF(AND(INDEX(Service_Providers!$C$2:$C$104,MATCH($K178,Service_Providers!$A$2:$A$104,0))&lt;&gt;"",INDEX(Service_Providers!$D$2:$D$104,MATCH($K178,Service_Providers!$A$2:$A$104,0))&lt;&gt;""),CHAR(10),"")&amp;IF(INDEX(Service_Providers!$D$2:$D$104,MATCH($K178,Service_Providers!$A$2:$A$104,0))="","",INDEX(Service_Providers!$D$2:$D$104,MATCH($K178,Service_Providers!$A$2:$A$104,0))),"Provider not found"))</f>
        <v/>
      </c>
      <c r="N178" s="11" t="str">
        <f>IF($M178="","",IFERROR(IF(INDEX(Service_Providers!$C$2:$C$104,MATCH($M178,Service_Providers!$A$2:$A$104,0))="","",INDEX(Service_Providers!$C$2:$C$104,MATCH($M178,Service_Providers!$A$2:$A$104,0)))&amp;IF(AND(INDEX(Service_Providers!$C$2:$C$104,MATCH($M178,Service_Providers!$A$2:$A$104,0))&lt;&gt;"",INDEX(Service_Providers!$D$2:$D$104,MATCH($M178,Service_Providers!$A$2:$A$104,0))&lt;&gt;""),CHAR(10),"")&amp;IF(INDEX(Service_Providers!$D$2:$D$104,MATCH($M178,Service_Providers!$A$2:$A$104,0))="","",INDEX(Service_Providers!$D$2:$D$104,MATCH($M178,Service_Providers!$A$2:$A$104,0))),"Provider not found"))</f>
        <v/>
      </c>
    </row>
    <row r="179" spans="12:14" x14ac:dyDescent="0.25">
      <c r="L179" s="11" t="str">
        <f>IF($K179="","",IFERROR(IF(INDEX(Service_Providers!$C$2:$C$104,MATCH($K179,Service_Providers!$A$2:$A$104,0))="","",INDEX(Service_Providers!$C$2:$C$104,MATCH($K179,Service_Providers!$A$2:$A$104,0)))&amp;IF(AND(INDEX(Service_Providers!$C$2:$C$104,MATCH($K179,Service_Providers!$A$2:$A$104,0))&lt;&gt;"",INDEX(Service_Providers!$D$2:$D$104,MATCH($K179,Service_Providers!$A$2:$A$104,0))&lt;&gt;""),CHAR(10),"")&amp;IF(INDEX(Service_Providers!$D$2:$D$104,MATCH($K179,Service_Providers!$A$2:$A$104,0))="","",INDEX(Service_Providers!$D$2:$D$104,MATCH($K179,Service_Providers!$A$2:$A$104,0))),"Provider not found"))</f>
        <v/>
      </c>
      <c r="N179" s="11" t="str">
        <f>IF($M179="","",IFERROR(IF(INDEX(Service_Providers!$C$2:$C$104,MATCH($M179,Service_Providers!$A$2:$A$104,0))="","",INDEX(Service_Providers!$C$2:$C$104,MATCH($M179,Service_Providers!$A$2:$A$104,0)))&amp;IF(AND(INDEX(Service_Providers!$C$2:$C$104,MATCH($M179,Service_Providers!$A$2:$A$104,0))&lt;&gt;"",INDEX(Service_Providers!$D$2:$D$104,MATCH($M179,Service_Providers!$A$2:$A$104,0))&lt;&gt;""),CHAR(10),"")&amp;IF(INDEX(Service_Providers!$D$2:$D$104,MATCH($M179,Service_Providers!$A$2:$A$104,0))="","",INDEX(Service_Providers!$D$2:$D$104,MATCH($M179,Service_Providers!$A$2:$A$104,0))),"Provider not found"))</f>
        <v/>
      </c>
    </row>
    <row r="180" spans="12:14" x14ac:dyDescent="0.25">
      <c r="L180" s="11" t="str">
        <f>IF($K180="","",IFERROR(IF(INDEX(Service_Providers!$C$2:$C$104,MATCH($K180,Service_Providers!$A$2:$A$104,0))="","",INDEX(Service_Providers!$C$2:$C$104,MATCH($K180,Service_Providers!$A$2:$A$104,0)))&amp;IF(AND(INDEX(Service_Providers!$C$2:$C$104,MATCH($K180,Service_Providers!$A$2:$A$104,0))&lt;&gt;"",INDEX(Service_Providers!$D$2:$D$104,MATCH($K180,Service_Providers!$A$2:$A$104,0))&lt;&gt;""),CHAR(10),"")&amp;IF(INDEX(Service_Providers!$D$2:$D$104,MATCH($K180,Service_Providers!$A$2:$A$104,0))="","",INDEX(Service_Providers!$D$2:$D$104,MATCH($K180,Service_Providers!$A$2:$A$104,0))),"Provider not found"))</f>
        <v/>
      </c>
      <c r="N180" s="11" t="str">
        <f>IF($M180="","",IFERROR(IF(INDEX(Service_Providers!$C$2:$C$104,MATCH($M180,Service_Providers!$A$2:$A$104,0))="","",INDEX(Service_Providers!$C$2:$C$104,MATCH($M180,Service_Providers!$A$2:$A$104,0)))&amp;IF(AND(INDEX(Service_Providers!$C$2:$C$104,MATCH($M180,Service_Providers!$A$2:$A$104,0))&lt;&gt;"",INDEX(Service_Providers!$D$2:$D$104,MATCH($M180,Service_Providers!$A$2:$A$104,0))&lt;&gt;""),CHAR(10),"")&amp;IF(INDEX(Service_Providers!$D$2:$D$104,MATCH($M180,Service_Providers!$A$2:$A$104,0))="","",INDEX(Service_Providers!$D$2:$D$104,MATCH($M180,Service_Providers!$A$2:$A$104,0))),"Provider not found"))</f>
        <v/>
      </c>
    </row>
    <row r="181" spans="12:14" x14ac:dyDescent="0.25">
      <c r="L181" s="11" t="str">
        <f>IF($K181="","",IFERROR(IF(INDEX(Service_Providers!$C$2:$C$104,MATCH($K181,Service_Providers!$A$2:$A$104,0))="","",INDEX(Service_Providers!$C$2:$C$104,MATCH($K181,Service_Providers!$A$2:$A$104,0)))&amp;IF(AND(INDEX(Service_Providers!$C$2:$C$104,MATCH($K181,Service_Providers!$A$2:$A$104,0))&lt;&gt;"",INDEX(Service_Providers!$D$2:$D$104,MATCH($K181,Service_Providers!$A$2:$A$104,0))&lt;&gt;""),CHAR(10),"")&amp;IF(INDEX(Service_Providers!$D$2:$D$104,MATCH($K181,Service_Providers!$A$2:$A$104,0))="","",INDEX(Service_Providers!$D$2:$D$104,MATCH($K181,Service_Providers!$A$2:$A$104,0))),"Provider not found"))</f>
        <v/>
      </c>
      <c r="N181" s="11" t="str">
        <f>IF($M181="","",IFERROR(IF(INDEX(Service_Providers!$C$2:$C$104,MATCH($M181,Service_Providers!$A$2:$A$104,0))="","",INDEX(Service_Providers!$C$2:$C$104,MATCH($M181,Service_Providers!$A$2:$A$104,0)))&amp;IF(AND(INDEX(Service_Providers!$C$2:$C$104,MATCH($M181,Service_Providers!$A$2:$A$104,0))&lt;&gt;"",INDEX(Service_Providers!$D$2:$D$104,MATCH($M181,Service_Providers!$A$2:$A$104,0))&lt;&gt;""),CHAR(10),"")&amp;IF(INDEX(Service_Providers!$D$2:$D$104,MATCH($M181,Service_Providers!$A$2:$A$104,0))="","",INDEX(Service_Providers!$D$2:$D$104,MATCH($M181,Service_Providers!$A$2:$A$104,0))),"Provider not found"))</f>
        <v/>
      </c>
    </row>
    <row r="182" spans="12:14" x14ac:dyDescent="0.25">
      <c r="L182" s="11" t="str">
        <f>IF($K182="","",IFERROR(IF(INDEX(Service_Providers!$C$2:$C$104,MATCH($K182,Service_Providers!$A$2:$A$104,0))="","",INDEX(Service_Providers!$C$2:$C$104,MATCH($K182,Service_Providers!$A$2:$A$104,0)))&amp;IF(AND(INDEX(Service_Providers!$C$2:$C$104,MATCH($K182,Service_Providers!$A$2:$A$104,0))&lt;&gt;"",INDEX(Service_Providers!$D$2:$D$104,MATCH($K182,Service_Providers!$A$2:$A$104,0))&lt;&gt;""),CHAR(10),"")&amp;IF(INDEX(Service_Providers!$D$2:$D$104,MATCH($K182,Service_Providers!$A$2:$A$104,0))="","",INDEX(Service_Providers!$D$2:$D$104,MATCH($K182,Service_Providers!$A$2:$A$104,0))),"Provider not found"))</f>
        <v/>
      </c>
      <c r="N182" s="11" t="str">
        <f>IF($M182="","",IFERROR(IF(INDEX(Service_Providers!$C$2:$C$104,MATCH($M182,Service_Providers!$A$2:$A$104,0))="","",INDEX(Service_Providers!$C$2:$C$104,MATCH($M182,Service_Providers!$A$2:$A$104,0)))&amp;IF(AND(INDEX(Service_Providers!$C$2:$C$104,MATCH($M182,Service_Providers!$A$2:$A$104,0))&lt;&gt;"",INDEX(Service_Providers!$D$2:$D$104,MATCH($M182,Service_Providers!$A$2:$A$104,0))&lt;&gt;""),CHAR(10),"")&amp;IF(INDEX(Service_Providers!$D$2:$D$104,MATCH($M182,Service_Providers!$A$2:$A$104,0))="","",INDEX(Service_Providers!$D$2:$D$104,MATCH($M182,Service_Providers!$A$2:$A$104,0))),"Provider not found"))</f>
        <v/>
      </c>
    </row>
    <row r="183" spans="12:14" x14ac:dyDescent="0.25">
      <c r="L183" s="11" t="str">
        <f>IF($K183="","",IFERROR(IF(INDEX(Service_Providers!$C$2:$C$104,MATCH($K183,Service_Providers!$A$2:$A$104,0))="","",INDEX(Service_Providers!$C$2:$C$104,MATCH($K183,Service_Providers!$A$2:$A$104,0)))&amp;IF(AND(INDEX(Service_Providers!$C$2:$C$104,MATCH($K183,Service_Providers!$A$2:$A$104,0))&lt;&gt;"",INDEX(Service_Providers!$D$2:$D$104,MATCH($K183,Service_Providers!$A$2:$A$104,0))&lt;&gt;""),CHAR(10),"")&amp;IF(INDEX(Service_Providers!$D$2:$D$104,MATCH($K183,Service_Providers!$A$2:$A$104,0))="","",INDEX(Service_Providers!$D$2:$D$104,MATCH($K183,Service_Providers!$A$2:$A$104,0))),"Provider not found"))</f>
        <v/>
      </c>
      <c r="N183" s="11" t="str">
        <f>IF($M183="","",IFERROR(IF(INDEX(Service_Providers!$C$2:$C$104,MATCH($M183,Service_Providers!$A$2:$A$104,0))="","",INDEX(Service_Providers!$C$2:$C$104,MATCH($M183,Service_Providers!$A$2:$A$104,0)))&amp;IF(AND(INDEX(Service_Providers!$C$2:$C$104,MATCH($M183,Service_Providers!$A$2:$A$104,0))&lt;&gt;"",INDEX(Service_Providers!$D$2:$D$104,MATCH($M183,Service_Providers!$A$2:$A$104,0))&lt;&gt;""),CHAR(10),"")&amp;IF(INDEX(Service_Providers!$D$2:$D$104,MATCH($M183,Service_Providers!$A$2:$A$104,0))="","",INDEX(Service_Providers!$D$2:$D$104,MATCH($M183,Service_Providers!$A$2:$A$104,0))),"Provider not found"))</f>
        <v/>
      </c>
    </row>
    <row r="184" spans="12:14" x14ac:dyDescent="0.25">
      <c r="L184" s="11" t="str">
        <f>IF($K184="","",IFERROR(IF(INDEX(Service_Providers!$C$2:$C$104,MATCH($K184,Service_Providers!$A$2:$A$104,0))="","",INDEX(Service_Providers!$C$2:$C$104,MATCH($K184,Service_Providers!$A$2:$A$104,0)))&amp;IF(AND(INDEX(Service_Providers!$C$2:$C$104,MATCH($K184,Service_Providers!$A$2:$A$104,0))&lt;&gt;"",INDEX(Service_Providers!$D$2:$D$104,MATCH($K184,Service_Providers!$A$2:$A$104,0))&lt;&gt;""),CHAR(10),"")&amp;IF(INDEX(Service_Providers!$D$2:$D$104,MATCH($K184,Service_Providers!$A$2:$A$104,0))="","",INDEX(Service_Providers!$D$2:$D$104,MATCH($K184,Service_Providers!$A$2:$A$104,0))),"Provider not found"))</f>
        <v/>
      </c>
      <c r="N184" s="11" t="str">
        <f>IF($M184="","",IFERROR(IF(INDEX(Service_Providers!$C$2:$C$104,MATCH($M184,Service_Providers!$A$2:$A$104,0))="","",INDEX(Service_Providers!$C$2:$C$104,MATCH($M184,Service_Providers!$A$2:$A$104,0)))&amp;IF(AND(INDEX(Service_Providers!$C$2:$C$104,MATCH($M184,Service_Providers!$A$2:$A$104,0))&lt;&gt;"",INDEX(Service_Providers!$D$2:$D$104,MATCH($M184,Service_Providers!$A$2:$A$104,0))&lt;&gt;""),CHAR(10),"")&amp;IF(INDEX(Service_Providers!$D$2:$D$104,MATCH($M184,Service_Providers!$A$2:$A$104,0))="","",INDEX(Service_Providers!$D$2:$D$104,MATCH($M184,Service_Providers!$A$2:$A$104,0))),"Provider not found"))</f>
        <v/>
      </c>
    </row>
    <row r="185" spans="12:14" x14ac:dyDescent="0.25">
      <c r="L185" s="11" t="str">
        <f>IF($K185="","",IFERROR(IF(INDEX(Service_Providers!$C$2:$C$104,MATCH($K185,Service_Providers!$A$2:$A$104,0))="","",INDEX(Service_Providers!$C$2:$C$104,MATCH($K185,Service_Providers!$A$2:$A$104,0)))&amp;IF(AND(INDEX(Service_Providers!$C$2:$C$104,MATCH($K185,Service_Providers!$A$2:$A$104,0))&lt;&gt;"",INDEX(Service_Providers!$D$2:$D$104,MATCH($K185,Service_Providers!$A$2:$A$104,0))&lt;&gt;""),CHAR(10),"")&amp;IF(INDEX(Service_Providers!$D$2:$D$104,MATCH($K185,Service_Providers!$A$2:$A$104,0))="","",INDEX(Service_Providers!$D$2:$D$104,MATCH($K185,Service_Providers!$A$2:$A$104,0))),"Provider not found"))</f>
        <v/>
      </c>
      <c r="N185" s="11" t="str">
        <f>IF($M185="","",IFERROR(IF(INDEX(Service_Providers!$C$2:$C$104,MATCH($M185,Service_Providers!$A$2:$A$104,0))="","",INDEX(Service_Providers!$C$2:$C$104,MATCH($M185,Service_Providers!$A$2:$A$104,0)))&amp;IF(AND(INDEX(Service_Providers!$C$2:$C$104,MATCH($M185,Service_Providers!$A$2:$A$104,0))&lt;&gt;"",INDEX(Service_Providers!$D$2:$D$104,MATCH($M185,Service_Providers!$A$2:$A$104,0))&lt;&gt;""),CHAR(10),"")&amp;IF(INDEX(Service_Providers!$D$2:$D$104,MATCH($M185,Service_Providers!$A$2:$A$104,0))="","",INDEX(Service_Providers!$D$2:$D$104,MATCH($M185,Service_Providers!$A$2:$A$104,0))),"Provider not found"))</f>
        <v/>
      </c>
    </row>
    <row r="186" spans="12:14" x14ac:dyDescent="0.25">
      <c r="L186" s="11" t="str">
        <f>IF($K186="","",IFERROR(IF(INDEX(Service_Providers!$C$2:$C$104,MATCH($K186,Service_Providers!$A$2:$A$104,0))="","",INDEX(Service_Providers!$C$2:$C$104,MATCH($K186,Service_Providers!$A$2:$A$104,0)))&amp;IF(AND(INDEX(Service_Providers!$C$2:$C$104,MATCH($K186,Service_Providers!$A$2:$A$104,0))&lt;&gt;"",INDEX(Service_Providers!$D$2:$D$104,MATCH($K186,Service_Providers!$A$2:$A$104,0))&lt;&gt;""),CHAR(10),"")&amp;IF(INDEX(Service_Providers!$D$2:$D$104,MATCH($K186,Service_Providers!$A$2:$A$104,0))="","",INDEX(Service_Providers!$D$2:$D$104,MATCH($K186,Service_Providers!$A$2:$A$104,0))),"Provider not found"))</f>
        <v/>
      </c>
      <c r="N186" s="11" t="str">
        <f>IF($M186="","",IFERROR(IF(INDEX(Service_Providers!$C$2:$C$104,MATCH($M186,Service_Providers!$A$2:$A$104,0))="","",INDEX(Service_Providers!$C$2:$C$104,MATCH($M186,Service_Providers!$A$2:$A$104,0)))&amp;IF(AND(INDEX(Service_Providers!$C$2:$C$104,MATCH($M186,Service_Providers!$A$2:$A$104,0))&lt;&gt;"",INDEX(Service_Providers!$D$2:$D$104,MATCH($M186,Service_Providers!$A$2:$A$104,0))&lt;&gt;""),CHAR(10),"")&amp;IF(INDEX(Service_Providers!$D$2:$D$104,MATCH($M186,Service_Providers!$A$2:$A$104,0))="","",INDEX(Service_Providers!$D$2:$D$104,MATCH($M186,Service_Providers!$A$2:$A$104,0))),"Provider not found"))</f>
        <v/>
      </c>
    </row>
    <row r="187" spans="12:14" x14ac:dyDescent="0.25">
      <c r="L187" s="11" t="str">
        <f>IF($K187="","",IFERROR(IF(INDEX(Service_Providers!$C$2:$C$104,MATCH($K187,Service_Providers!$A$2:$A$104,0))="","",INDEX(Service_Providers!$C$2:$C$104,MATCH($K187,Service_Providers!$A$2:$A$104,0)))&amp;IF(AND(INDEX(Service_Providers!$C$2:$C$104,MATCH($K187,Service_Providers!$A$2:$A$104,0))&lt;&gt;"",INDEX(Service_Providers!$D$2:$D$104,MATCH($K187,Service_Providers!$A$2:$A$104,0))&lt;&gt;""),CHAR(10),"")&amp;IF(INDEX(Service_Providers!$D$2:$D$104,MATCH($K187,Service_Providers!$A$2:$A$104,0))="","",INDEX(Service_Providers!$D$2:$D$104,MATCH($K187,Service_Providers!$A$2:$A$104,0))),"Provider not found"))</f>
        <v/>
      </c>
      <c r="N187" s="11" t="str">
        <f>IF($M187="","",IFERROR(IF(INDEX(Service_Providers!$C$2:$C$104,MATCH($M187,Service_Providers!$A$2:$A$104,0))="","",INDEX(Service_Providers!$C$2:$C$104,MATCH($M187,Service_Providers!$A$2:$A$104,0)))&amp;IF(AND(INDEX(Service_Providers!$C$2:$C$104,MATCH($M187,Service_Providers!$A$2:$A$104,0))&lt;&gt;"",INDEX(Service_Providers!$D$2:$D$104,MATCH($M187,Service_Providers!$A$2:$A$104,0))&lt;&gt;""),CHAR(10),"")&amp;IF(INDEX(Service_Providers!$D$2:$D$104,MATCH($M187,Service_Providers!$A$2:$A$104,0))="","",INDEX(Service_Providers!$D$2:$D$104,MATCH($M187,Service_Providers!$A$2:$A$104,0))),"Provider not found"))</f>
        <v/>
      </c>
    </row>
    <row r="188" spans="12:14" x14ac:dyDescent="0.25">
      <c r="L188" s="11" t="str">
        <f>IF($K188="","",IFERROR(IF(INDEX(Service_Providers!$C$2:$C$104,MATCH($K188,Service_Providers!$A$2:$A$104,0))="","",INDEX(Service_Providers!$C$2:$C$104,MATCH($K188,Service_Providers!$A$2:$A$104,0)))&amp;IF(AND(INDEX(Service_Providers!$C$2:$C$104,MATCH($K188,Service_Providers!$A$2:$A$104,0))&lt;&gt;"",INDEX(Service_Providers!$D$2:$D$104,MATCH($K188,Service_Providers!$A$2:$A$104,0))&lt;&gt;""),CHAR(10),"")&amp;IF(INDEX(Service_Providers!$D$2:$D$104,MATCH($K188,Service_Providers!$A$2:$A$104,0))="","",INDEX(Service_Providers!$D$2:$D$104,MATCH($K188,Service_Providers!$A$2:$A$104,0))),"Provider not found"))</f>
        <v/>
      </c>
      <c r="N188" s="11" t="str">
        <f>IF($M188="","",IFERROR(IF(INDEX(Service_Providers!$C$2:$C$104,MATCH($M188,Service_Providers!$A$2:$A$104,0))="","",INDEX(Service_Providers!$C$2:$C$104,MATCH($M188,Service_Providers!$A$2:$A$104,0)))&amp;IF(AND(INDEX(Service_Providers!$C$2:$C$104,MATCH($M188,Service_Providers!$A$2:$A$104,0))&lt;&gt;"",INDEX(Service_Providers!$D$2:$D$104,MATCH($M188,Service_Providers!$A$2:$A$104,0))&lt;&gt;""),CHAR(10),"")&amp;IF(INDEX(Service_Providers!$D$2:$D$104,MATCH($M188,Service_Providers!$A$2:$A$104,0))="","",INDEX(Service_Providers!$D$2:$D$104,MATCH($M188,Service_Providers!$A$2:$A$104,0))),"Provider not found"))</f>
        <v/>
      </c>
    </row>
    <row r="189" spans="12:14" x14ac:dyDescent="0.25">
      <c r="L189" s="11" t="str">
        <f>IF($K189="","",IFERROR(IF(INDEX(Service_Providers!$C$2:$C$104,MATCH($K189,Service_Providers!$A$2:$A$104,0))="","",INDEX(Service_Providers!$C$2:$C$104,MATCH($K189,Service_Providers!$A$2:$A$104,0)))&amp;IF(AND(INDEX(Service_Providers!$C$2:$C$104,MATCH($K189,Service_Providers!$A$2:$A$104,0))&lt;&gt;"",INDEX(Service_Providers!$D$2:$D$104,MATCH($K189,Service_Providers!$A$2:$A$104,0))&lt;&gt;""),CHAR(10),"")&amp;IF(INDEX(Service_Providers!$D$2:$D$104,MATCH($K189,Service_Providers!$A$2:$A$104,0))="","",INDEX(Service_Providers!$D$2:$D$104,MATCH($K189,Service_Providers!$A$2:$A$104,0))),"Provider not found"))</f>
        <v/>
      </c>
      <c r="N189" s="11" t="str">
        <f>IF($M189="","",IFERROR(IF(INDEX(Service_Providers!$C$2:$C$104,MATCH($M189,Service_Providers!$A$2:$A$104,0))="","",INDEX(Service_Providers!$C$2:$C$104,MATCH($M189,Service_Providers!$A$2:$A$104,0)))&amp;IF(AND(INDEX(Service_Providers!$C$2:$C$104,MATCH($M189,Service_Providers!$A$2:$A$104,0))&lt;&gt;"",INDEX(Service_Providers!$D$2:$D$104,MATCH($M189,Service_Providers!$A$2:$A$104,0))&lt;&gt;""),CHAR(10),"")&amp;IF(INDEX(Service_Providers!$D$2:$D$104,MATCH($M189,Service_Providers!$A$2:$A$104,0))="","",INDEX(Service_Providers!$D$2:$D$104,MATCH($M189,Service_Providers!$A$2:$A$104,0))),"Provider not found"))</f>
        <v/>
      </c>
    </row>
    <row r="190" spans="12:14" x14ac:dyDescent="0.25">
      <c r="L190" s="11" t="str">
        <f>IF($K190="","",IFERROR(IF(INDEX(Service_Providers!$C$2:$C$104,MATCH($K190,Service_Providers!$A$2:$A$104,0))="","",INDEX(Service_Providers!$C$2:$C$104,MATCH($K190,Service_Providers!$A$2:$A$104,0)))&amp;IF(AND(INDEX(Service_Providers!$C$2:$C$104,MATCH($K190,Service_Providers!$A$2:$A$104,0))&lt;&gt;"",INDEX(Service_Providers!$D$2:$D$104,MATCH($K190,Service_Providers!$A$2:$A$104,0))&lt;&gt;""),CHAR(10),"")&amp;IF(INDEX(Service_Providers!$D$2:$D$104,MATCH($K190,Service_Providers!$A$2:$A$104,0))="","",INDEX(Service_Providers!$D$2:$D$104,MATCH($K190,Service_Providers!$A$2:$A$104,0))),"Provider not found"))</f>
        <v/>
      </c>
      <c r="N190" s="11" t="str">
        <f>IF($M190="","",IFERROR(IF(INDEX(Service_Providers!$C$2:$C$104,MATCH($M190,Service_Providers!$A$2:$A$104,0))="","",INDEX(Service_Providers!$C$2:$C$104,MATCH($M190,Service_Providers!$A$2:$A$104,0)))&amp;IF(AND(INDEX(Service_Providers!$C$2:$C$104,MATCH($M190,Service_Providers!$A$2:$A$104,0))&lt;&gt;"",INDEX(Service_Providers!$D$2:$D$104,MATCH($M190,Service_Providers!$A$2:$A$104,0))&lt;&gt;""),CHAR(10),"")&amp;IF(INDEX(Service_Providers!$D$2:$D$104,MATCH($M190,Service_Providers!$A$2:$A$104,0))="","",INDEX(Service_Providers!$D$2:$D$104,MATCH($M190,Service_Providers!$A$2:$A$104,0))),"Provider not found"))</f>
        <v/>
      </c>
    </row>
    <row r="191" spans="12:14" x14ac:dyDescent="0.25">
      <c r="L191" s="11" t="str">
        <f>IF($K191="","",IFERROR(IF(INDEX(Service_Providers!$C$2:$C$104,MATCH($K191,Service_Providers!$A$2:$A$104,0))="","",INDEX(Service_Providers!$C$2:$C$104,MATCH($K191,Service_Providers!$A$2:$A$104,0)))&amp;IF(AND(INDEX(Service_Providers!$C$2:$C$104,MATCH($K191,Service_Providers!$A$2:$A$104,0))&lt;&gt;"",INDEX(Service_Providers!$D$2:$D$104,MATCH($K191,Service_Providers!$A$2:$A$104,0))&lt;&gt;""),CHAR(10),"")&amp;IF(INDEX(Service_Providers!$D$2:$D$104,MATCH($K191,Service_Providers!$A$2:$A$104,0))="","",INDEX(Service_Providers!$D$2:$D$104,MATCH($K191,Service_Providers!$A$2:$A$104,0))),"Provider not found"))</f>
        <v/>
      </c>
      <c r="N191" s="11" t="str">
        <f>IF($M191="","",IFERROR(IF(INDEX(Service_Providers!$C$2:$C$104,MATCH($M191,Service_Providers!$A$2:$A$104,0))="","",INDEX(Service_Providers!$C$2:$C$104,MATCH($M191,Service_Providers!$A$2:$A$104,0)))&amp;IF(AND(INDEX(Service_Providers!$C$2:$C$104,MATCH($M191,Service_Providers!$A$2:$A$104,0))&lt;&gt;"",INDEX(Service_Providers!$D$2:$D$104,MATCH($M191,Service_Providers!$A$2:$A$104,0))&lt;&gt;""),CHAR(10),"")&amp;IF(INDEX(Service_Providers!$D$2:$D$104,MATCH($M191,Service_Providers!$A$2:$A$104,0))="","",INDEX(Service_Providers!$D$2:$D$104,MATCH($M191,Service_Providers!$A$2:$A$104,0))),"Provider not found"))</f>
        <v/>
      </c>
    </row>
    <row r="192" spans="12:14" x14ac:dyDescent="0.25">
      <c r="L192" s="11" t="str">
        <f>IF($K192="","",IFERROR(IF(INDEX(Service_Providers!$C$2:$C$104,MATCH($K192,Service_Providers!$A$2:$A$104,0))="","",INDEX(Service_Providers!$C$2:$C$104,MATCH($K192,Service_Providers!$A$2:$A$104,0)))&amp;IF(AND(INDEX(Service_Providers!$C$2:$C$104,MATCH($K192,Service_Providers!$A$2:$A$104,0))&lt;&gt;"",INDEX(Service_Providers!$D$2:$D$104,MATCH($K192,Service_Providers!$A$2:$A$104,0))&lt;&gt;""),CHAR(10),"")&amp;IF(INDEX(Service_Providers!$D$2:$D$104,MATCH($K192,Service_Providers!$A$2:$A$104,0))="","",INDEX(Service_Providers!$D$2:$D$104,MATCH($K192,Service_Providers!$A$2:$A$104,0))),"Provider not found"))</f>
        <v/>
      </c>
      <c r="N192" s="11" t="str">
        <f>IF($M192="","",IFERROR(IF(INDEX(Service_Providers!$C$2:$C$104,MATCH($M192,Service_Providers!$A$2:$A$104,0))="","",INDEX(Service_Providers!$C$2:$C$104,MATCH($M192,Service_Providers!$A$2:$A$104,0)))&amp;IF(AND(INDEX(Service_Providers!$C$2:$C$104,MATCH($M192,Service_Providers!$A$2:$A$104,0))&lt;&gt;"",INDEX(Service_Providers!$D$2:$D$104,MATCH($M192,Service_Providers!$A$2:$A$104,0))&lt;&gt;""),CHAR(10),"")&amp;IF(INDEX(Service_Providers!$D$2:$D$104,MATCH($M192,Service_Providers!$A$2:$A$104,0))="","",INDEX(Service_Providers!$D$2:$D$104,MATCH($M192,Service_Providers!$A$2:$A$104,0))),"Provider not found"))</f>
        <v/>
      </c>
    </row>
    <row r="193" spans="12:14" x14ac:dyDescent="0.25">
      <c r="L193" s="11" t="str">
        <f>IF($K193="","",IFERROR(IF(INDEX(Service_Providers!$C$2:$C$104,MATCH($K193,Service_Providers!$A$2:$A$104,0))="","",INDEX(Service_Providers!$C$2:$C$104,MATCH($K193,Service_Providers!$A$2:$A$104,0)))&amp;IF(AND(INDEX(Service_Providers!$C$2:$C$104,MATCH($K193,Service_Providers!$A$2:$A$104,0))&lt;&gt;"",INDEX(Service_Providers!$D$2:$D$104,MATCH($K193,Service_Providers!$A$2:$A$104,0))&lt;&gt;""),CHAR(10),"")&amp;IF(INDEX(Service_Providers!$D$2:$D$104,MATCH($K193,Service_Providers!$A$2:$A$104,0))="","",INDEX(Service_Providers!$D$2:$D$104,MATCH($K193,Service_Providers!$A$2:$A$104,0))),"Provider not found"))</f>
        <v/>
      </c>
      <c r="N193" s="11" t="str">
        <f>IF($M193="","",IFERROR(IF(INDEX(Service_Providers!$C$2:$C$104,MATCH($M193,Service_Providers!$A$2:$A$104,0))="","",INDEX(Service_Providers!$C$2:$C$104,MATCH($M193,Service_Providers!$A$2:$A$104,0)))&amp;IF(AND(INDEX(Service_Providers!$C$2:$C$104,MATCH($M193,Service_Providers!$A$2:$A$104,0))&lt;&gt;"",INDEX(Service_Providers!$D$2:$D$104,MATCH($M193,Service_Providers!$A$2:$A$104,0))&lt;&gt;""),CHAR(10),"")&amp;IF(INDEX(Service_Providers!$D$2:$D$104,MATCH($M193,Service_Providers!$A$2:$A$104,0))="","",INDEX(Service_Providers!$D$2:$D$104,MATCH($M193,Service_Providers!$A$2:$A$104,0))),"Provider not found"))</f>
        <v/>
      </c>
    </row>
    <row r="194" spans="12:14" x14ac:dyDescent="0.25">
      <c r="L194" s="11" t="str">
        <f>IF($K194="","",IFERROR(IF(INDEX(Service_Providers!$C$2:$C$104,MATCH($K194,Service_Providers!$A$2:$A$104,0))="","",INDEX(Service_Providers!$C$2:$C$104,MATCH($K194,Service_Providers!$A$2:$A$104,0)))&amp;IF(AND(INDEX(Service_Providers!$C$2:$C$104,MATCH($K194,Service_Providers!$A$2:$A$104,0))&lt;&gt;"",INDEX(Service_Providers!$D$2:$D$104,MATCH($K194,Service_Providers!$A$2:$A$104,0))&lt;&gt;""),CHAR(10),"")&amp;IF(INDEX(Service_Providers!$D$2:$D$104,MATCH($K194,Service_Providers!$A$2:$A$104,0))="","",INDEX(Service_Providers!$D$2:$D$104,MATCH($K194,Service_Providers!$A$2:$A$104,0))),"Provider not found"))</f>
        <v/>
      </c>
      <c r="N194" s="11" t="str">
        <f>IF($M194="","",IFERROR(IF(INDEX(Service_Providers!$C$2:$C$104,MATCH($M194,Service_Providers!$A$2:$A$104,0))="","",INDEX(Service_Providers!$C$2:$C$104,MATCH($M194,Service_Providers!$A$2:$A$104,0)))&amp;IF(AND(INDEX(Service_Providers!$C$2:$C$104,MATCH($M194,Service_Providers!$A$2:$A$104,0))&lt;&gt;"",INDEX(Service_Providers!$D$2:$D$104,MATCH($M194,Service_Providers!$A$2:$A$104,0))&lt;&gt;""),CHAR(10),"")&amp;IF(INDEX(Service_Providers!$D$2:$D$104,MATCH($M194,Service_Providers!$A$2:$A$104,0))="","",INDEX(Service_Providers!$D$2:$D$104,MATCH($M194,Service_Providers!$A$2:$A$104,0))),"Provider not found"))</f>
        <v/>
      </c>
    </row>
    <row r="195" spans="12:14" x14ac:dyDescent="0.25">
      <c r="L195" s="11" t="str">
        <f>IF($K195="","",IFERROR(IF(INDEX(Service_Providers!$C$2:$C$104,MATCH($K195,Service_Providers!$A$2:$A$104,0))="","",INDEX(Service_Providers!$C$2:$C$104,MATCH($K195,Service_Providers!$A$2:$A$104,0)))&amp;IF(AND(INDEX(Service_Providers!$C$2:$C$104,MATCH($K195,Service_Providers!$A$2:$A$104,0))&lt;&gt;"",INDEX(Service_Providers!$D$2:$D$104,MATCH($K195,Service_Providers!$A$2:$A$104,0))&lt;&gt;""),CHAR(10),"")&amp;IF(INDEX(Service_Providers!$D$2:$D$104,MATCH($K195,Service_Providers!$A$2:$A$104,0))="","",INDEX(Service_Providers!$D$2:$D$104,MATCH($K195,Service_Providers!$A$2:$A$104,0))),"Provider not found"))</f>
        <v/>
      </c>
      <c r="N195" s="11" t="str">
        <f>IF($M195="","",IFERROR(IF(INDEX(Service_Providers!$C$2:$C$104,MATCH($M195,Service_Providers!$A$2:$A$104,0))="","",INDEX(Service_Providers!$C$2:$C$104,MATCH($M195,Service_Providers!$A$2:$A$104,0)))&amp;IF(AND(INDEX(Service_Providers!$C$2:$C$104,MATCH($M195,Service_Providers!$A$2:$A$104,0))&lt;&gt;"",INDEX(Service_Providers!$D$2:$D$104,MATCH($M195,Service_Providers!$A$2:$A$104,0))&lt;&gt;""),CHAR(10),"")&amp;IF(INDEX(Service_Providers!$D$2:$D$104,MATCH($M195,Service_Providers!$A$2:$A$104,0))="","",INDEX(Service_Providers!$D$2:$D$104,MATCH($M195,Service_Providers!$A$2:$A$104,0))),"Provider not found"))</f>
        <v/>
      </c>
    </row>
    <row r="196" spans="12:14" x14ac:dyDescent="0.25">
      <c r="L196" s="11" t="str">
        <f>IF($K196="","",IFERROR(IF(INDEX(Service_Providers!$C$2:$C$104,MATCH($K196,Service_Providers!$A$2:$A$104,0))="","",INDEX(Service_Providers!$C$2:$C$104,MATCH($K196,Service_Providers!$A$2:$A$104,0)))&amp;IF(AND(INDEX(Service_Providers!$C$2:$C$104,MATCH($K196,Service_Providers!$A$2:$A$104,0))&lt;&gt;"",INDEX(Service_Providers!$D$2:$D$104,MATCH($K196,Service_Providers!$A$2:$A$104,0))&lt;&gt;""),CHAR(10),"")&amp;IF(INDEX(Service_Providers!$D$2:$D$104,MATCH($K196,Service_Providers!$A$2:$A$104,0))="","",INDEX(Service_Providers!$D$2:$D$104,MATCH($K196,Service_Providers!$A$2:$A$104,0))),"Provider not found"))</f>
        <v/>
      </c>
      <c r="N196" s="11" t="str">
        <f>IF($M196="","",IFERROR(IF(INDEX(Service_Providers!$C$2:$C$104,MATCH($M196,Service_Providers!$A$2:$A$104,0))="","",INDEX(Service_Providers!$C$2:$C$104,MATCH($M196,Service_Providers!$A$2:$A$104,0)))&amp;IF(AND(INDEX(Service_Providers!$C$2:$C$104,MATCH($M196,Service_Providers!$A$2:$A$104,0))&lt;&gt;"",INDEX(Service_Providers!$D$2:$D$104,MATCH($M196,Service_Providers!$A$2:$A$104,0))&lt;&gt;""),CHAR(10),"")&amp;IF(INDEX(Service_Providers!$D$2:$D$104,MATCH($M196,Service_Providers!$A$2:$A$104,0))="","",INDEX(Service_Providers!$D$2:$D$104,MATCH($M196,Service_Providers!$A$2:$A$104,0))),"Provider not found"))</f>
        <v/>
      </c>
    </row>
    <row r="197" spans="12:14" x14ac:dyDescent="0.25">
      <c r="L197" s="11" t="str">
        <f>IF($K197="","",IFERROR(IF(INDEX(Service_Providers!$C$2:$C$104,MATCH($K197,Service_Providers!$A$2:$A$104,0))="","",INDEX(Service_Providers!$C$2:$C$104,MATCH($K197,Service_Providers!$A$2:$A$104,0)))&amp;IF(AND(INDEX(Service_Providers!$C$2:$C$104,MATCH($K197,Service_Providers!$A$2:$A$104,0))&lt;&gt;"",INDEX(Service_Providers!$D$2:$D$104,MATCH($K197,Service_Providers!$A$2:$A$104,0))&lt;&gt;""),CHAR(10),"")&amp;IF(INDEX(Service_Providers!$D$2:$D$104,MATCH($K197,Service_Providers!$A$2:$A$104,0))="","",INDEX(Service_Providers!$D$2:$D$104,MATCH($K197,Service_Providers!$A$2:$A$104,0))),"Provider not found"))</f>
        <v/>
      </c>
      <c r="N197" s="11" t="str">
        <f>IF($M197="","",IFERROR(IF(INDEX(Service_Providers!$C$2:$C$104,MATCH($M197,Service_Providers!$A$2:$A$104,0))="","",INDEX(Service_Providers!$C$2:$C$104,MATCH($M197,Service_Providers!$A$2:$A$104,0)))&amp;IF(AND(INDEX(Service_Providers!$C$2:$C$104,MATCH($M197,Service_Providers!$A$2:$A$104,0))&lt;&gt;"",INDEX(Service_Providers!$D$2:$D$104,MATCH($M197,Service_Providers!$A$2:$A$104,0))&lt;&gt;""),CHAR(10),"")&amp;IF(INDEX(Service_Providers!$D$2:$D$104,MATCH($M197,Service_Providers!$A$2:$A$104,0))="","",INDEX(Service_Providers!$D$2:$D$104,MATCH($M197,Service_Providers!$A$2:$A$104,0))),"Provider not found"))</f>
        <v/>
      </c>
    </row>
    <row r="198" spans="12:14" x14ac:dyDescent="0.25">
      <c r="L198" s="11" t="str">
        <f>IF($K198="","",IFERROR(IF(INDEX(Service_Providers!$C$2:$C$104,MATCH($K198,Service_Providers!$A$2:$A$104,0))="","",INDEX(Service_Providers!$C$2:$C$104,MATCH($K198,Service_Providers!$A$2:$A$104,0)))&amp;IF(AND(INDEX(Service_Providers!$C$2:$C$104,MATCH($K198,Service_Providers!$A$2:$A$104,0))&lt;&gt;"",INDEX(Service_Providers!$D$2:$D$104,MATCH($K198,Service_Providers!$A$2:$A$104,0))&lt;&gt;""),CHAR(10),"")&amp;IF(INDEX(Service_Providers!$D$2:$D$104,MATCH($K198,Service_Providers!$A$2:$A$104,0))="","",INDEX(Service_Providers!$D$2:$D$104,MATCH($K198,Service_Providers!$A$2:$A$104,0))),"Provider not found"))</f>
        <v/>
      </c>
      <c r="N198" s="11" t="str">
        <f>IF($M198="","",IFERROR(IF(INDEX(Service_Providers!$C$2:$C$104,MATCH($M198,Service_Providers!$A$2:$A$104,0))="","",INDEX(Service_Providers!$C$2:$C$104,MATCH($M198,Service_Providers!$A$2:$A$104,0)))&amp;IF(AND(INDEX(Service_Providers!$C$2:$C$104,MATCH($M198,Service_Providers!$A$2:$A$104,0))&lt;&gt;"",INDEX(Service_Providers!$D$2:$D$104,MATCH($M198,Service_Providers!$A$2:$A$104,0))&lt;&gt;""),CHAR(10),"")&amp;IF(INDEX(Service_Providers!$D$2:$D$104,MATCH($M198,Service_Providers!$A$2:$A$104,0))="","",INDEX(Service_Providers!$D$2:$D$104,MATCH($M198,Service_Providers!$A$2:$A$104,0))),"Provider not found"))</f>
        <v/>
      </c>
    </row>
    <row r="199" spans="12:14" x14ac:dyDescent="0.25">
      <c r="L199" s="11" t="str">
        <f>IF($K199="","",IFERROR(IF(INDEX(Service_Providers!$C$2:$C$104,MATCH($K199,Service_Providers!$A$2:$A$104,0))="","",INDEX(Service_Providers!$C$2:$C$104,MATCH($K199,Service_Providers!$A$2:$A$104,0)))&amp;IF(AND(INDEX(Service_Providers!$C$2:$C$104,MATCH($K199,Service_Providers!$A$2:$A$104,0))&lt;&gt;"",INDEX(Service_Providers!$D$2:$D$104,MATCH($K199,Service_Providers!$A$2:$A$104,0))&lt;&gt;""),CHAR(10),"")&amp;IF(INDEX(Service_Providers!$D$2:$D$104,MATCH($K199,Service_Providers!$A$2:$A$104,0))="","",INDEX(Service_Providers!$D$2:$D$104,MATCH($K199,Service_Providers!$A$2:$A$104,0))),"Provider not found"))</f>
        <v/>
      </c>
      <c r="N199" s="11" t="str">
        <f>IF($M199="","",IFERROR(IF(INDEX(Service_Providers!$C$2:$C$104,MATCH($M199,Service_Providers!$A$2:$A$104,0))="","",INDEX(Service_Providers!$C$2:$C$104,MATCH($M199,Service_Providers!$A$2:$A$104,0)))&amp;IF(AND(INDEX(Service_Providers!$C$2:$C$104,MATCH($M199,Service_Providers!$A$2:$A$104,0))&lt;&gt;"",INDEX(Service_Providers!$D$2:$D$104,MATCH($M199,Service_Providers!$A$2:$A$104,0))&lt;&gt;""),CHAR(10),"")&amp;IF(INDEX(Service_Providers!$D$2:$D$104,MATCH($M199,Service_Providers!$A$2:$A$104,0))="","",INDEX(Service_Providers!$D$2:$D$104,MATCH($M199,Service_Providers!$A$2:$A$104,0))),"Provider not found"))</f>
        <v/>
      </c>
    </row>
    <row r="200" spans="12:14" x14ac:dyDescent="0.25">
      <c r="L200" s="11" t="str">
        <f>IF($K200="","",IFERROR(IF(INDEX(Service_Providers!$C$2:$C$104,MATCH($K200,Service_Providers!$A$2:$A$104,0))="","",INDEX(Service_Providers!$C$2:$C$104,MATCH($K200,Service_Providers!$A$2:$A$104,0)))&amp;IF(AND(INDEX(Service_Providers!$C$2:$C$104,MATCH($K200,Service_Providers!$A$2:$A$104,0))&lt;&gt;"",INDEX(Service_Providers!$D$2:$D$104,MATCH($K200,Service_Providers!$A$2:$A$104,0))&lt;&gt;""),CHAR(10),"")&amp;IF(INDEX(Service_Providers!$D$2:$D$104,MATCH($K200,Service_Providers!$A$2:$A$104,0))="","",INDEX(Service_Providers!$D$2:$D$104,MATCH($K200,Service_Providers!$A$2:$A$104,0))),"Provider not found"))</f>
        <v/>
      </c>
      <c r="N200" s="11" t="str">
        <f>IF($M200="","",IFERROR(IF(INDEX(Service_Providers!$C$2:$C$104,MATCH($M200,Service_Providers!$A$2:$A$104,0))="","",INDEX(Service_Providers!$C$2:$C$104,MATCH($M200,Service_Providers!$A$2:$A$104,0)))&amp;IF(AND(INDEX(Service_Providers!$C$2:$C$104,MATCH($M200,Service_Providers!$A$2:$A$104,0))&lt;&gt;"",INDEX(Service_Providers!$D$2:$D$104,MATCH($M200,Service_Providers!$A$2:$A$104,0))&lt;&gt;""),CHAR(10),"")&amp;IF(INDEX(Service_Providers!$D$2:$D$104,MATCH($M200,Service_Providers!$A$2:$A$104,0))="","",INDEX(Service_Providers!$D$2:$D$104,MATCH($M200,Service_Providers!$A$2:$A$104,0))),"Provider not found"))</f>
        <v/>
      </c>
    </row>
    <row r="201" spans="12:14" x14ac:dyDescent="0.25">
      <c r="L201" s="11" t="str">
        <f>IF($K201="","",IFERROR(IF(INDEX(Service_Providers!$C$2:$C$104,MATCH($K201,Service_Providers!$A$2:$A$104,0))="","",INDEX(Service_Providers!$C$2:$C$104,MATCH($K201,Service_Providers!$A$2:$A$104,0)))&amp;IF(AND(INDEX(Service_Providers!$C$2:$C$104,MATCH($K201,Service_Providers!$A$2:$A$104,0))&lt;&gt;"",INDEX(Service_Providers!$D$2:$D$104,MATCH($K201,Service_Providers!$A$2:$A$104,0))&lt;&gt;""),CHAR(10),"")&amp;IF(INDEX(Service_Providers!$D$2:$D$104,MATCH($K201,Service_Providers!$A$2:$A$104,0))="","",INDEX(Service_Providers!$D$2:$D$104,MATCH($K201,Service_Providers!$A$2:$A$104,0))),"Provider not found"))</f>
        <v/>
      </c>
      <c r="N201" s="11" t="str">
        <f>IF($M201="","",IFERROR(IF(INDEX(Service_Providers!$C$2:$C$104,MATCH($M201,Service_Providers!$A$2:$A$104,0))="","",INDEX(Service_Providers!$C$2:$C$104,MATCH($M201,Service_Providers!$A$2:$A$104,0)))&amp;IF(AND(INDEX(Service_Providers!$C$2:$C$104,MATCH($M201,Service_Providers!$A$2:$A$104,0))&lt;&gt;"",INDEX(Service_Providers!$D$2:$D$104,MATCH($M201,Service_Providers!$A$2:$A$104,0))&lt;&gt;""),CHAR(10),"")&amp;IF(INDEX(Service_Providers!$D$2:$D$104,MATCH($M201,Service_Providers!$A$2:$A$104,0))="","",INDEX(Service_Providers!$D$2:$D$104,MATCH($M201,Service_Providers!$A$2:$A$104,0))),"Provider not found"))</f>
        <v/>
      </c>
    </row>
    <row r="202" spans="12:14" x14ac:dyDescent="0.25">
      <c r="L202" s="11" t="str">
        <f>IF($K202="","",IFERROR(IF(INDEX(Service_Providers!$C$2:$C$104,MATCH($K202,Service_Providers!$A$2:$A$104,0))="","",INDEX(Service_Providers!$C$2:$C$104,MATCH($K202,Service_Providers!$A$2:$A$104,0)))&amp;IF(AND(INDEX(Service_Providers!$C$2:$C$104,MATCH($K202,Service_Providers!$A$2:$A$104,0))&lt;&gt;"",INDEX(Service_Providers!$D$2:$D$104,MATCH($K202,Service_Providers!$A$2:$A$104,0))&lt;&gt;""),CHAR(10),"")&amp;IF(INDEX(Service_Providers!$D$2:$D$104,MATCH($K202,Service_Providers!$A$2:$A$104,0))="","",INDEX(Service_Providers!$D$2:$D$104,MATCH($K202,Service_Providers!$A$2:$A$104,0))),"Provider not found"))</f>
        <v/>
      </c>
      <c r="N202" s="11" t="str">
        <f>IF($M202="","",IFERROR(IF(INDEX(Service_Providers!$C$2:$C$104,MATCH($M202,Service_Providers!$A$2:$A$104,0))="","",INDEX(Service_Providers!$C$2:$C$104,MATCH($M202,Service_Providers!$A$2:$A$104,0)))&amp;IF(AND(INDEX(Service_Providers!$C$2:$C$104,MATCH($M202,Service_Providers!$A$2:$A$104,0))&lt;&gt;"",INDEX(Service_Providers!$D$2:$D$104,MATCH($M202,Service_Providers!$A$2:$A$104,0))&lt;&gt;""),CHAR(10),"")&amp;IF(INDEX(Service_Providers!$D$2:$D$104,MATCH($M202,Service_Providers!$A$2:$A$104,0))="","",INDEX(Service_Providers!$D$2:$D$104,MATCH($M202,Service_Providers!$A$2:$A$104,0))),"Provider not found"))</f>
        <v/>
      </c>
    </row>
    <row r="203" spans="12:14" x14ac:dyDescent="0.25">
      <c r="L203" s="11" t="str">
        <f>IF($K203="","",IFERROR(IF(INDEX(Service_Providers!$C$2:$C$104,MATCH($K203,Service_Providers!$A$2:$A$104,0))="","",INDEX(Service_Providers!$C$2:$C$104,MATCH($K203,Service_Providers!$A$2:$A$104,0)))&amp;IF(AND(INDEX(Service_Providers!$C$2:$C$104,MATCH($K203,Service_Providers!$A$2:$A$104,0))&lt;&gt;"",INDEX(Service_Providers!$D$2:$D$104,MATCH($K203,Service_Providers!$A$2:$A$104,0))&lt;&gt;""),CHAR(10),"")&amp;IF(INDEX(Service_Providers!$D$2:$D$104,MATCH($K203,Service_Providers!$A$2:$A$104,0))="","",INDEX(Service_Providers!$D$2:$D$104,MATCH($K203,Service_Providers!$A$2:$A$104,0))),"Provider not found"))</f>
        <v/>
      </c>
      <c r="N203" s="11" t="str">
        <f>IF($M203="","",IFERROR(IF(INDEX(Service_Providers!$C$2:$C$104,MATCH($M203,Service_Providers!$A$2:$A$104,0))="","",INDEX(Service_Providers!$C$2:$C$104,MATCH($M203,Service_Providers!$A$2:$A$104,0)))&amp;IF(AND(INDEX(Service_Providers!$C$2:$C$104,MATCH($M203,Service_Providers!$A$2:$A$104,0))&lt;&gt;"",INDEX(Service_Providers!$D$2:$D$104,MATCH($M203,Service_Providers!$A$2:$A$104,0))&lt;&gt;""),CHAR(10),"")&amp;IF(INDEX(Service_Providers!$D$2:$D$104,MATCH($M203,Service_Providers!$A$2:$A$104,0))="","",INDEX(Service_Providers!$D$2:$D$104,MATCH($M203,Service_Providers!$A$2:$A$104,0))),"Provider not found"))</f>
        <v/>
      </c>
    </row>
    <row r="204" spans="12:14" x14ac:dyDescent="0.25">
      <c r="L204" s="11" t="str">
        <f>IF($K204="","",IFERROR(IF(INDEX(Service_Providers!$C$2:$C$104,MATCH($K204,Service_Providers!$A$2:$A$104,0))="","",INDEX(Service_Providers!$C$2:$C$104,MATCH($K204,Service_Providers!$A$2:$A$104,0)))&amp;IF(AND(INDEX(Service_Providers!$C$2:$C$104,MATCH($K204,Service_Providers!$A$2:$A$104,0))&lt;&gt;"",INDEX(Service_Providers!$D$2:$D$104,MATCH($K204,Service_Providers!$A$2:$A$104,0))&lt;&gt;""),CHAR(10),"")&amp;IF(INDEX(Service_Providers!$D$2:$D$104,MATCH($K204,Service_Providers!$A$2:$A$104,0))="","",INDEX(Service_Providers!$D$2:$D$104,MATCH($K204,Service_Providers!$A$2:$A$104,0))),"Provider not found"))</f>
        <v/>
      </c>
      <c r="N204" s="11" t="str">
        <f>IF($M204="","",IFERROR(IF(INDEX(Service_Providers!$C$2:$C$104,MATCH($M204,Service_Providers!$A$2:$A$104,0))="","",INDEX(Service_Providers!$C$2:$C$104,MATCH($M204,Service_Providers!$A$2:$A$104,0)))&amp;IF(AND(INDEX(Service_Providers!$C$2:$C$104,MATCH($M204,Service_Providers!$A$2:$A$104,0))&lt;&gt;"",INDEX(Service_Providers!$D$2:$D$104,MATCH($M204,Service_Providers!$A$2:$A$104,0))&lt;&gt;""),CHAR(10),"")&amp;IF(INDEX(Service_Providers!$D$2:$D$104,MATCH($M204,Service_Providers!$A$2:$A$104,0))="","",INDEX(Service_Providers!$D$2:$D$104,MATCH($M204,Service_Providers!$A$2:$A$104,0))),"Provider not found"))</f>
        <v/>
      </c>
    </row>
    <row r="205" spans="12:14" x14ac:dyDescent="0.25">
      <c r="L205" s="11" t="str">
        <f>IF($K205="","",IFERROR(IF(INDEX(Service_Providers!$C$2:$C$104,MATCH($K205,Service_Providers!$A$2:$A$104,0))="","",INDEX(Service_Providers!$C$2:$C$104,MATCH($K205,Service_Providers!$A$2:$A$104,0)))&amp;IF(AND(INDEX(Service_Providers!$C$2:$C$104,MATCH($K205,Service_Providers!$A$2:$A$104,0))&lt;&gt;"",INDEX(Service_Providers!$D$2:$D$104,MATCH($K205,Service_Providers!$A$2:$A$104,0))&lt;&gt;""),CHAR(10),"")&amp;IF(INDEX(Service_Providers!$D$2:$D$104,MATCH($K205,Service_Providers!$A$2:$A$104,0))="","",INDEX(Service_Providers!$D$2:$D$104,MATCH($K205,Service_Providers!$A$2:$A$104,0))),"Provider not found"))</f>
        <v/>
      </c>
      <c r="N205" s="11" t="str">
        <f>IF($M205="","",IFERROR(IF(INDEX(Service_Providers!$C$2:$C$104,MATCH($M205,Service_Providers!$A$2:$A$104,0))="","",INDEX(Service_Providers!$C$2:$C$104,MATCH($M205,Service_Providers!$A$2:$A$104,0)))&amp;IF(AND(INDEX(Service_Providers!$C$2:$C$104,MATCH($M205,Service_Providers!$A$2:$A$104,0))&lt;&gt;"",INDEX(Service_Providers!$D$2:$D$104,MATCH($M205,Service_Providers!$A$2:$A$104,0))&lt;&gt;""),CHAR(10),"")&amp;IF(INDEX(Service_Providers!$D$2:$D$104,MATCH($M205,Service_Providers!$A$2:$A$104,0))="","",INDEX(Service_Providers!$D$2:$D$104,MATCH($M205,Service_Providers!$A$2:$A$104,0))),"Provider not found"))</f>
        <v/>
      </c>
    </row>
    <row r="206" spans="12:14" x14ac:dyDescent="0.25">
      <c r="L206" s="11" t="str">
        <f>IF($K206="","",IFERROR(IF(INDEX(Service_Providers!$C$2:$C$104,MATCH($K206,Service_Providers!$A$2:$A$104,0))="","",INDEX(Service_Providers!$C$2:$C$104,MATCH($K206,Service_Providers!$A$2:$A$104,0)))&amp;IF(AND(INDEX(Service_Providers!$C$2:$C$104,MATCH($K206,Service_Providers!$A$2:$A$104,0))&lt;&gt;"",INDEX(Service_Providers!$D$2:$D$104,MATCH($K206,Service_Providers!$A$2:$A$104,0))&lt;&gt;""),CHAR(10),"")&amp;IF(INDEX(Service_Providers!$D$2:$D$104,MATCH($K206,Service_Providers!$A$2:$A$104,0))="","",INDEX(Service_Providers!$D$2:$D$104,MATCH($K206,Service_Providers!$A$2:$A$104,0))),"Provider not found"))</f>
        <v/>
      </c>
      <c r="N206" s="11" t="str">
        <f>IF($M206="","",IFERROR(IF(INDEX(Service_Providers!$C$2:$C$104,MATCH($M206,Service_Providers!$A$2:$A$104,0))="","",INDEX(Service_Providers!$C$2:$C$104,MATCH($M206,Service_Providers!$A$2:$A$104,0)))&amp;IF(AND(INDEX(Service_Providers!$C$2:$C$104,MATCH($M206,Service_Providers!$A$2:$A$104,0))&lt;&gt;"",INDEX(Service_Providers!$D$2:$D$104,MATCH($M206,Service_Providers!$A$2:$A$104,0))&lt;&gt;""),CHAR(10),"")&amp;IF(INDEX(Service_Providers!$D$2:$D$104,MATCH($M206,Service_Providers!$A$2:$A$104,0))="","",INDEX(Service_Providers!$D$2:$D$104,MATCH($M206,Service_Providers!$A$2:$A$104,0))),"Provider not found"))</f>
        <v/>
      </c>
    </row>
    <row r="207" spans="12:14" x14ac:dyDescent="0.25">
      <c r="L207" s="11" t="str">
        <f>IF($K207="","",IFERROR(IF(INDEX(Service_Providers!$C$2:$C$104,MATCH($K207,Service_Providers!$A$2:$A$104,0))="","",INDEX(Service_Providers!$C$2:$C$104,MATCH($K207,Service_Providers!$A$2:$A$104,0)))&amp;IF(AND(INDEX(Service_Providers!$C$2:$C$104,MATCH($K207,Service_Providers!$A$2:$A$104,0))&lt;&gt;"",INDEX(Service_Providers!$D$2:$D$104,MATCH($K207,Service_Providers!$A$2:$A$104,0))&lt;&gt;""),CHAR(10),"")&amp;IF(INDEX(Service_Providers!$D$2:$D$104,MATCH($K207,Service_Providers!$A$2:$A$104,0))="","",INDEX(Service_Providers!$D$2:$D$104,MATCH($K207,Service_Providers!$A$2:$A$104,0))),"Provider not found"))</f>
        <v/>
      </c>
      <c r="N207" s="11" t="str">
        <f>IF($M207="","",IFERROR(IF(INDEX(Service_Providers!$C$2:$C$104,MATCH($M207,Service_Providers!$A$2:$A$104,0))="","",INDEX(Service_Providers!$C$2:$C$104,MATCH($M207,Service_Providers!$A$2:$A$104,0)))&amp;IF(AND(INDEX(Service_Providers!$C$2:$C$104,MATCH($M207,Service_Providers!$A$2:$A$104,0))&lt;&gt;"",INDEX(Service_Providers!$D$2:$D$104,MATCH($M207,Service_Providers!$A$2:$A$104,0))&lt;&gt;""),CHAR(10),"")&amp;IF(INDEX(Service_Providers!$D$2:$D$104,MATCH($M207,Service_Providers!$A$2:$A$104,0))="","",INDEX(Service_Providers!$D$2:$D$104,MATCH($M207,Service_Providers!$A$2:$A$104,0))),"Provider not found"))</f>
        <v/>
      </c>
    </row>
    <row r="208" spans="12:14" x14ac:dyDescent="0.25">
      <c r="L208" s="11" t="str">
        <f>IF($K208="","",IFERROR(IF(INDEX(Service_Providers!$C$2:$C$104,MATCH($K208,Service_Providers!$A$2:$A$104,0))="","",INDEX(Service_Providers!$C$2:$C$104,MATCH($K208,Service_Providers!$A$2:$A$104,0)))&amp;IF(AND(INDEX(Service_Providers!$C$2:$C$104,MATCH($K208,Service_Providers!$A$2:$A$104,0))&lt;&gt;"",INDEX(Service_Providers!$D$2:$D$104,MATCH($K208,Service_Providers!$A$2:$A$104,0))&lt;&gt;""),CHAR(10),"")&amp;IF(INDEX(Service_Providers!$D$2:$D$104,MATCH($K208,Service_Providers!$A$2:$A$104,0))="","",INDEX(Service_Providers!$D$2:$D$104,MATCH($K208,Service_Providers!$A$2:$A$104,0))),"Provider not found"))</f>
        <v/>
      </c>
      <c r="N208" s="11" t="str">
        <f>IF($M208="","",IFERROR(IF(INDEX(Service_Providers!$C$2:$C$104,MATCH($M208,Service_Providers!$A$2:$A$104,0))="","",INDEX(Service_Providers!$C$2:$C$104,MATCH($M208,Service_Providers!$A$2:$A$104,0)))&amp;IF(AND(INDEX(Service_Providers!$C$2:$C$104,MATCH($M208,Service_Providers!$A$2:$A$104,0))&lt;&gt;"",INDEX(Service_Providers!$D$2:$D$104,MATCH($M208,Service_Providers!$A$2:$A$104,0))&lt;&gt;""),CHAR(10),"")&amp;IF(INDEX(Service_Providers!$D$2:$D$104,MATCH($M208,Service_Providers!$A$2:$A$104,0))="","",INDEX(Service_Providers!$D$2:$D$104,MATCH($M208,Service_Providers!$A$2:$A$104,0))),"Provider not found"))</f>
        <v/>
      </c>
    </row>
    <row r="209" spans="12:14" x14ac:dyDescent="0.25">
      <c r="L209" s="11" t="str">
        <f>IF($K209="","",IFERROR(IF(INDEX(Service_Providers!$C$2:$C$104,MATCH($K209,Service_Providers!$A$2:$A$104,0))="","",INDEX(Service_Providers!$C$2:$C$104,MATCH($K209,Service_Providers!$A$2:$A$104,0)))&amp;IF(AND(INDEX(Service_Providers!$C$2:$C$104,MATCH($K209,Service_Providers!$A$2:$A$104,0))&lt;&gt;"",INDEX(Service_Providers!$D$2:$D$104,MATCH($K209,Service_Providers!$A$2:$A$104,0))&lt;&gt;""),CHAR(10),"")&amp;IF(INDEX(Service_Providers!$D$2:$D$104,MATCH($K209,Service_Providers!$A$2:$A$104,0))="","",INDEX(Service_Providers!$D$2:$D$104,MATCH($K209,Service_Providers!$A$2:$A$104,0))),"Provider not found"))</f>
        <v/>
      </c>
      <c r="N209" s="11" t="str">
        <f>IF($M209="","",IFERROR(IF(INDEX(Service_Providers!$C$2:$C$104,MATCH($M209,Service_Providers!$A$2:$A$104,0))="","",INDEX(Service_Providers!$C$2:$C$104,MATCH($M209,Service_Providers!$A$2:$A$104,0)))&amp;IF(AND(INDEX(Service_Providers!$C$2:$C$104,MATCH($M209,Service_Providers!$A$2:$A$104,0))&lt;&gt;"",INDEX(Service_Providers!$D$2:$D$104,MATCH($M209,Service_Providers!$A$2:$A$104,0))&lt;&gt;""),CHAR(10),"")&amp;IF(INDEX(Service_Providers!$D$2:$D$104,MATCH($M209,Service_Providers!$A$2:$A$104,0))="","",INDEX(Service_Providers!$D$2:$D$104,MATCH($M209,Service_Providers!$A$2:$A$104,0))),"Provider not found"))</f>
        <v/>
      </c>
    </row>
    <row r="210" spans="12:14" x14ac:dyDescent="0.25">
      <c r="L210" s="11" t="str">
        <f>IF($K210="","",IFERROR(IF(INDEX(Service_Providers!$C$2:$C$104,MATCH($K210,Service_Providers!$A$2:$A$104,0))="","",INDEX(Service_Providers!$C$2:$C$104,MATCH($K210,Service_Providers!$A$2:$A$104,0)))&amp;IF(AND(INDEX(Service_Providers!$C$2:$C$104,MATCH($K210,Service_Providers!$A$2:$A$104,0))&lt;&gt;"",INDEX(Service_Providers!$D$2:$D$104,MATCH($K210,Service_Providers!$A$2:$A$104,0))&lt;&gt;""),CHAR(10),"")&amp;IF(INDEX(Service_Providers!$D$2:$D$104,MATCH($K210,Service_Providers!$A$2:$A$104,0))="","",INDEX(Service_Providers!$D$2:$D$104,MATCH($K210,Service_Providers!$A$2:$A$104,0))),"Provider not found"))</f>
        <v/>
      </c>
      <c r="N210" s="11" t="str">
        <f>IF($M210="","",IFERROR(IF(INDEX(Service_Providers!$C$2:$C$104,MATCH($M210,Service_Providers!$A$2:$A$104,0))="","",INDEX(Service_Providers!$C$2:$C$104,MATCH($M210,Service_Providers!$A$2:$A$104,0)))&amp;IF(AND(INDEX(Service_Providers!$C$2:$C$104,MATCH($M210,Service_Providers!$A$2:$A$104,0))&lt;&gt;"",INDEX(Service_Providers!$D$2:$D$104,MATCH($M210,Service_Providers!$A$2:$A$104,0))&lt;&gt;""),CHAR(10),"")&amp;IF(INDEX(Service_Providers!$D$2:$D$104,MATCH($M210,Service_Providers!$A$2:$A$104,0))="","",INDEX(Service_Providers!$D$2:$D$104,MATCH($M210,Service_Providers!$A$2:$A$104,0))),"Provider not found"))</f>
        <v/>
      </c>
    </row>
    <row r="211" spans="12:14" x14ac:dyDescent="0.25">
      <c r="L211" s="11" t="str">
        <f>IF($K211="","",IFERROR(IF(INDEX(Service_Providers!$C$2:$C$104,MATCH($K211,Service_Providers!$A$2:$A$104,0))="","",INDEX(Service_Providers!$C$2:$C$104,MATCH($K211,Service_Providers!$A$2:$A$104,0)))&amp;IF(AND(INDEX(Service_Providers!$C$2:$C$104,MATCH($K211,Service_Providers!$A$2:$A$104,0))&lt;&gt;"",INDEX(Service_Providers!$D$2:$D$104,MATCH($K211,Service_Providers!$A$2:$A$104,0))&lt;&gt;""),CHAR(10),"")&amp;IF(INDEX(Service_Providers!$D$2:$D$104,MATCH($K211,Service_Providers!$A$2:$A$104,0))="","",INDEX(Service_Providers!$D$2:$D$104,MATCH($K211,Service_Providers!$A$2:$A$104,0))),"Provider not found"))</f>
        <v/>
      </c>
      <c r="N211" s="11" t="str">
        <f>IF($M211="","",IFERROR(IF(INDEX(Service_Providers!$C$2:$C$104,MATCH($M211,Service_Providers!$A$2:$A$104,0))="","",INDEX(Service_Providers!$C$2:$C$104,MATCH($M211,Service_Providers!$A$2:$A$104,0)))&amp;IF(AND(INDEX(Service_Providers!$C$2:$C$104,MATCH($M211,Service_Providers!$A$2:$A$104,0))&lt;&gt;"",INDEX(Service_Providers!$D$2:$D$104,MATCH($M211,Service_Providers!$A$2:$A$104,0))&lt;&gt;""),CHAR(10),"")&amp;IF(INDEX(Service_Providers!$D$2:$D$104,MATCH($M211,Service_Providers!$A$2:$A$104,0))="","",INDEX(Service_Providers!$D$2:$D$104,MATCH($M211,Service_Providers!$A$2:$A$104,0))),"Provider not found"))</f>
        <v/>
      </c>
    </row>
    <row r="212" spans="12:14" x14ac:dyDescent="0.25">
      <c r="L212" s="11" t="str">
        <f>IF($K212="","",IFERROR(IF(INDEX(Service_Providers!$C$2:$C$104,MATCH($K212,Service_Providers!$A$2:$A$104,0))="","",INDEX(Service_Providers!$C$2:$C$104,MATCH($K212,Service_Providers!$A$2:$A$104,0)))&amp;IF(AND(INDEX(Service_Providers!$C$2:$C$104,MATCH($K212,Service_Providers!$A$2:$A$104,0))&lt;&gt;"",INDEX(Service_Providers!$D$2:$D$104,MATCH($K212,Service_Providers!$A$2:$A$104,0))&lt;&gt;""),CHAR(10),"")&amp;IF(INDEX(Service_Providers!$D$2:$D$104,MATCH($K212,Service_Providers!$A$2:$A$104,0))="","",INDEX(Service_Providers!$D$2:$D$104,MATCH($K212,Service_Providers!$A$2:$A$104,0))),"Provider not found"))</f>
        <v/>
      </c>
      <c r="N212" s="11" t="str">
        <f>IF($M212="","",IFERROR(IF(INDEX(Service_Providers!$C$2:$C$104,MATCH($M212,Service_Providers!$A$2:$A$104,0))="","",INDEX(Service_Providers!$C$2:$C$104,MATCH($M212,Service_Providers!$A$2:$A$104,0)))&amp;IF(AND(INDEX(Service_Providers!$C$2:$C$104,MATCH($M212,Service_Providers!$A$2:$A$104,0))&lt;&gt;"",INDEX(Service_Providers!$D$2:$D$104,MATCH($M212,Service_Providers!$A$2:$A$104,0))&lt;&gt;""),CHAR(10),"")&amp;IF(INDEX(Service_Providers!$D$2:$D$104,MATCH($M212,Service_Providers!$A$2:$A$104,0))="","",INDEX(Service_Providers!$D$2:$D$104,MATCH($M212,Service_Providers!$A$2:$A$104,0))),"Provider not found"))</f>
        <v/>
      </c>
    </row>
    <row r="213" spans="12:14" x14ac:dyDescent="0.25">
      <c r="L213" s="11" t="str">
        <f>IF($K213="","",IFERROR(IF(INDEX(Service_Providers!$C$2:$C$104,MATCH($K213,Service_Providers!$A$2:$A$104,0))="","",INDEX(Service_Providers!$C$2:$C$104,MATCH($K213,Service_Providers!$A$2:$A$104,0)))&amp;IF(AND(INDEX(Service_Providers!$C$2:$C$104,MATCH($K213,Service_Providers!$A$2:$A$104,0))&lt;&gt;"",INDEX(Service_Providers!$D$2:$D$104,MATCH($K213,Service_Providers!$A$2:$A$104,0))&lt;&gt;""),CHAR(10),"")&amp;IF(INDEX(Service_Providers!$D$2:$D$104,MATCH($K213,Service_Providers!$A$2:$A$104,0))="","",INDEX(Service_Providers!$D$2:$D$104,MATCH($K213,Service_Providers!$A$2:$A$104,0))),"Provider not found"))</f>
        <v/>
      </c>
      <c r="N213" s="11" t="str">
        <f>IF($M213="","",IFERROR(IF(INDEX(Service_Providers!$C$2:$C$104,MATCH($M213,Service_Providers!$A$2:$A$104,0))="","",INDEX(Service_Providers!$C$2:$C$104,MATCH($M213,Service_Providers!$A$2:$A$104,0)))&amp;IF(AND(INDEX(Service_Providers!$C$2:$C$104,MATCH($M213,Service_Providers!$A$2:$A$104,0))&lt;&gt;"",INDEX(Service_Providers!$D$2:$D$104,MATCH($M213,Service_Providers!$A$2:$A$104,0))&lt;&gt;""),CHAR(10),"")&amp;IF(INDEX(Service_Providers!$D$2:$D$104,MATCH($M213,Service_Providers!$A$2:$A$104,0))="","",INDEX(Service_Providers!$D$2:$D$104,MATCH($M213,Service_Providers!$A$2:$A$104,0))),"Provider not found"))</f>
        <v/>
      </c>
    </row>
    <row r="214" spans="12:14" x14ac:dyDescent="0.25">
      <c r="L214" s="11" t="str">
        <f>IF($K214="","",IFERROR(IF(INDEX(Service_Providers!$C$2:$C$104,MATCH($K214,Service_Providers!$A$2:$A$104,0))="","",INDEX(Service_Providers!$C$2:$C$104,MATCH($K214,Service_Providers!$A$2:$A$104,0)))&amp;IF(AND(INDEX(Service_Providers!$C$2:$C$104,MATCH($K214,Service_Providers!$A$2:$A$104,0))&lt;&gt;"",INDEX(Service_Providers!$D$2:$D$104,MATCH($K214,Service_Providers!$A$2:$A$104,0))&lt;&gt;""),CHAR(10),"")&amp;IF(INDEX(Service_Providers!$D$2:$D$104,MATCH($K214,Service_Providers!$A$2:$A$104,0))="","",INDEX(Service_Providers!$D$2:$D$104,MATCH($K214,Service_Providers!$A$2:$A$104,0))),"Provider not found"))</f>
        <v/>
      </c>
      <c r="N214" s="11" t="str">
        <f>IF($M214="","",IFERROR(IF(INDEX(Service_Providers!$C$2:$C$104,MATCH($M214,Service_Providers!$A$2:$A$104,0))="","",INDEX(Service_Providers!$C$2:$C$104,MATCH($M214,Service_Providers!$A$2:$A$104,0)))&amp;IF(AND(INDEX(Service_Providers!$C$2:$C$104,MATCH($M214,Service_Providers!$A$2:$A$104,0))&lt;&gt;"",INDEX(Service_Providers!$D$2:$D$104,MATCH($M214,Service_Providers!$A$2:$A$104,0))&lt;&gt;""),CHAR(10),"")&amp;IF(INDEX(Service_Providers!$D$2:$D$104,MATCH($M214,Service_Providers!$A$2:$A$104,0))="","",INDEX(Service_Providers!$D$2:$D$104,MATCH($M214,Service_Providers!$A$2:$A$104,0))),"Provider not found"))</f>
        <v/>
      </c>
    </row>
    <row r="215" spans="12:14" x14ac:dyDescent="0.25">
      <c r="L215" s="11" t="str">
        <f>IF($K215="","",IFERROR(IF(INDEX(Service_Providers!$C$2:$C$104,MATCH($K215,Service_Providers!$A$2:$A$104,0))="","",INDEX(Service_Providers!$C$2:$C$104,MATCH($K215,Service_Providers!$A$2:$A$104,0)))&amp;IF(AND(INDEX(Service_Providers!$C$2:$C$104,MATCH($K215,Service_Providers!$A$2:$A$104,0))&lt;&gt;"",INDEX(Service_Providers!$D$2:$D$104,MATCH($K215,Service_Providers!$A$2:$A$104,0))&lt;&gt;""),CHAR(10),"")&amp;IF(INDEX(Service_Providers!$D$2:$D$104,MATCH($K215,Service_Providers!$A$2:$A$104,0))="","",INDEX(Service_Providers!$D$2:$D$104,MATCH($K215,Service_Providers!$A$2:$A$104,0))),"Provider not found"))</f>
        <v/>
      </c>
      <c r="N215" s="11" t="str">
        <f>IF($M215="","",IFERROR(IF(INDEX(Service_Providers!$C$2:$C$104,MATCH($M215,Service_Providers!$A$2:$A$104,0))="","",INDEX(Service_Providers!$C$2:$C$104,MATCH($M215,Service_Providers!$A$2:$A$104,0)))&amp;IF(AND(INDEX(Service_Providers!$C$2:$C$104,MATCH($M215,Service_Providers!$A$2:$A$104,0))&lt;&gt;"",INDEX(Service_Providers!$D$2:$D$104,MATCH($M215,Service_Providers!$A$2:$A$104,0))&lt;&gt;""),CHAR(10),"")&amp;IF(INDEX(Service_Providers!$D$2:$D$104,MATCH($M215,Service_Providers!$A$2:$A$104,0))="","",INDEX(Service_Providers!$D$2:$D$104,MATCH($M215,Service_Providers!$A$2:$A$104,0))),"Provider not found"))</f>
        <v/>
      </c>
    </row>
    <row r="216" spans="12:14" x14ac:dyDescent="0.25">
      <c r="L216" s="11" t="str">
        <f>IF($K216="","",IFERROR(IF(INDEX(Service_Providers!$C$2:$C$104,MATCH($K216,Service_Providers!$A$2:$A$104,0))="","",INDEX(Service_Providers!$C$2:$C$104,MATCH($K216,Service_Providers!$A$2:$A$104,0)))&amp;IF(AND(INDEX(Service_Providers!$C$2:$C$104,MATCH($K216,Service_Providers!$A$2:$A$104,0))&lt;&gt;"",INDEX(Service_Providers!$D$2:$D$104,MATCH($K216,Service_Providers!$A$2:$A$104,0))&lt;&gt;""),CHAR(10),"")&amp;IF(INDEX(Service_Providers!$D$2:$D$104,MATCH($K216,Service_Providers!$A$2:$A$104,0))="","",INDEX(Service_Providers!$D$2:$D$104,MATCH($K216,Service_Providers!$A$2:$A$104,0))),"Provider not found"))</f>
        <v/>
      </c>
      <c r="N216" s="11" t="str">
        <f>IF($M216="","",IFERROR(IF(INDEX(Service_Providers!$C$2:$C$104,MATCH($M216,Service_Providers!$A$2:$A$104,0))="","",INDEX(Service_Providers!$C$2:$C$104,MATCH($M216,Service_Providers!$A$2:$A$104,0)))&amp;IF(AND(INDEX(Service_Providers!$C$2:$C$104,MATCH($M216,Service_Providers!$A$2:$A$104,0))&lt;&gt;"",INDEX(Service_Providers!$D$2:$D$104,MATCH($M216,Service_Providers!$A$2:$A$104,0))&lt;&gt;""),CHAR(10),"")&amp;IF(INDEX(Service_Providers!$D$2:$D$104,MATCH($M216,Service_Providers!$A$2:$A$104,0))="","",INDEX(Service_Providers!$D$2:$D$104,MATCH($M216,Service_Providers!$A$2:$A$104,0))),"Provider not found"))</f>
        <v/>
      </c>
    </row>
    <row r="217" spans="12:14" x14ac:dyDescent="0.25">
      <c r="L217" s="11" t="str">
        <f>IF($K217="","",IFERROR(IF(INDEX(Service_Providers!$C$2:$C$104,MATCH($K217,Service_Providers!$A$2:$A$104,0))="","",INDEX(Service_Providers!$C$2:$C$104,MATCH($K217,Service_Providers!$A$2:$A$104,0)))&amp;IF(AND(INDEX(Service_Providers!$C$2:$C$104,MATCH($K217,Service_Providers!$A$2:$A$104,0))&lt;&gt;"",INDEX(Service_Providers!$D$2:$D$104,MATCH($K217,Service_Providers!$A$2:$A$104,0))&lt;&gt;""),CHAR(10),"")&amp;IF(INDEX(Service_Providers!$D$2:$D$104,MATCH($K217,Service_Providers!$A$2:$A$104,0))="","",INDEX(Service_Providers!$D$2:$D$104,MATCH($K217,Service_Providers!$A$2:$A$104,0))),"Provider not found"))</f>
        <v/>
      </c>
      <c r="N217" s="11" t="str">
        <f>IF($M217="","",IFERROR(IF(INDEX(Service_Providers!$C$2:$C$104,MATCH($M217,Service_Providers!$A$2:$A$104,0))="","",INDEX(Service_Providers!$C$2:$C$104,MATCH($M217,Service_Providers!$A$2:$A$104,0)))&amp;IF(AND(INDEX(Service_Providers!$C$2:$C$104,MATCH($M217,Service_Providers!$A$2:$A$104,0))&lt;&gt;"",INDEX(Service_Providers!$D$2:$D$104,MATCH($M217,Service_Providers!$A$2:$A$104,0))&lt;&gt;""),CHAR(10),"")&amp;IF(INDEX(Service_Providers!$D$2:$D$104,MATCH($M217,Service_Providers!$A$2:$A$104,0))="","",INDEX(Service_Providers!$D$2:$D$104,MATCH($M217,Service_Providers!$A$2:$A$104,0))),"Provider not found"))</f>
        <v/>
      </c>
    </row>
    <row r="218" spans="12:14" x14ac:dyDescent="0.25">
      <c r="L218" s="11" t="str">
        <f>IF($K218="","",IFERROR(IF(INDEX(Service_Providers!$C$2:$C$104,MATCH($K218,Service_Providers!$A$2:$A$104,0))="","",INDEX(Service_Providers!$C$2:$C$104,MATCH($K218,Service_Providers!$A$2:$A$104,0)))&amp;IF(AND(INDEX(Service_Providers!$C$2:$C$104,MATCH($K218,Service_Providers!$A$2:$A$104,0))&lt;&gt;"",INDEX(Service_Providers!$D$2:$D$104,MATCH($K218,Service_Providers!$A$2:$A$104,0))&lt;&gt;""),CHAR(10),"")&amp;IF(INDEX(Service_Providers!$D$2:$D$104,MATCH($K218,Service_Providers!$A$2:$A$104,0))="","",INDEX(Service_Providers!$D$2:$D$104,MATCH($K218,Service_Providers!$A$2:$A$104,0))),"Provider not found"))</f>
        <v/>
      </c>
      <c r="N218" s="11" t="str">
        <f>IF($M218="","",IFERROR(IF(INDEX(Service_Providers!$C$2:$C$104,MATCH($M218,Service_Providers!$A$2:$A$104,0))="","",INDEX(Service_Providers!$C$2:$C$104,MATCH($M218,Service_Providers!$A$2:$A$104,0)))&amp;IF(AND(INDEX(Service_Providers!$C$2:$C$104,MATCH($M218,Service_Providers!$A$2:$A$104,0))&lt;&gt;"",INDEX(Service_Providers!$D$2:$D$104,MATCH($M218,Service_Providers!$A$2:$A$104,0))&lt;&gt;""),CHAR(10),"")&amp;IF(INDEX(Service_Providers!$D$2:$D$104,MATCH($M218,Service_Providers!$A$2:$A$104,0))="","",INDEX(Service_Providers!$D$2:$D$104,MATCH($M218,Service_Providers!$A$2:$A$104,0))),"Provider not found"))</f>
        <v/>
      </c>
    </row>
    <row r="219" spans="12:14" x14ac:dyDescent="0.25">
      <c r="L219" s="11" t="str">
        <f>IF($K219="","",IFERROR(IF(INDEX(Service_Providers!$C$2:$C$104,MATCH($K219,Service_Providers!$A$2:$A$104,0))="","",INDEX(Service_Providers!$C$2:$C$104,MATCH($K219,Service_Providers!$A$2:$A$104,0)))&amp;IF(AND(INDEX(Service_Providers!$C$2:$C$104,MATCH($K219,Service_Providers!$A$2:$A$104,0))&lt;&gt;"",INDEX(Service_Providers!$D$2:$D$104,MATCH($K219,Service_Providers!$A$2:$A$104,0))&lt;&gt;""),CHAR(10),"")&amp;IF(INDEX(Service_Providers!$D$2:$D$104,MATCH($K219,Service_Providers!$A$2:$A$104,0))="","",INDEX(Service_Providers!$D$2:$D$104,MATCH($K219,Service_Providers!$A$2:$A$104,0))),"Provider not found"))</f>
        <v/>
      </c>
      <c r="N219" s="11" t="str">
        <f>IF($M219="","",IFERROR(IF(INDEX(Service_Providers!$C$2:$C$104,MATCH($M219,Service_Providers!$A$2:$A$104,0))="","",INDEX(Service_Providers!$C$2:$C$104,MATCH($M219,Service_Providers!$A$2:$A$104,0)))&amp;IF(AND(INDEX(Service_Providers!$C$2:$C$104,MATCH($M219,Service_Providers!$A$2:$A$104,0))&lt;&gt;"",INDEX(Service_Providers!$D$2:$D$104,MATCH($M219,Service_Providers!$A$2:$A$104,0))&lt;&gt;""),CHAR(10),"")&amp;IF(INDEX(Service_Providers!$D$2:$D$104,MATCH($M219,Service_Providers!$A$2:$A$104,0))="","",INDEX(Service_Providers!$D$2:$D$104,MATCH($M219,Service_Providers!$A$2:$A$104,0))),"Provider not found"))</f>
        <v/>
      </c>
    </row>
    <row r="220" spans="12:14" x14ac:dyDescent="0.25">
      <c r="L220" s="11" t="str">
        <f>IF($K220="","",IFERROR(IF(INDEX(Service_Providers!$C$2:$C$104,MATCH($K220,Service_Providers!$A$2:$A$104,0))="","",INDEX(Service_Providers!$C$2:$C$104,MATCH($K220,Service_Providers!$A$2:$A$104,0)))&amp;IF(AND(INDEX(Service_Providers!$C$2:$C$104,MATCH($K220,Service_Providers!$A$2:$A$104,0))&lt;&gt;"",INDEX(Service_Providers!$D$2:$D$104,MATCH($K220,Service_Providers!$A$2:$A$104,0))&lt;&gt;""),CHAR(10),"")&amp;IF(INDEX(Service_Providers!$D$2:$D$104,MATCH($K220,Service_Providers!$A$2:$A$104,0))="","",INDEX(Service_Providers!$D$2:$D$104,MATCH($K220,Service_Providers!$A$2:$A$104,0))),"Provider not found"))</f>
        <v/>
      </c>
      <c r="N220" s="11" t="str">
        <f>IF($M220="","",IFERROR(IF(INDEX(Service_Providers!$C$2:$C$104,MATCH($M220,Service_Providers!$A$2:$A$104,0))="","",INDEX(Service_Providers!$C$2:$C$104,MATCH($M220,Service_Providers!$A$2:$A$104,0)))&amp;IF(AND(INDEX(Service_Providers!$C$2:$C$104,MATCH($M220,Service_Providers!$A$2:$A$104,0))&lt;&gt;"",INDEX(Service_Providers!$D$2:$D$104,MATCH($M220,Service_Providers!$A$2:$A$104,0))&lt;&gt;""),CHAR(10),"")&amp;IF(INDEX(Service_Providers!$D$2:$D$104,MATCH($M220,Service_Providers!$A$2:$A$104,0))="","",INDEX(Service_Providers!$D$2:$D$104,MATCH($M220,Service_Providers!$A$2:$A$104,0))),"Provider not found"))</f>
        <v/>
      </c>
    </row>
    <row r="221" spans="12:14" x14ac:dyDescent="0.25">
      <c r="L221" s="11" t="str">
        <f>IF($K221="","",IFERROR(IF(INDEX(Service_Providers!$C$2:$C$104,MATCH($K221,Service_Providers!$A$2:$A$104,0))="","",INDEX(Service_Providers!$C$2:$C$104,MATCH($K221,Service_Providers!$A$2:$A$104,0)))&amp;IF(AND(INDEX(Service_Providers!$C$2:$C$104,MATCH($K221,Service_Providers!$A$2:$A$104,0))&lt;&gt;"",INDEX(Service_Providers!$D$2:$D$104,MATCH($K221,Service_Providers!$A$2:$A$104,0))&lt;&gt;""),CHAR(10),"")&amp;IF(INDEX(Service_Providers!$D$2:$D$104,MATCH($K221,Service_Providers!$A$2:$A$104,0))="","",INDEX(Service_Providers!$D$2:$D$104,MATCH($K221,Service_Providers!$A$2:$A$104,0))),"Provider not found"))</f>
        <v/>
      </c>
      <c r="N221" s="11" t="str">
        <f>IF($M221="","",IFERROR(IF(INDEX(Service_Providers!$C$2:$C$104,MATCH($M221,Service_Providers!$A$2:$A$104,0))="","",INDEX(Service_Providers!$C$2:$C$104,MATCH($M221,Service_Providers!$A$2:$A$104,0)))&amp;IF(AND(INDEX(Service_Providers!$C$2:$C$104,MATCH($M221,Service_Providers!$A$2:$A$104,0))&lt;&gt;"",INDEX(Service_Providers!$D$2:$D$104,MATCH($M221,Service_Providers!$A$2:$A$104,0))&lt;&gt;""),CHAR(10),"")&amp;IF(INDEX(Service_Providers!$D$2:$D$104,MATCH($M221,Service_Providers!$A$2:$A$104,0))="","",INDEX(Service_Providers!$D$2:$D$104,MATCH($M221,Service_Providers!$A$2:$A$104,0))),"Provider not found"))</f>
        <v/>
      </c>
    </row>
    <row r="222" spans="12:14" x14ac:dyDescent="0.25">
      <c r="L222" s="11" t="str">
        <f>IF($K222="","",IFERROR(IF(INDEX(Service_Providers!$C$2:$C$104,MATCH($K222,Service_Providers!$A$2:$A$104,0))="","",INDEX(Service_Providers!$C$2:$C$104,MATCH($K222,Service_Providers!$A$2:$A$104,0)))&amp;IF(AND(INDEX(Service_Providers!$C$2:$C$104,MATCH($K222,Service_Providers!$A$2:$A$104,0))&lt;&gt;"",INDEX(Service_Providers!$D$2:$D$104,MATCH($K222,Service_Providers!$A$2:$A$104,0))&lt;&gt;""),CHAR(10),"")&amp;IF(INDEX(Service_Providers!$D$2:$D$104,MATCH($K222,Service_Providers!$A$2:$A$104,0))="","",INDEX(Service_Providers!$D$2:$D$104,MATCH($K222,Service_Providers!$A$2:$A$104,0))),"Provider not found"))</f>
        <v/>
      </c>
      <c r="N222" s="11" t="str">
        <f>IF($M222="","",IFERROR(IF(INDEX(Service_Providers!$C$2:$C$104,MATCH($M222,Service_Providers!$A$2:$A$104,0))="","",INDEX(Service_Providers!$C$2:$C$104,MATCH($M222,Service_Providers!$A$2:$A$104,0)))&amp;IF(AND(INDEX(Service_Providers!$C$2:$C$104,MATCH($M222,Service_Providers!$A$2:$A$104,0))&lt;&gt;"",INDEX(Service_Providers!$D$2:$D$104,MATCH($M222,Service_Providers!$A$2:$A$104,0))&lt;&gt;""),CHAR(10),"")&amp;IF(INDEX(Service_Providers!$D$2:$D$104,MATCH($M222,Service_Providers!$A$2:$A$104,0))="","",INDEX(Service_Providers!$D$2:$D$104,MATCH($M222,Service_Providers!$A$2:$A$104,0))),"Provider not found"))</f>
        <v/>
      </c>
    </row>
    <row r="223" spans="12:14" x14ac:dyDescent="0.25">
      <c r="L223" s="11" t="str">
        <f>IF($K223="","",IFERROR(IF(INDEX(Service_Providers!$C$2:$C$104,MATCH($K223,Service_Providers!$A$2:$A$104,0))="","",INDEX(Service_Providers!$C$2:$C$104,MATCH($K223,Service_Providers!$A$2:$A$104,0)))&amp;IF(AND(INDEX(Service_Providers!$C$2:$C$104,MATCH($K223,Service_Providers!$A$2:$A$104,0))&lt;&gt;"",INDEX(Service_Providers!$D$2:$D$104,MATCH($K223,Service_Providers!$A$2:$A$104,0))&lt;&gt;""),CHAR(10),"")&amp;IF(INDEX(Service_Providers!$D$2:$D$104,MATCH($K223,Service_Providers!$A$2:$A$104,0))="","",INDEX(Service_Providers!$D$2:$D$104,MATCH($K223,Service_Providers!$A$2:$A$104,0))),"Provider not found"))</f>
        <v/>
      </c>
      <c r="N223" s="11" t="str">
        <f>IF($M223="","",IFERROR(IF(INDEX(Service_Providers!$C$2:$C$104,MATCH($M223,Service_Providers!$A$2:$A$104,0))="","",INDEX(Service_Providers!$C$2:$C$104,MATCH($M223,Service_Providers!$A$2:$A$104,0)))&amp;IF(AND(INDEX(Service_Providers!$C$2:$C$104,MATCH($M223,Service_Providers!$A$2:$A$104,0))&lt;&gt;"",INDEX(Service_Providers!$D$2:$D$104,MATCH($M223,Service_Providers!$A$2:$A$104,0))&lt;&gt;""),CHAR(10),"")&amp;IF(INDEX(Service_Providers!$D$2:$D$104,MATCH($M223,Service_Providers!$A$2:$A$104,0))="","",INDEX(Service_Providers!$D$2:$D$104,MATCH($M223,Service_Providers!$A$2:$A$104,0))),"Provider not found"))</f>
        <v/>
      </c>
    </row>
    <row r="224" spans="12:14" x14ac:dyDescent="0.25">
      <c r="L224" s="11" t="str">
        <f>IF($K224="","",IFERROR(IF(INDEX(Service_Providers!$C$2:$C$104,MATCH($K224,Service_Providers!$A$2:$A$104,0))="","",INDEX(Service_Providers!$C$2:$C$104,MATCH($K224,Service_Providers!$A$2:$A$104,0)))&amp;IF(AND(INDEX(Service_Providers!$C$2:$C$104,MATCH($K224,Service_Providers!$A$2:$A$104,0))&lt;&gt;"",INDEX(Service_Providers!$D$2:$D$104,MATCH($K224,Service_Providers!$A$2:$A$104,0))&lt;&gt;""),CHAR(10),"")&amp;IF(INDEX(Service_Providers!$D$2:$D$104,MATCH($K224,Service_Providers!$A$2:$A$104,0))="","",INDEX(Service_Providers!$D$2:$D$104,MATCH($K224,Service_Providers!$A$2:$A$104,0))),"Provider not found"))</f>
        <v/>
      </c>
      <c r="N224" s="11" t="str">
        <f>IF($M224="","",IFERROR(IF(INDEX(Service_Providers!$C$2:$C$104,MATCH($M224,Service_Providers!$A$2:$A$104,0))="","",INDEX(Service_Providers!$C$2:$C$104,MATCH($M224,Service_Providers!$A$2:$A$104,0)))&amp;IF(AND(INDEX(Service_Providers!$C$2:$C$104,MATCH($M224,Service_Providers!$A$2:$A$104,0))&lt;&gt;"",INDEX(Service_Providers!$D$2:$D$104,MATCH($M224,Service_Providers!$A$2:$A$104,0))&lt;&gt;""),CHAR(10),"")&amp;IF(INDEX(Service_Providers!$D$2:$D$104,MATCH($M224,Service_Providers!$A$2:$A$104,0))="","",INDEX(Service_Providers!$D$2:$D$104,MATCH($M224,Service_Providers!$A$2:$A$104,0))),"Provider not found"))</f>
        <v/>
      </c>
    </row>
    <row r="225" spans="12:14" x14ac:dyDescent="0.25">
      <c r="L225" s="11" t="str">
        <f>IF($K225="","",IFERROR(IF(INDEX(Service_Providers!$C$2:$C$104,MATCH($K225,Service_Providers!$A$2:$A$104,0))="","",INDEX(Service_Providers!$C$2:$C$104,MATCH($K225,Service_Providers!$A$2:$A$104,0)))&amp;IF(AND(INDEX(Service_Providers!$C$2:$C$104,MATCH($K225,Service_Providers!$A$2:$A$104,0))&lt;&gt;"",INDEX(Service_Providers!$D$2:$D$104,MATCH($K225,Service_Providers!$A$2:$A$104,0))&lt;&gt;""),CHAR(10),"")&amp;IF(INDEX(Service_Providers!$D$2:$D$104,MATCH($K225,Service_Providers!$A$2:$A$104,0))="","",INDEX(Service_Providers!$D$2:$D$104,MATCH($K225,Service_Providers!$A$2:$A$104,0))),"Provider not found"))</f>
        <v/>
      </c>
      <c r="N225" s="11" t="str">
        <f>IF($M225="","",IFERROR(IF(INDEX(Service_Providers!$C$2:$C$104,MATCH($M225,Service_Providers!$A$2:$A$104,0))="","",INDEX(Service_Providers!$C$2:$C$104,MATCH($M225,Service_Providers!$A$2:$A$104,0)))&amp;IF(AND(INDEX(Service_Providers!$C$2:$C$104,MATCH($M225,Service_Providers!$A$2:$A$104,0))&lt;&gt;"",INDEX(Service_Providers!$D$2:$D$104,MATCH($M225,Service_Providers!$A$2:$A$104,0))&lt;&gt;""),CHAR(10),"")&amp;IF(INDEX(Service_Providers!$D$2:$D$104,MATCH($M225,Service_Providers!$A$2:$A$104,0))="","",INDEX(Service_Providers!$D$2:$D$104,MATCH($M225,Service_Providers!$A$2:$A$104,0))),"Provider not found"))</f>
        <v/>
      </c>
    </row>
    <row r="226" spans="12:14" x14ac:dyDescent="0.25">
      <c r="L226" s="11" t="str">
        <f>IF($K226="","",IFERROR(IF(INDEX(Service_Providers!$C$2:$C$104,MATCH($K226,Service_Providers!$A$2:$A$104,0))="","",INDEX(Service_Providers!$C$2:$C$104,MATCH($K226,Service_Providers!$A$2:$A$104,0)))&amp;IF(AND(INDEX(Service_Providers!$C$2:$C$104,MATCH($K226,Service_Providers!$A$2:$A$104,0))&lt;&gt;"",INDEX(Service_Providers!$D$2:$D$104,MATCH($K226,Service_Providers!$A$2:$A$104,0))&lt;&gt;""),CHAR(10),"")&amp;IF(INDEX(Service_Providers!$D$2:$D$104,MATCH($K226,Service_Providers!$A$2:$A$104,0))="","",INDEX(Service_Providers!$D$2:$D$104,MATCH($K226,Service_Providers!$A$2:$A$104,0))),"Provider not found"))</f>
        <v/>
      </c>
      <c r="N226" s="11" t="str">
        <f>IF($M226="","",IFERROR(IF(INDEX(Service_Providers!$C$2:$C$104,MATCH($M226,Service_Providers!$A$2:$A$104,0))="","",INDEX(Service_Providers!$C$2:$C$104,MATCH($M226,Service_Providers!$A$2:$A$104,0)))&amp;IF(AND(INDEX(Service_Providers!$C$2:$C$104,MATCH($M226,Service_Providers!$A$2:$A$104,0))&lt;&gt;"",INDEX(Service_Providers!$D$2:$D$104,MATCH($M226,Service_Providers!$A$2:$A$104,0))&lt;&gt;""),CHAR(10),"")&amp;IF(INDEX(Service_Providers!$D$2:$D$104,MATCH($M226,Service_Providers!$A$2:$A$104,0))="","",INDEX(Service_Providers!$D$2:$D$104,MATCH($M226,Service_Providers!$A$2:$A$104,0))),"Provider not found"))</f>
        <v/>
      </c>
    </row>
    <row r="227" spans="12:14" x14ac:dyDescent="0.25">
      <c r="L227" s="11" t="str">
        <f>IF($K227="","",IFERROR(IF(INDEX(Service_Providers!$C$2:$C$104,MATCH($K227,Service_Providers!$A$2:$A$104,0))="","",INDEX(Service_Providers!$C$2:$C$104,MATCH($K227,Service_Providers!$A$2:$A$104,0)))&amp;IF(AND(INDEX(Service_Providers!$C$2:$C$104,MATCH($K227,Service_Providers!$A$2:$A$104,0))&lt;&gt;"",INDEX(Service_Providers!$D$2:$D$104,MATCH($K227,Service_Providers!$A$2:$A$104,0))&lt;&gt;""),CHAR(10),"")&amp;IF(INDEX(Service_Providers!$D$2:$D$104,MATCH($K227,Service_Providers!$A$2:$A$104,0))="","",INDEX(Service_Providers!$D$2:$D$104,MATCH($K227,Service_Providers!$A$2:$A$104,0))),"Provider not found"))</f>
        <v/>
      </c>
      <c r="N227" s="11" t="str">
        <f>IF($M227="","",IFERROR(IF(INDEX(Service_Providers!$C$2:$C$104,MATCH($M227,Service_Providers!$A$2:$A$104,0))="","",INDEX(Service_Providers!$C$2:$C$104,MATCH($M227,Service_Providers!$A$2:$A$104,0)))&amp;IF(AND(INDEX(Service_Providers!$C$2:$C$104,MATCH($M227,Service_Providers!$A$2:$A$104,0))&lt;&gt;"",INDEX(Service_Providers!$D$2:$D$104,MATCH($M227,Service_Providers!$A$2:$A$104,0))&lt;&gt;""),CHAR(10),"")&amp;IF(INDEX(Service_Providers!$D$2:$D$104,MATCH($M227,Service_Providers!$A$2:$A$104,0))="","",INDEX(Service_Providers!$D$2:$D$104,MATCH($M227,Service_Providers!$A$2:$A$104,0))),"Provider not found"))</f>
        <v/>
      </c>
    </row>
    <row r="228" spans="12:14" x14ac:dyDescent="0.25">
      <c r="L228" s="11" t="str">
        <f>IF($K228="","",IFERROR(IF(INDEX(Service_Providers!$C$2:$C$104,MATCH($K228,Service_Providers!$A$2:$A$104,0))="","",INDEX(Service_Providers!$C$2:$C$104,MATCH($K228,Service_Providers!$A$2:$A$104,0)))&amp;IF(AND(INDEX(Service_Providers!$C$2:$C$104,MATCH($K228,Service_Providers!$A$2:$A$104,0))&lt;&gt;"",INDEX(Service_Providers!$D$2:$D$104,MATCH($K228,Service_Providers!$A$2:$A$104,0))&lt;&gt;""),CHAR(10),"")&amp;IF(INDEX(Service_Providers!$D$2:$D$104,MATCH($K228,Service_Providers!$A$2:$A$104,0))="","",INDEX(Service_Providers!$D$2:$D$104,MATCH($K228,Service_Providers!$A$2:$A$104,0))),"Provider not found"))</f>
        <v/>
      </c>
      <c r="N228" s="11" t="str">
        <f>IF($M228="","",IFERROR(IF(INDEX(Service_Providers!$C$2:$C$104,MATCH($M228,Service_Providers!$A$2:$A$104,0))="","",INDEX(Service_Providers!$C$2:$C$104,MATCH($M228,Service_Providers!$A$2:$A$104,0)))&amp;IF(AND(INDEX(Service_Providers!$C$2:$C$104,MATCH($M228,Service_Providers!$A$2:$A$104,0))&lt;&gt;"",INDEX(Service_Providers!$D$2:$D$104,MATCH($M228,Service_Providers!$A$2:$A$104,0))&lt;&gt;""),CHAR(10),"")&amp;IF(INDEX(Service_Providers!$D$2:$D$104,MATCH($M228,Service_Providers!$A$2:$A$104,0))="","",INDEX(Service_Providers!$D$2:$D$104,MATCH($M228,Service_Providers!$A$2:$A$104,0))),"Provider not found"))</f>
        <v/>
      </c>
    </row>
    <row r="229" spans="12:14" x14ac:dyDescent="0.25">
      <c r="L229" s="11" t="str">
        <f>IF($K229="","",IFERROR(IF(INDEX(Service_Providers!$C$2:$C$104,MATCH($K229,Service_Providers!$A$2:$A$104,0))="","",INDEX(Service_Providers!$C$2:$C$104,MATCH($K229,Service_Providers!$A$2:$A$104,0)))&amp;IF(AND(INDEX(Service_Providers!$C$2:$C$104,MATCH($K229,Service_Providers!$A$2:$A$104,0))&lt;&gt;"",INDEX(Service_Providers!$D$2:$D$104,MATCH($K229,Service_Providers!$A$2:$A$104,0))&lt;&gt;""),CHAR(10),"")&amp;IF(INDEX(Service_Providers!$D$2:$D$104,MATCH($K229,Service_Providers!$A$2:$A$104,0))="","",INDEX(Service_Providers!$D$2:$D$104,MATCH($K229,Service_Providers!$A$2:$A$104,0))),"Provider not found"))</f>
        <v/>
      </c>
      <c r="N229" s="11" t="str">
        <f>IF($M229="","",IFERROR(IF(INDEX(Service_Providers!$C$2:$C$104,MATCH($M229,Service_Providers!$A$2:$A$104,0))="","",INDEX(Service_Providers!$C$2:$C$104,MATCH($M229,Service_Providers!$A$2:$A$104,0)))&amp;IF(AND(INDEX(Service_Providers!$C$2:$C$104,MATCH($M229,Service_Providers!$A$2:$A$104,0))&lt;&gt;"",INDEX(Service_Providers!$D$2:$D$104,MATCH($M229,Service_Providers!$A$2:$A$104,0))&lt;&gt;""),CHAR(10),"")&amp;IF(INDEX(Service_Providers!$D$2:$D$104,MATCH($M229,Service_Providers!$A$2:$A$104,0))="","",INDEX(Service_Providers!$D$2:$D$104,MATCH($M229,Service_Providers!$A$2:$A$104,0))),"Provider not found"))</f>
        <v/>
      </c>
    </row>
    <row r="230" spans="12:14" x14ac:dyDescent="0.25">
      <c r="L230" s="11" t="str">
        <f>IF($K230="","",IFERROR(IF(INDEX(Service_Providers!$C$2:$C$104,MATCH($K230,Service_Providers!$A$2:$A$104,0))="","",INDEX(Service_Providers!$C$2:$C$104,MATCH($K230,Service_Providers!$A$2:$A$104,0)))&amp;IF(AND(INDEX(Service_Providers!$C$2:$C$104,MATCH($K230,Service_Providers!$A$2:$A$104,0))&lt;&gt;"",INDEX(Service_Providers!$D$2:$D$104,MATCH($K230,Service_Providers!$A$2:$A$104,0))&lt;&gt;""),CHAR(10),"")&amp;IF(INDEX(Service_Providers!$D$2:$D$104,MATCH($K230,Service_Providers!$A$2:$A$104,0))="","",INDEX(Service_Providers!$D$2:$D$104,MATCH($K230,Service_Providers!$A$2:$A$104,0))),"Provider not found"))</f>
        <v/>
      </c>
      <c r="N230" s="11" t="str">
        <f>IF($M230="","",IFERROR(IF(INDEX(Service_Providers!$C$2:$C$104,MATCH($M230,Service_Providers!$A$2:$A$104,0))="","",INDEX(Service_Providers!$C$2:$C$104,MATCH($M230,Service_Providers!$A$2:$A$104,0)))&amp;IF(AND(INDEX(Service_Providers!$C$2:$C$104,MATCH($M230,Service_Providers!$A$2:$A$104,0))&lt;&gt;"",INDEX(Service_Providers!$D$2:$D$104,MATCH($M230,Service_Providers!$A$2:$A$104,0))&lt;&gt;""),CHAR(10),"")&amp;IF(INDEX(Service_Providers!$D$2:$D$104,MATCH($M230,Service_Providers!$A$2:$A$104,0))="","",INDEX(Service_Providers!$D$2:$D$104,MATCH($M230,Service_Providers!$A$2:$A$104,0))),"Provider not found"))</f>
        <v/>
      </c>
    </row>
    <row r="231" spans="12:14" x14ac:dyDescent="0.25">
      <c r="L231" s="11" t="str">
        <f>IF($K231="","",IFERROR(IF(INDEX(Service_Providers!$C$2:$C$104,MATCH($K231,Service_Providers!$A$2:$A$104,0))="","",INDEX(Service_Providers!$C$2:$C$104,MATCH($K231,Service_Providers!$A$2:$A$104,0)))&amp;IF(AND(INDEX(Service_Providers!$C$2:$C$104,MATCH($K231,Service_Providers!$A$2:$A$104,0))&lt;&gt;"",INDEX(Service_Providers!$D$2:$D$104,MATCH($K231,Service_Providers!$A$2:$A$104,0))&lt;&gt;""),CHAR(10),"")&amp;IF(INDEX(Service_Providers!$D$2:$D$104,MATCH($K231,Service_Providers!$A$2:$A$104,0))="","",INDEX(Service_Providers!$D$2:$D$104,MATCH($K231,Service_Providers!$A$2:$A$104,0))),"Provider not found"))</f>
        <v/>
      </c>
      <c r="N231" s="11" t="str">
        <f>IF($M231="","",IFERROR(IF(INDEX(Service_Providers!$C$2:$C$104,MATCH($M231,Service_Providers!$A$2:$A$104,0))="","",INDEX(Service_Providers!$C$2:$C$104,MATCH($M231,Service_Providers!$A$2:$A$104,0)))&amp;IF(AND(INDEX(Service_Providers!$C$2:$C$104,MATCH($M231,Service_Providers!$A$2:$A$104,0))&lt;&gt;"",INDEX(Service_Providers!$D$2:$D$104,MATCH($M231,Service_Providers!$A$2:$A$104,0))&lt;&gt;""),CHAR(10),"")&amp;IF(INDEX(Service_Providers!$D$2:$D$104,MATCH($M231,Service_Providers!$A$2:$A$104,0))="","",INDEX(Service_Providers!$D$2:$D$104,MATCH($M231,Service_Providers!$A$2:$A$104,0))),"Provider not found"))</f>
        <v/>
      </c>
    </row>
    <row r="232" spans="12:14" x14ac:dyDescent="0.25">
      <c r="L232" s="11" t="str">
        <f>IF($K232="","",IFERROR(IF(INDEX(Service_Providers!$C$2:$C$104,MATCH($K232,Service_Providers!$A$2:$A$104,0))="","",INDEX(Service_Providers!$C$2:$C$104,MATCH($K232,Service_Providers!$A$2:$A$104,0)))&amp;IF(AND(INDEX(Service_Providers!$C$2:$C$104,MATCH($K232,Service_Providers!$A$2:$A$104,0))&lt;&gt;"",INDEX(Service_Providers!$D$2:$D$104,MATCH($K232,Service_Providers!$A$2:$A$104,0))&lt;&gt;""),CHAR(10),"")&amp;IF(INDEX(Service_Providers!$D$2:$D$104,MATCH($K232,Service_Providers!$A$2:$A$104,0))="","",INDEX(Service_Providers!$D$2:$D$104,MATCH($K232,Service_Providers!$A$2:$A$104,0))),"Provider not found"))</f>
        <v/>
      </c>
      <c r="N232" s="11" t="str">
        <f>IF($M232="","",IFERROR(IF(INDEX(Service_Providers!$C$2:$C$104,MATCH($M232,Service_Providers!$A$2:$A$104,0))="","",INDEX(Service_Providers!$C$2:$C$104,MATCH($M232,Service_Providers!$A$2:$A$104,0)))&amp;IF(AND(INDEX(Service_Providers!$C$2:$C$104,MATCH($M232,Service_Providers!$A$2:$A$104,0))&lt;&gt;"",INDEX(Service_Providers!$D$2:$D$104,MATCH($M232,Service_Providers!$A$2:$A$104,0))&lt;&gt;""),CHAR(10),"")&amp;IF(INDEX(Service_Providers!$D$2:$D$104,MATCH($M232,Service_Providers!$A$2:$A$104,0))="","",INDEX(Service_Providers!$D$2:$D$104,MATCH($M232,Service_Providers!$A$2:$A$104,0))),"Provider not found"))</f>
        <v/>
      </c>
    </row>
    <row r="233" spans="12:14" x14ac:dyDescent="0.25">
      <c r="L233" s="11" t="str">
        <f>IF($K233="","",IFERROR(IF(INDEX(Service_Providers!$C$2:$C$104,MATCH($K233,Service_Providers!$A$2:$A$104,0))="","",INDEX(Service_Providers!$C$2:$C$104,MATCH($K233,Service_Providers!$A$2:$A$104,0)))&amp;IF(AND(INDEX(Service_Providers!$C$2:$C$104,MATCH($K233,Service_Providers!$A$2:$A$104,0))&lt;&gt;"",INDEX(Service_Providers!$D$2:$D$104,MATCH($K233,Service_Providers!$A$2:$A$104,0))&lt;&gt;""),CHAR(10),"")&amp;IF(INDEX(Service_Providers!$D$2:$D$104,MATCH($K233,Service_Providers!$A$2:$A$104,0))="","",INDEX(Service_Providers!$D$2:$D$104,MATCH($K233,Service_Providers!$A$2:$A$104,0))),"Provider not found"))</f>
        <v/>
      </c>
      <c r="N233" s="11" t="str">
        <f>IF($M233="","",IFERROR(IF(INDEX(Service_Providers!$C$2:$C$104,MATCH($M233,Service_Providers!$A$2:$A$104,0))="","",INDEX(Service_Providers!$C$2:$C$104,MATCH($M233,Service_Providers!$A$2:$A$104,0)))&amp;IF(AND(INDEX(Service_Providers!$C$2:$C$104,MATCH($M233,Service_Providers!$A$2:$A$104,0))&lt;&gt;"",INDEX(Service_Providers!$D$2:$D$104,MATCH($M233,Service_Providers!$A$2:$A$104,0))&lt;&gt;""),CHAR(10),"")&amp;IF(INDEX(Service_Providers!$D$2:$D$104,MATCH($M233,Service_Providers!$A$2:$A$104,0))="","",INDEX(Service_Providers!$D$2:$D$104,MATCH($M233,Service_Providers!$A$2:$A$104,0))),"Provider not found"))</f>
        <v/>
      </c>
    </row>
    <row r="234" spans="12:14" x14ac:dyDescent="0.25">
      <c r="L234" s="11" t="str">
        <f>IF($K234="","",IFERROR(IF(INDEX(Service_Providers!$C$2:$C$104,MATCH($K234,Service_Providers!$A$2:$A$104,0))="","",INDEX(Service_Providers!$C$2:$C$104,MATCH($K234,Service_Providers!$A$2:$A$104,0)))&amp;IF(AND(INDEX(Service_Providers!$C$2:$C$104,MATCH($K234,Service_Providers!$A$2:$A$104,0))&lt;&gt;"",INDEX(Service_Providers!$D$2:$D$104,MATCH($K234,Service_Providers!$A$2:$A$104,0))&lt;&gt;""),CHAR(10),"")&amp;IF(INDEX(Service_Providers!$D$2:$D$104,MATCH($K234,Service_Providers!$A$2:$A$104,0))="","",INDEX(Service_Providers!$D$2:$D$104,MATCH($K234,Service_Providers!$A$2:$A$104,0))),"Provider not found"))</f>
        <v/>
      </c>
      <c r="N234" s="11" t="str">
        <f>IF($M234="","",IFERROR(IF(INDEX(Service_Providers!$C$2:$C$104,MATCH($M234,Service_Providers!$A$2:$A$104,0))="","",INDEX(Service_Providers!$C$2:$C$104,MATCH($M234,Service_Providers!$A$2:$A$104,0)))&amp;IF(AND(INDEX(Service_Providers!$C$2:$C$104,MATCH($M234,Service_Providers!$A$2:$A$104,0))&lt;&gt;"",INDEX(Service_Providers!$D$2:$D$104,MATCH($M234,Service_Providers!$A$2:$A$104,0))&lt;&gt;""),CHAR(10),"")&amp;IF(INDEX(Service_Providers!$D$2:$D$104,MATCH($M234,Service_Providers!$A$2:$A$104,0))="","",INDEX(Service_Providers!$D$2:$D$104,MATCH($M234,Service_Providers!$A$2:$A$104,0))),"Provider not found"))</f>
        <v/>
      </c>
    </row>
    <row r="235" spans="12:14" x14ac:dyDescent="0.25">
      <c r="L235" s="11" t="str">
        <f>IF($K235="","",IFERROR(IF(INDEX(Service_Providers!$C$2:$C$104,MATCH($K235,Service_Providers!$A$2:$A$104,0))="","",INDEX(Service_Providers!$C$2:$C$104,MATCH($K235,Service_Providers!$A$2:$A$104,0)))&amp;IF(AND(INDEX(Service_Providers!$C$2:$C$104,MATCH($K235,Service_Providers!$A$2:$A$104,0))&lt;&gt;"",INDEX(Service_Providers!$D$2:$D$104,MATCH($K235,Service_Providers!$A$2:$A$104,0))&lt;&gt;""),CHAR(10),"")&amp;IF(INDEX(Service_Providers!$D$2:$D$104,MATCH($K235,Service_Providers!$A$2:$A$104,0))="","",INDEX(Service_Providers!$D$2:$D$104,MATCH($K235,Service_Providers!$A$2:$A$104,0))),"Provider not found"))</f>
        <v/>
      </c>
      <c r="N235" s="11" t="str">
        <f>IF($M235="","",IFERROR(IF(INDEX(Service_Providers!$C$2:$C$104,MATCH($M235,Service_Providers!$A$2:$A$104,0))="","",INDEX(Service_Providers!$C$2:$C$104,MATCH($M235,Service_Providers!$A$2:$A$104,0)))&amp;IF(AND(INDEX(Service_Providers!$C$2:$C$104,MATCH($M235,Service_Providers!$A$2:$A$104,0))&lt;&gt;"",INDEX(Service_Providers!$D$2:$D$104,MATCH($M235,Service_Providers!$A$2:$A$104,0))&lt;&gt;""),CHAR(10),"")&amp;IF(INDEX(Service_Providers!$D$2:$D$104,MATCH($M235,Service_Providers!$A$2:$A$104,0))="","",INDEX(Service_Providers!$D$2:$D$104,MATCH($M235,Service_Providers!$A$2:$A$104,0))),"Provider not found"))</f>
        <v/>
      </c>
    </row>
    <row r="236" spans="12:14" x14ac:dyDescent="0.25">
      <c r="L236" s="11" t="str">
        <f>IF($K236="","",IFERROR(IF(INDEX(Service_Providers!$C$2:$C$104,MATCH($K236,Service_Providers!$A$2:$A$104,0))="","",INDEX(Service_Providers!$C$2:$C$104,MATCH($K236,Service_Providers!$A$2:$A$104,0)))&amp;IF(AND(INDEX(Service_Providers!$C$2:$C$104,MATCH($K236,Service_Providers!$A$2:$A$104,0))&lt;&gt;"",INDEX(Service_Providers!$D$2:$D$104,MATCH($K236,Service_Providers!$A$2:$A$104,0))&lt;&gt;""),CHAR(10),"")&amp;IF(INDEX(Service_Providers!$D$2:$D$104,MATCH($K236,Service_Providers!$A$2:$A$104,0))="","",INDEX(Service_Providers!$D$2:$D$104,MATCH($K236,Service_Providers!$A$2:$A$104,0))),"Provider not found"))</f>
        <v/>
      </c>
      <c r="N236" s="11" t="str">
        <f>IF($M236="","",IFERROR(IF(INDEX(Service_Providers!$C$2:$C$104,MATCH($M236,Service_Providers!$A$2:$A$104,0))="","",INDEX(Service_Providers!$C$2:$C$104,MATCH($M236,Service_Providers!$A$2:$A$104,0)))&amp;IF(AND(INDEX(Service_Providers!$C$2:$C$104,MATCH($M236,Service_Providers!$A$2:$A$104,0))&lt;&gt;"",INDEX(Service_Providers!$D$2:$D$104,MATCH($M236,Service_Providers!$A$2:$A$104,0))&lt;&gt;""),CHAR(10),"")&amp;IF(INDEX(Service_Providers!$D$2:$D$104,MATCH($M236,Service_Providers!$A$2:$A$104,0))="","",INDEX(Service_Providers!$D$2:$D$104,MATCH($M236,Service_Providers!$A$2:$A$104,0))),"Provider not found"))</f>
        <v/>
      </c>
    </row>
    <row r="237" spans="12:14" x14ac:dyDescent="0.25">
      <c r="L237" s="11" t="str">
        <f>IF($K237="","",IFERROR(IF(INDEX(Service_Providers!$C$2:$C$104,MATCH($K237,Service_Providers!$A$2:$A$104,0))="","",INDEX(Service_Providers!$C$2:$C$104,MATCH($K237,Service_Providers!$A$2:$A$104,0)))&amp;IF(AND(INDEX(Service_Providers!$C$2:$C$104,MATCH($K237,Service_Providers!$A$2:$A$104,0))&lt;&gt;"",INDEX(Service_Providers!$D$2:$D$104,MATCH($K237,Service_Providers!$A$2:$A$104,0))&lt;&gt;""),CHAR(10),"")&amp;IF(INDEX(Service_Providers!$D$2:$D$104,MATCH($K237,Service_Providers!$A$2:$A$104,0))="","",INDEX(Service_Providers!$D$2:$D$104,MATCH($K237,Service_Providers!$A$2:$A$104,0))),"Provider not found"))</f>
        <v/>
      </c>
      <c r="N237" s="11" t="str">
        <f>IF($M237="","",IFERROR(IF(INDEX(Service_Providers!$C$2:$C$104,MATCH($M237,Service_Providers!$A$2:$A$104,0))="","",INDEX(Service_Providers!$C$2:$C$104,MATCH($M237,Service_Providers!$A$2:$A$104,0)))&amp;IF(AND(INDEX(Service_Providers!$C$2:$C$104,MATCH($M237,Service_Providers!$A$2:$A$104,0))&lt;&gt;"",INDEX(Service_Providers!$D$2:$D$104,MATCH($M237,Service_Providers!$A$2:$A$104,0))&lt;&gt;""),CHAR(10),"")&amp;IF(INDEX(Service_Providers!$D$2:$D$104,MATCH($M237,Service_Providers!$A$2:$A$104,0))="","",INDEX(Service_Providers!$D$2:$D$104,MATCH($M237,Service_Providers!$A$2:$A$104,0))),"Provider not found"))</f>
        <v/>
      </c>
    </row>
    <row r="238" spans="12:14" x14ac:dyDescent="0.25">
      <c r="L238" s="11" t="str">
        <f>IF($K238="","",IFERROR(IF(INDEX(Service_Providers!$C$2:$C$104,MATCH($K238,Service_Providers!$A$2:$A$104,0))="","",INDEX(Service_Providers!$C$2:$C$104,MATCH($K238,Service_Providers!$A$2:$A$104,0)))&amp;IF(AND(INDEX(Service_Providers!$C$2:$C$104,MATCH($K238,Service_Providers!$A$2:$A$104,0))&lt;&gt;"",INDEX(Service_Providers!$D$2:$D$104,MATCH($K238,Service_Providers!$A$2:$A$104,0))&lt;&gt;""),CHAR(10),"")&amp;IF(INDEX(Service_Providers!$D$2:$D$104,MATCH($K238,Service_Providers!$A$2:$A$104,0))="","",INDEX(Service_Providers!$D$2:$D$104,MATCH($K238,Service_Providers!$A$2:$A$104,0))),"Provider not found"))</f>
        <v/>
      </c>
      <c r="N238" s="11" t="str">
        <f>IF($M238="","",IFERROR(IF(INDEX(Service_Providers!$C$2:$C$104,MATCH($M238,Service_Providers!$A$2:$A$104,0))="","",INDEX(Service_Providers!$C$2:$C$104,MATCH($M238,Service_Providers!$A$2:$A$104,0)))&amp;IF(AND(INDEX(Service_Providers!$C$2:$C$104,MATCH($M238,Service_Providers!$A$2:$A$104,0))&lt;&gt;"",INDEX(Service_Providers!$D$2:$D$104,MATCH($M238,Service_Providers!$A$2:$A$104,0))&lt;&gt;""),CHAR(10),"")&amp;IF(INDEX(Service_Providers!$D$2:$D$104,MATCH($M238,Service_Providers!$A$2:$A$104,0))="","",INDEX(Service_Providers!$D$2:$D$104,MATCH($M238,Service_Providers!$A$2:$A$104,0))),"Provider not found"))</f>
        <v/>
      </c>
    </row>
    <row r="239" spans="12:14" x14ac:dyDescent="0.25">
      <c r="L239" s="11" t="str">
        <f>IF($K239="","",IFERROR(IF(INDEX(Service_Providers!$C$2:$C$104,MATCH($K239,Service_Providers!$A$2:$A$104,0))="","",INDEX(Service_Providers!$C$2:$C$104,MATCH($K239,Service_Providers!$A$2:$A$104,0)))&amp;IF(AND(INDEX(Service_Providers!$C$2:$C$104,MATCH($K239,Service_Providers!$A$2:$A$104,0))&lt;&gt;"",INDEX(Service_Providers!$D$2:$D$104,MATCH($K239,Service_Providers!$A$2:$A$104,0))&lt;&gt;""),CHAR(10),"")&amp;IF(INDEX(Service_Providers!$D$2:$D$104,MATCH($K239,Service_Providers!$A$2:$A$104,0))="","",INDEX(Service_Providers!$D$2:$D$104,MATCH($K239,Service_Providers!$A$2:$A$104,0))),"Provider not found"))</f>
        <v/>
      </c>
      <c r="N239" s="11" t="str">
        <f>IF($M239="","",IFERROR(IF(INDEX(Service_Providers!$C$2:$C$104,MATCH($M239,Service_Providers!$A$2:$A$104,0))="","",INDEX(Service_Providers!$C$2:$C$104,MATCH($M239,Service_Providers!$A$2:$A$104,0)))&amp;IF(AND(INDEX(Service_Providers!$C$2:$C$104,MATCH($M239,Service_Providers!$A$2:$A$104,0))&lt;&gt;"",INDEX(Service_Providers!$D$2:$D$104,MATCH($M239,Service_Providers!$A$2:$A$104,0))&lt;&gt;""),CHAR(10),"")&amp;IF(INDEX(Service_Providers!$D$2:$D$104,MATCH($M239,Service_Providers!$A$2:$A$104,0))="","",INDEX(Service_Providers!$D$2:$D$104,MATCH($M239,Service_Providers!$A$2:$A$104,0))),"Provider not found"))</f>
        <v/>
      </c>
    </row>
    <row r="240" spans="12:14" x14ac:dyDescent="0.25">
      <c r="L240" s="11" t="str">
        <f>IF($K240="","",IFERROR(IF(INDEX(Service_Providers!$C$2:$C$104,MATCH($K240,Service_Providers!$A$2:$A$104,0))="","",INDEX(Service_Providers!$C$2:$C$104,MATCH($K240,Service_Providers!$A$2:$A$104,0)))&amp;IF(AND(INDEX(Service_Providers!$C$2:$C$104,MATCH($K240,Service_Providers!$A$2:$A$104,0))&lt;&gt;"",INDEX(Service_Providers!$D$2:$D$104,MATCH($K240,Service_Providers!$A$2:$A$104,0))&lt;&gt;""),CHAR(10),"")&amp;IF(INDEX(Service_Providers!$D$2:$D$104,MATCH($K240,Service_Providers!$A$2:$A$104,0))="","",INDEX(Service_Providers!$D$2:$D$104,MATCH($K240,Service_Providers!$A$2:$A$104,0))),"Provider not found"))</f>
        <v/>
      </c>
      <c r="N240" s="11" t="str">
        <f>IF($M240="","",IFERROR(IF(INDEX(Service_Providers!$C$2:$C$104,MATCH($M240,Service_Providers!$A$2:$A$104,0))="","",INDEX(Service_Providers!$C$2:$C$104,MATCH($M240,Service_Providers!$A$2:$A$104,0)))&amp;IF(AND(INDEX(Service_Providers!$C$2:$C$104,MATCH($M240,Service_Providers!$A$2:$A$104,0))&lt;&gt;"",INDEX(Service_Providers!$D$2:$D$104,MATCH($M240,Service_Providers!$A$2:$A$104,0))&lt;&gt;""),CHAR(10),"")&amp;IF(INDEX(Service_Providers!$D$2:$D$104,MATCH($M240,Service_Providers!$A$2:$A$104,0))="","",INDEX(Service_Providers!$D$2:$D$104,MATCH($M240,Service_Providers!$A$2:$A$104,0))),"Provider not found"))</f>
        <v/>
      </c>
    </row>
    <row r="241" spans="12:14" x14ac:dyDescent="0.25">
      <c r="L241" s="11" t="str">
        <f>IF($K241="","",IFERROR(IF(INDEX(Service_Providers!$C$2:$C$104,MATCH($K241,Service_Providers!$A$2:$A$104,0))="","",INDEX(Service_Providers!$C$2:$C$104,MATCH($K241,Service_Providers!$A$2:$A$104,0)))&amp;IF(AND(INDEX(Service_Providers!$C$2:$C$104,MATCH($K241,Service_Providers!$A$2:$A$104,0))&lt;&gt;"",INDEX(Service_Providers!$D$2:$D$104,MATCH($K241,Service_Providers!$A$2:$A$104,0))&lt;&gt;""),CHAR(10),"")&amp;IF(INDEX(Service_Providers!$D$2:$D$104,MATCH($K241,Service_Providers!$A$2:$A$104,0))="","",INDEX(Service_Providers!$D$2:$D$104,MATCH($K241,Service_Providers!$A$2:$A$104,0))),"Provider not found"))</f>
        <v/>
      </c>
      <c r="N241" s="11" t="str">
        <f>IF($M241="","",IFERROR(IF(INDEX(Service_Providers!$C$2:$C$104,MATCH($M241,Service_Providers!$A$2:$A$104,0))="","",INDEX(Service_Providers!$C$2:$C$104,MATCH($M241,Service_Providers!$A$2:$A$104,0)))&amp;IF(AND(INDEX(Service_Providers!$C$2:$C$104,MATCH($M241,Service_Providers!$A$2:$A$104,0))&lt;&gt;"",INDEX(Service_Providers!$D$2:$D$104,MATCH($M241,Service_Providers!$A$2:$A$104,0))&lt;&gt;""),CHAR(10),"")&amp;IF(INDEX(Service_Providers!$D$2:$D$104,MATCH($M241,Service_Providers!$A$2:$A$104,0))="","",INDEX(Service_Providers!$D$2:$D$104,MATCH($M241,Service_Providers!$A$2:$A$104,0))),"Provider not found"))</f>
        <v/>
      </c>
    </row>
    <row r="242" spans="12:14" x14ac:dyDescent="0.25">
      <c r="L242" s="11" t="str">
        <f>IF($K242="","",IFERROR(IF(INDEX(Service_Providers!$C$2:$C$104,MATCH($K242,Service_Providers!$A$2:$A$104,0))="","",INDEX(Service_Providers!$C$2:$C$104,MATCH($K242,Service_Providers!$A$2:$A$104,0)))&amp;IF(AND(INDEX(Service_Providers!$C$2:$C$104,MATCH($K242,Service_Providers!$A$2:$A$104,0))&lt;&gt;"",INDEX(Service_Providers!$D$2:$D$104,MATCH($K242,Service_Providers!$A$2:$A$104,0))&lt;&gt;""),CHAR(10),"")&amp;IF(INDEX(Service_Providers!$D$2:$D$104,MATCH($K242,Service_Providers!$A$2:$A$104,0))="","",INDEX(Service_Providers!$D$2:$D$104,MATCH($K242,Service_Providers!$A$2:$A$104,0))),"Provider not found"))</f>
        <v/>
      </c>
      <c r="N242" s="11" t="str">
        <f>IF($M242="","",IFERROR(IF(INDEX(Service_Providers!$C$2:$C$104,MATCH($M242,Service_Providers!$A$2:$A$104,0))="","",INDEX(Service_Providers!$C$2:$C$104,MATCH($M242,Service_Providers!$A$2:$A$104,0)))&amp;IF(AND(INDEX(Service_Providers!$C$2:$C$104,MATCH($M242,Service_Providers!$A$2:$A$104,0))&lt;&gt;"",INDEX(Service_Providers!$D$2:$D$104,MATCH($M242,Service_Providers!$A$2:$A$104,0))&lt;&gt;""),CHAR(10),"")&amp;IF(INDEX(Service_Providers!$D$2:$D$104,MATCH($M242,Service_Providers!$A$2:$A$104,0))="","",INDEX(Service_Providers!$D$2:$D$104,MATCH($M242,Service_Providers!$A$2:$A$104,0))),"Provider not found"))</f>
        <v/>
      </c>
    </row>
    <row r="243" spans="12:14" x14ac:dyDescent="0.25">
      <c r="L243" s="11" t="str">
        <f>IF($K243="","",IFERROR(IF(INDEX(Service_Providers!$C$2:$C$104,MATCH($K243,Service_Providers!$A$2:$A$104,0))="","",INDEX(Service_Providers!$C$2:$C$104,MATCH($K243,Service_Providers!$A$2:$A$104,0)))&amp;IF(AND(INDEX(Service_Providers!$C$2:$C$104,MATCH($K243,Service_Providers!$A$2:$A$104,0))&lt;&gt;"",INDEX(Service_Providers!$D$2:$D$104,MATCH($K243,Service_Providers!$A$2:$A$104,0))&lt;&gt;""),CHAR(10),"")&amp;IF(INDEX(Service_Providers!$D$2:$D$104,MATCH($K243,Service_Providers!$A$2:$A$104,0))="","",INDEX(Service_Providers!$D$2:$D$104,MATCH($K243,Service_Providers!$A$2:$A$104,0))),"Provider not found"))</f>
        <v/>
      </c>
      <c r="N243" s="11" t="str">
        <f>IF($M243="","",IFERROR(IF(INDEX(Service_Providers!$C$2:$C$104,MATCH($M243,Service_Providers!$A$2:$A$104,0))="","",INDEX(Service_Providers!$C$2:$C$104,MATCH($M243,Service_Providers!$A$2:$A$104,0)))&amp;IF(AND(INDEX(Service_Providers!$C$2:$C$104,MATCH($M243,Service_Providers!$A$2:$A$104,0))&lt;&gt;"",INDEX(Service_Providers!$D$2:$D$104,MATCH($M243,Service_Providers!$A$2:$A$104,0))&lt;&gt;""),CHAR(10),"")&amp;IF(INDEX(Service_Providers!$D$2:$D$104,MATCH($M243,Service_Providers!$A$2:$A$104,0))="","",INDEX(Service_Providers!$D$2:$D$104,MATCH($M243,Service_Providers!$A$2:$A$104,0))),"Provider not found"))</f>
        <v/>
      </c>
    </row>
    <row r="244" spans="12:14" x14ac:dyDescent="0.25">
      <c r="L244" s="11" t="str">
        <f>IF($K244="","",IFERROR(IF(INDEX(Service_Providers!$C$2:$C$104,MATCH($K244,Service_Providers!$A$2:$A$104,0))="","",INDEX(Service_Providers!$C$2:$C$104,MATCH($K244,Service_Providers!$A$2:$A$104,0)))&amp;IF(AND(INDEX(Service_Providers!$C$2:$C$104,MATCH($K244,Service_Providers!$A$2:$A$104,0))&lt;&gt;"",INDEX(Service_Providers!$D$2:$D$104,MATCH($K244,Service_Providers!$A$2:$A$104,0))&lt;&gt;""),CHAR(10),"")&amp;IF(INDEX(Service_Providers!$D$2:$D$104,MATCH($K244,Service_Providers!$A$2:$A$104,0))="","",INDEX(Service_Providers!$D$2:$D$104,MATCH($K244,Service_Providers!$A$2:$A$104,0))),"Provider not found"))</f>
        <v/>
      </c>
      <c r="N244" s="11" t="str">
        <f>IF($M244="","",IFERROR(IF(INDEX(Service_Providers!$C$2:$C$104,MATCH($M244,Service_Providers!$A$2:$A$104,0))="","",INDEX(Service_Providers!$C$2:$C$104,MATCH($M244,Service_Providers!$A$2:$A$104,0)))&amp;IF(AND(INDEX(Service_Providers!$C$2:$C$104,MATCH($M244,Service_Providers!$A$2:$A$104,0))&lt;&gt;"",INDEX(Service_Providers!$D$2:$D$104,MATCH($M244,Service_Providers!$A$2:$A$104,0))&lt;&gt;""),CHAR(10),"")&amp;IF(INDEX(Service_Providers!$D$2:$D$104,MATCH($M244,Service_Providers!$A$2:$A$104,0))="","",INDEX(Service_Providers!$D$2:$D$104,MATCH($M244,Service_Providers!$A$2:$A$104,0))),"Provider not found"))</f>
        <v/>
      </c>
    </row>
    <row r="245" spans="12:14" x14ac:dyDescent="0.25">
      <c r="L245" s="11" t="str">
        <f>IF($K245="","",IFERROR(IF(INDEX(Service_Providers!$C$2:$C$104,MATCH($K245,Service_Providers!$A$2:$A$104,0))="","",INDEX(Service_Providers!$C$2:$C$104,MATCH($K245,Service_Providers!$A$2:$A$104,0)))&amp;IF(AND(INDEX(Service_Providers!$C$2:$C$104,MATCH($K245,Service_Providers!$A$2:$A$104,0))&lt;&gt;"",INDEX(Service_Providers!$D$2:$D$104,MATCH($K245,Service_Providers!$A$2:$A$104,0))&lt;&gt;""),CHAR(10),"")&amp;IF(INDEX(Service_Providers!$D$2:$D$104,MATCH($K245,Service_Providers!$A$2:$A$104,0))="","",INDEX(Service_Providers!$D$2:$D$104,MATCH($K245,Service_Providers!$A$2:$A$104,0))),"Provider not found"))</f>
        <v/>
      </c>
      <c r="N245" s="11" t="str">
        <f>IF($M245="","",IFERROR(IF(INDEX(Service_Providers!$C$2:$C$104,MATCH($M245,Service_Providers!$A$2:$A$104,0))="","",INDEX(Service_Providers!$C$2:$C$104,MATCH($M245,Service_Providers!$A$2:$A$104,0)))&amp;IF(AND(INDEX(Service_Providers!$C$2:$C$104,MATCH($M245,Service_Providers!$A$2:$A$104,0))&lt;&gt;"",INDEX(Service_Providers!$D$2:$D$104,MATCH($M245,Service_Providers!$A$2:$A$104,0))&lt;&gt;""),CHAR(10),"")&amp;IF(INDEX(Service_Providers!$D$2:$D$104,MATCH($M245,Service_Providers!$A$2:$A$104,0))="","",INDEX(Service_Providers!$D$2:$D$104,MATCH($M245,Service_Providers!$A$2:$A$104,0))),"Provider not found"))</f>
        <v/>
      </c>
    </row>
    <row r="246" spans="12:14" x14ac:dyDescent="0.25">
      <c r="L246" s="11" t="str">
        <f>IF($K246="","",IFERROR(IF(INDEX(Service_Providers!$C$2:$C$104,MATCH($K246,Service_Providers!$A$2:$A$104,0))="","",INDEX(Service_Providers!$C$2:$C$104,MATCH($K246,Service_Providers!$A$2:$A$104,0)))&amp;IF(AND(INDEX(Service_Providers!$C$2:$C$104,MATCH($K246,Service_Providers!$A$2:$A$104,0))&lt;&gt;"",INDEX(Service_Providers!$D$2:$D$104,MATCH($K246,Service_Providers!$A$2:$A$104,0))&lt;&gt;""),CHAR(10),"")&amp;IF(INDEX(Service_Providers!$D$2:$D$104,MATCH($K246,Service_Providers!$A$2:$A$104,0))="","",INDEX(Service_Providers!$D$2:$D$104,MATCH($K246,Service_Providers!$A$2:$A$104,0))),"Provider not found"))</f>
        <v/>
      </c>
      <c r="N246" s="11" t="str">
        <f>IF($M246="","",IFERROR(IF(INDEX(Service_Providers!$C$2:$C$104,MATCH($M246,Service_Providers!$A$2:$A$104,0))="","",INDEX(Service_Providers!$C$2:$C$104,MATCH($M246,Service_Providers!$A$2:$A$104,0)))&amp;IF(AND(INDEX(Service_Providers!$C$2:$C$104,MATCH($M246,Service_Providers!$A$2:$A$104,0))&lt;&gt;"",INDEX(Service_Providers!$D$2:$D$104,MATCH($M246,Service_Providers!$A$2:$A$104,0))&lt;&gt;""),CHAR(10),"")&amp;IF(INDEX(Service_Providers!$D$2:$D$104,MATCH($M246,Service_Providers!$A$2:$A$104,0))="","",INDEX(Service_Providers!$D$2:$D$104,MATCH($M246,Service_Providers!$A$2:$A$104,0))),"Provider not found"))</f>
        <v/>
      </c>
    </row>
    <row r="247" spans="12:14" x14ac:dyDescent="0.25">
      <c r="L247" s="11" t="str">
        <f>IF($K247="","",IFERROR(IF(INDEX(Service_Providers!$C$2:$C$104,MATCH($K247,Service_Providers!$A$2:$A$104,0))="","",INDEX(Service_Providers!$C$2:$C$104,MATCH($K247,Service_Providers!$A$2:$A$104,0)))&amp;IF(AND(INDEX(Service_Providers!$C$2:$C$104,MATCH($K247,Service_Providers!$A$2:$A$104,0))&lt;&gt;"",INDEX(Service_Providers!$D$2:$D$104,MATCH($K247,Service_Providers!$A$2:$A$104,0))&lt;&gt;""),CHAR(10),"")&amp;IF(INDEX(Service_Providers!$D$2:$D$104,MATCH($K247,Service_Providers!$A$2:$A$104,0))="","",INDEX(Service_Providers!$D$2:$D$104,MATCH($K247,Service_Providers!$A$2:$A$104,0))),"Provider not found"))</f>
        <v/>
      </c>
      <c r="N247" s="11" t="str">
        <f>IF($M247="","",IFERROR(IF(INDEX(Service_Providers!$C$2:$C$104,MATCH($M247,Service_Providers!$A$2:$A$104,0))="","",INDEX(Service_Providers!$C$2:$C$104,MATCH($M247,Service_Providers!$A$2:$A$104,0)))&amp;IF(AND(INDEX(Service_Providers!$C$2:$C$104,MATCH($M247,Service_Providers!$A$2:$A$104,0))&lt;&gt;"",INDEX(Service_Providers!$D$2:$D$104,MATCH($M247,Service_Providers!$A$2:$A$104,0))&lt;&gt;""),CHAR(10),"")&amp;IF(INDEX(Service_Providers!$D$2:$D$104,MATCH($M247,Service_Providers!$A$2:$A$104,0))="","",INDEX(Service_Providers!$D$2:$D$104,MATCH($M247,Service_Providers!$A$2:$A$104,0))),"Provider not found"))</f>
        <v/>
      </c>
    </row>
    <row r="248" spans="12:14" x14ac:dyDescent="0.25">
      <c r="L248" s="11" t="str">
        <f>IF($K248="","",IFERROR(IF(INDEX(Service_Providers!$C$2:$C$104,MATCH($K248,Service_Providers!$A$2:$A$104,0))="","",INDEX(Service_Providers!$C$2:$C$104,MATCH($K248,Service_Providers!$A$2:$A$104,0)))&amp;IF(AND(INDEX(Service_Providers!$C$2:$C$104,MATCH($K248,Service_Providers!$A$2:$A$104,0))&lt;&gt;"",INDEX(Service_Providers!$D$2:$D$104,MATCH($K248,Service_Providers!$A$2:$A$104,0))&lt;&gt;""),CHAR(10),"")&amp;IF(INDEX(Service_Providers!$D$2:$D$104,MATCH($K248,Service_Providers!$A$2:$A$104,0))="","",INDEX(Service_Providers!$D$2:$D$104,MATCH($K248,Service_Providers!$A$2:$A$104,0))),"Provider not found"))</f>
        <v/>
      </c>
      <c r="N248" s="11" t="str">
        <f>IF($M248="","",IFERROR(IF(INDEX(Service_Providers!$C$2:$C$104,MATCH($M248,Service_Providers!$A$2:$A$104,0))="","",INDEX(Service_Providers!$C$2:$C$104,MATCH($M248,Service_Providers!$A$2:$A$104,0)))&amp;IF(AND(INDEX(Service_Providers!$C$2:$C$104,MATCH($M248,Service_Providers!$A$2:$A$104,0))&lt;&gt;"",INDEX(Service_Providers!$D$2:$D$104,MATCH($M248,Service_Providers!$A$2:$A$104,0))&lt;&gt;""),CHAR(10),"")&amp;IF(INDEX(Service_Providers!$D$2:$D$104,MATCH($M248,Service_Providers!$A$2:$A$104,0))="","",INDEX(Service_Providers!$D$2:$D$104,MATCH($M248,Service_Providers!$A$2:$A$104,0))),"Provider not found"))</f>
        <v/>
      </c>
    </row>
    <row r="249" spans="12:14" x14ac:dyDescent="0.25">
      <c r="L249" s="11" t="str">
        <f>IF($K249="","",IFERROR(IF(INDEX(Service_Providers!$C$2:$C$104,MATCH($K249,Service_Providers!$A$2:$A$104,0))="","",INDEX(Service_Providers!$C$2:$C$104,MATCH($K249,Service_Providers!$A$2:$A$104,0)))&amp;IF(AND(INDEX(Service_Providers!$C$2:$C$104,MATCH($K249,Service_Providers!$A$2:$A$104,0))&lt;&gt;"",INDEX(Service_Providers!$D$2:$D$104,MATCH($K249,Service_Providers!$A$2:$A$104,0))&lt;&gt;""),CHAR(10),"")&amp;IF(INDEX(Service_Providers!$D$2:$D$104,MATCH($K249,Service_Providers!$A$2:$A$104,0))="","",INDEX(Service_Providers!$D$2:$D$104,MATCH($K249,Service_Providers!$A$2:$A$104,0))),"Provider not found"))</f>
        <v/>
      </c>
      <c r="N249" s="11" t="str">
        <f>IF($M249="","",IFERROR(IF(INDEX(Service_Providers!$C$2:$C$104,MATCH($M249,Service_Providers!$A$2:$A$104,0))="","",INDEX(Service_Providers!$C$2:$C$104,MATCH($M249,Service_Providers!$A$2:$A$104,0)))&amp;IF(AND(INDEX(Service_Providers!$C$2:$C$104,MATCH($M249,Service_Providers!$A$2:$A$104,0))&lt;&gt;"",INDEX(Service_Providers!$D$2:$D$104,MATCH($M249,Service_Providers!$A$2:$A$104,0))&lt;&gt;""),CHAR(10),"")&amp;IF(INDEX(Service_Providers!$D$2:$D$104,MATCH($M249,Service_Providers!$A$2:$A$104,0))="","",INDEX(Service_Providers!$D$2:$D$104,MATCH($M249,Service_Providers!$A$2:$A$104,0))),"Provider not found"))</f>
        <v/>
      </c>
    </row>
    <row r="250" spans="12:14" x14ac:dyDescent="0.25">
      <c r="L250" s="11" t="str">
        <f>IF($K250="","",IFERROR(IF(INDEX(Service_Providers!$C$2:$C$104,MATCH($K250,Service_Providers!$A$2:$A$104,0))="","",INDEX(Service_Providers!$C$2:$C$104,MATCH($K250,Service_Providers!$A$2:$A$104,0)))&amp;IF(AND(INDEX(Service_Providers!$C$2:$C$104,MATCH($K250,Service_Providers!$A$2:$A$104,0))&lt;&gt;"",INDEX(Service_Providers!$D$2:$D$104,MATCH($K250,Service_Providers!$A$2:$A$104,0))&lt;&gt;""),CHAR(10),"")&amp;IF(INDEX(Service_Providers!$D$2:$D$104,MATCH($K250,Service_Providers!$A$2:$A$104,0))="","",INDEX(Service_Providers!$D$2:$D$104,MATCH($K250,Service_Providers!$A$2:$A$104,0))),"Provider not found"))</f>
        <v/>
      </c>
      <c r="N250" s="11" t="str">
        <f>IF($M250="","",IFERROR(IF(INDEX(Service_Providers!$C$2:$C$104,MATCH($M250,Service_Providers!$A$2:$A$104,0))="","",INDEX(Service_Providers!$C$2:$C$104,MATCH($M250,Service_Providers!$A$2:$A$104,0)))&amp;IF(AND(INDEX(Service_Providers!$C$2:$C$104,MATCH($M250,Service_Providers!$A$2:$A$104,0))&lt;&gt;"",INDEX(Service_Providers!$D$2:$D$104,MATCH($M250,Service_Providers!$A$2:$A$104,0))&lt;&gt;""),CHAR(10),"")&amp;IF(INDEX(Service_Providers!$D$2:$D$104,MATCH($M250,Service_Providers!$A$2:$A$104,0))="","",INDEX(Service_Providers!$D$2:$D$104,MATCH($M250,Service_Providers!$A$2:$A$104,0))),"Provider not found"))</f>
        <v/>
      </c>
    </row>
    <row r="251" spans="12:14" x14ac:dyDescent="0.25">
      <c r="L251" s="11" t="str">
        <f>IF($K251="","",IFERROR(IF(INDEX(Service_Providers!$C$2:$C$104,MATCH($K251,Service_Providers!$A$2:$A$104,0))="","",INDEX(Service_Providers!$C$2:$C$104,MATCH($K251,Service_Providers!$A$2:$A$104,0)))&amp;IF(AND(INDEX(Service_Providers!$C$2:$C$104,MATCH($K251,Service_Providers!$A$2:$A$104,0))&lt;&gt;"",INDEX(Service_Providers!$D$2:$D$104,MATCH($K251,Service_Providers!$A$2:$A$104,0))&lt;&gt;""),CHAR(10),"")&amp;IF(INDEX(Service_Providers!$D$2:$D$104,MATCH($K251,Service_Providers!$A$2:$A$104,0))="","",INDEX(Service_Providers!$D$2:$D$104,MATCH($K251,Service_Providers!$A$2:$A$104,0))),"Provider not found"))</f>
        <v/>
      </c>
      <c r="N251" s="11" t="str">
        <f>IF($M251="","",IFERROR(IF(INDEX(Service_Providers!$C$2:$C$104,MATCH($M251,Service_Providers!$A$2:$A$104,0))="","",INDEX(Service_Providers!$C$2:$C$104,MATCH($M251,Service_Providers!$A$2:$A$104,0)))&amp;IF(AND(INDEX(Service_Providers!$C$2:$C$104,MATCH($M251,Service_Providers!$A$2:$A$104,0))&lt;&gt;"",INDEX(Service_Providers!$D$2:$D$104,MATCH($M251,Service_Providers!$A$2:$A$104,0))&lt;&gt;""),CHAR(10),"")&amp;IF(INDEX(Service_Providers!$D$2:$D$104,MATCH($M251,Service_Providers!$A$2:$A$104,0))="","",INDEX(Service_Providers!$D$2:$D$104,MATCH($M251,Service_Providers!$A$2:$A$104,0))),"Provider not found"))</f>
        <v/>
      </c>
    </row>
    <row r="252" spans="12:14" x14ac:dyDescent="0.25">
      <c r="L252" s="11" t="str">
        <f>IF($K252="","",IFERROR(IF(INDEX(Service_Providers!$C$2:$C$104,MATCH($K252,Service_Providers!$A$2:$A$104,0))="","",INDEX(Service_Providers!$C$2:$C$104,MATCH($K252,Service_Providers!$A$2:$A$104,0)))&amp;IF(AND(INDEX(Service_Providers!$C$2:$C$104,MATCH($K252,Service_Providers!$A$2:$A$104,0))&lt;&gt;"",INDEX(Service_Providers!$D$2:$D$104,MATCH($K252,Service_Providers!$A$2:$A$104,0))&lt;&gt;""),CHAR(10),"")&amp;IF(INDEX(Service_Providers!$D$2:$D$104,MATCH($K252,Service_Providers!$A$2:$A$104,0))="","",INDEX(Service_Providers!$D$2:$D$104,MATCH($K252,Service_Providers!$A$2:$A$104,0))),"Provider not found"))</f>
        <v/>
      </c>
      <c r="N252" s="11" t="str">
        <f>IF($M252="","",IFERROR(IF(INDEX(Service_Providers!$C$2:$C$104,MATCH($M252,Service_Providers!$A$2:$A$104,0))="","",INDEX(Service_Providers!$C$2:$C$104,MATCH($M252,Service_Providers!$A$2:$A$104,0)))&amp;IF(AND(INDEX(Service_Providers!$C$2:$C$104,MATCH($M252,Service_Providers!$A$2:$A$104,0))&lt;&gt;"",INDEX(Service_Providers!$D$2:$D$104,MATCH($M252,Service_Providers!$A$2:$A$104,0))&lt;&gt;""),CHAR(10),"")&amp;IF(INDEX(Service_Providers!$D$2:$D$104,MATCH($M252,Service_Providers!$A$2:$A$104,0))="","",INDEX(Service_Providers!$D$2:$D$104,MATCH($M252,Service_Providers!$A$2:$A$104,0))),"Provider not found"))</f>
        <v/>
      </c>
    </row>
    <row r="253" spans="12:14" x14ac:dyDescent="0.25">
      <c r="L253" s="11" t="str">
        <f>IF($K253="","",IFERROR(IF(INDEX(Service_Providers!$C$2:$C$104,MATCH($K253,Service_Providers!$A$2:$A$104,0))="","",INDEX(Service_Providers!$C$2:$C$104,MATCH($K253,Service_Providers!$A$2:$A$104,0)))&amp;IF(AND(INDEX(Service_Providers!$C$2:$C$104,MATCH($K253,Service_Providers!$A$2:$A$104,0))&lt;&gt;"",INDEX(Service_Providers!$D$2:$D$104,MATCH($K253,Service_Providers!$A$2:$A$104,0))&lt;&gt;""),CHAR(10),"")&amp;IF(INDEX(Service_Providers!$D$2:$D$104,MATCH($K253,Service_Providers!$A$2:$A$104,0))="","",INDEX(Service_Providers!$D$2:$D$104,MATCH($K253,Service_Providers!$A$2:$A$104,0))),"Provider not found"))</f>
        <v/>
      </c>
      <c r="N253" s="11" t="str">
        <f>IF($M253="","",IFERROR(IF(INDEX(Service_Providers!$C$2:$C$104,MATCH($M253,Service_Providers!$A$2:$A$104,0))="","",INDEX(Service_Providers!$C$2:$C$104,MATCH($M253,Service_Providers!$A$2:$A$104,0)))&amp;IF(AND(INDEX(Service_Providers!$C$2:$C$104,MATCH($M253,Service_Providers!$A$2:$A$104,0))&lt;&gt;"",INDEX(Service_Providers!$D$2:$D$104,MATCH($M253,Service_Providers!$A$2:$A$104,0))&lt;&gt;""),CHAR(10),"")&amp;IF(INDEX(Service_Providers!$D$2:$D$104,MATCH($M253,Service_Providers!$A$2:$A$104,0))="","",INDEX(Service_Providers!$D$2:$D$104,MATCH($M253,Service_Providers!$A$2:$A$104,0))),"Provider not found"))</f>
        <v/>
      </c>
    </row>
    <row r="254" spans="12:14" x14ac:dyDescent="0.25">
      <c r="L254" s="11" t="str">
        <f>IF($K254="","",IFERROR(IF(INDEX(Service_Providers!$C$2:$C$104,MATCH($K254,Service_Providers!$A$2:$A$104,0))="","",INDEX(Service_Providers!$C$2:$C$104,MATCH($K254,Service_Providers!$A$2:$A$104,0)))&amp;IF(AND(INDEX(Service_Providers!$C$2:$C$104,MATCH($K254,Service_Providers!$A$2:$A$104,0))&lt;&gt;"",INDEX(Service_Providers!$D$2:$D$104,MATCH($K254,Service_Providers!$A$2:$A$104,0))&lt;&gt;""),CHAR(10),"")&amp;IF(INDEX(Service_Providers!$D$2:$D$104,MATCH($K254,Service_Providers!$A$2:$A$104,0))="","",INDEX(Service_Providers!$D$2:$D$104,MATCH($K254,Service_Providers!$A$2:$A$104,0))),"Provider not found"))</f>
        <v/>
      </c>
      <c r="N254" s="11" t="str">
        <f>IF($M254="","",IFERROR(IF(INDEX(Service_Providers!$C$2:$C$104,MATCH($M254,Service_Providers!$A$2:$A$104,0))="","",INDEX(Service_Providers!$C$2:$C$104,MATCH($M254,Service_Providers!$A$2:$A$104,0)))&amp;IF(AND(INDEX(Service_Providers!$C$2:$C$104,MATCH($M254,Service_Providers!$A$2:$A$104,0))&lt;&gt;"",INDEX(Service_Providers!$D$2:$D$104,MATCH($M254,Service_Providers!$A$2:$A$104,0))&lt;&gt;""),CHAR(10),"")&amp;IF(INDEX(Service_Providers!$D$2:$D$104,MATCH($M254,Service_Providers!$A$2:$A$104,0))="","",INDEX(Service_Providers!$D$2:$D$104,MATCH($M254,Service_Providers!$A$2:$A$104,0))),"Provider not found"))</f>
        <v/>
      </c>
    </row>
    <row r="255" spans="12:14" x14ac:dyDescent="0.25">
      <c r="L255" s="11" t="str">
        <f>IF($K255="","",IFERROR(IF(INDEX(Service_Providers!$C$2:$C$104,MATCH($K255,Service_Providers!$A$2:$A$104,0))="","",INDEX(Service_Providers!$C$2:$C$104,MATCH($K255,Service_Providers!$A$2:$A$104,0)))&amp;IF(AND(INDEX(Service_Providers!$C$2:$C$104,MATCH($K255,Service_Providers!$A$2:$A$104,0))&lt;&gt;"",INDEX(Service_Providers!$D$2:$D$104,MATCH($K255,Service_Providers!$A$2:$A$104,0))&lt;&gt;""),CHAR(10),"")&amp;IF(INDEX(Service_Providers!$D$2:$D$104,MATCH($K255,Service_Providers!$A$2:$A$104,0))="","",INDEX(Service_Providers!$D$2:$D$104,MATCH($K255,Service_Providers!$A$2:$A$104,0))),"Provider not found"))</f>
        <v/>
      </c>
      <c r="N255" s="11" t="str">
        <f>IF($M255="","",IFERROR(IF(INDEX(Service_Providers!$C$2:$C$104,MATCH($M255,Service_Providers!$A$2:$A$104,0))="","",INDEX(Service_Providers!$C$2:$C$104,MATCH($M255,Service_Providers!$A$2:$A$104,0)))&amp;IF(AND(INDEX(Service_Providers!$C$2:$C$104,MATCH($M255,Service_Providers!$A$2:$A$104,0))&lt;&gt;"",INDEX(Service_Providers!$D$2:$D$104,MATCH($M255,Service_Providers!$A$2:$A$104,0))&lt;&gt;""),CHAR(10),"")&amp;IF(INDEX(Service_Providers!$D$2:$D$104,MATCH($M255,Service_Providers!$A$2:$A$104,0))="","",INDEX(Service_Providers!$D$2:$D$104,MATCH($M255,Service_Providers!$A$2:$A$104,0))),"Provider not found"))</f>
        <v/>
      </c>
    </row>
    <row r="256" spans="12:14" x14ac:dyDescent="0.25">
      <c r="L256" s="11" t="str">
        <f>IF($K256="","",IFERROR(IF(INDEX(Service_Providers!$C$2:$C$104,MATCH($K256,Service_Providers!$A$2:$A$104,0))="","",INDEX(Service_Providers!$C$2:$C$104,MATCH($K256,Service_Providers!$A$2:$A$104,0)))&amp;IF(AND(INDEX(Service_Providers!$C$2:$C$104,MATCH($K256,Service_Providers!$A$2:$A$104,0))&lt;&gt;"",INDEX(Service_Providers!$D$2:$D$104,MATCH($K256,Service_Providers!$A$2:$A$104,0))&lt;&gt;""),CHAR(10),"")&amp;IF(INDEX(Service_Providers!$D$2:$D$104,MATCH($K256,Service_Providers!$A$2:$A$104,0))="","",INDEX(Service_Providers!$D$2:$D$104,MATCH($K256,Service_Providers!$A$2:$A$104,0))),"Provider not found"))</f>
        <v/>
      </c>
      <c r="N256" s="11" t="str">
        <f>IF($M256="","",IFERROR(IF(INDEX(Service_Providers!$C$2:$C$104,MATCH($M256,Service_Providers!$A$2:$A$104,0))="","",INDEX(Service_Providers!$C$2:$C$104,MATCH($M256,Service_Providers!$A$2:$A$104,0)))&amp;IF(AND(INDEX(Service_Providers!$C$2:$C$104,MATCH($M256,Service_Providers!$A$2:$A$104,0))&lt;&gt;"",INDEX(Service_Providers!$D$2:$D$104,MATCH($M256,Service_Providers!$A$2:$A$104,0))&lt;&gt;""),CHAR(10),"")&amp;IF(INDEX(Service_Providers!$D$2:$D$104,MATCH($M256,Service_Providers!$A$2:$A$104,0))="","",INDEX(Service_Providers!$D$2:$D$104,MATCH($M256,Service_Providers!$A$2:$A$104,0))),"Provider not found"))</f>
        <v/>
      </c>
    </row>
    <row r="257" spans="12:14" x14ac:dyDescent="0.25">
      <c r="L257" s="11" t="str">
        <f>IF($K257="","",IFERROR(IF(INDEX(Service_Providers!$C$2:$C$104,MATCH($K257,Service_Providers!$A$2:$A$104,0))="","",INDEX(Service_Providers!$C$2:$C$104,MATCH($K257,Service_Providers!$A$2:$A$104,0)))&amp;IF(AND(INDEX(Service_Providers!$C$2:$C$104,MATCH($K257,Service_Providers!$A$2:$A$104,0))&lt;&gt;"",INDEX(Service_Providers!$D$2:$D$104,MATCH($K257,Service_Providers!$A$2:$A$104,0))&lt;&gt;""),CHAR(10),"")&amp;IF(INDEX(Service_Providers!$D$2:$D$104,MATCH($K257,Service_Providers!$A$2:$A$104,0))="","",INDEX(Service_Providers!$D$2:$D$104,MATCH($K257,Service_Providers!$A$2:$A$104,0))),"Provider not found"))</f>
        <v/>
      </c>
      <c r="N257" s="11" t="str">
        <f>IF($M257="","",IFERROR(IF(INDEX(Service_Providers!$C$2:$C$104,MATCH($M257,Service_Providers!$A$2:$A$104,0))="","",INDEX(Service_Providers!$C$2:$C$104,MATCH($M257,Service_Providers!$A$2:$A$104,0)))&amp;IF(AND(INDEX(Service_Providers!$C$2:$C$104,MATCH($M257,Service_Providers!$A$2:$A$104,0))&lt;&gt;"",INDEX(Service_Providers!$D$2:$D$104,MATCH($M257,Service_Providers!$A$2:$A$104,0))&lt;&gt;""),CHAR(10),"")&amp;IF(INDEX(Service_Providers!$D$2:$D$104,MATCH($M257,Service_Providers!$A$2:$A$104,0))="","",INDEX(Service_Providers!$D$2:$D$104,MATCH($M257,Service_Providers!$A$2:$A$104,0))),"Provider not found"))</f>
        <v/>
      </c>
    </row>
    <row r="258" spans="12:14" x14ac:dyDescent="0.25">
      <c r="L258" s="11" t="str">
        <f>IF($K258="","",IFERROR(IF(INDEX(Service_Providers!$C$2:$C$104,MATCH($K258,Service_Providers!$A$2:$A$104,0))="","",INDEX(Service_Providers!$C$2:$C$104,MATCH($K258,Service_Providers!$A$2:$A$104,0)))&amp;IF(AND(INDEX(Service_Providers!$C$2:$C$104,MATCH($K258,Service_Providers!$A$2:$A$104,0))&lt;&gt;"",INDEX(Service_Providers!$D$2:$D$104,MATCH($K258,Service_Providers!$A$2:$A$104,0))&lt;&gt;""),CHAR(10),"")&amp;IF(INDEX(Service_Providers!$D$2:$D$104,MATCH($K258,Service_Providers!$A$2:$A$104,0))="","",INDEX(Service_Providers!$D$2:$D$104,MATCH($K258,Service_Providers!$A$2:$A$104,0))),"Provider not found"))</f>
        <v/>
      </c>
      <c r="N258" s="11" t="str">
        <f>IF($M258="","",IFERROR(IF(INDEX(Service_Providers!$C$2:$C$104,MATCH($M258,Service_Providers!$A$2:$A$104,0))="","",INDEX(Service_Providers!$C$2:$C$104,MATCH($M258,Service_Providers!$A$2:$A$104,0)))&amp;IF(AND(INDEX(Service_Providers!$C$2:$C$104,MATCH($M258,Service_Providers!$A$2:$A$104,0))&lt;&gt;"",INDEX(Service_Providers!$D$2:$D$104,MATCH($M258,Service_Providers!$A$2:$A$104,0))&lt;&gt;""),CHAR(10),"")&amp;IF(INDEX(Service_Providers!$D$2:$D$104,MATCH($M258,Service_Providers!$A$2:$A$104,0))="","",INDEX(Service_Providers!$D$2:$D$104,MATCH($M258,Service_Providers!$A$2:$A$104,0))),"Provider not found"))</f>
        <v/>
      </c>
    </row>
    <row r="259" spans="12:14" x14ac:dyDescent="0.25">
      <c r="L259" s="11" t="str">
        <f>IF($K259="","",IFERROR(IF(INDEX(Service_Providers!$C$2:$C$104,MATCH($K259,Service_Providers!$A$2:$A$104,0))="","",INDEX(Service_Providers!$C$2:$C$104,MATCH($K259,Service_Providers!$A$2:$A$104,0)))&amp;IF(AND(INDEX(Service_Providers!$C$2:$C$104,MATCH($K259,Service_Providers!$A$2:$A$104,0))&lt;&gt;"",INDEX(Service_Providers!$D$2:$D$104,MATCH($K259,Service_Providers!$A$2:$A$104,0))&lt;&gt;""),CHAR(10),"")&amp;IF(INDEX(Service_Providers!$D$2:$D$104,MATCH($K259,Service_Providers!$A$2:$A$104,0))="","",INDEX(Service_Providers!$D$2:$D$104,MATCH($K259,Service_Providers!$A$2:$A$104,0))),"Provider not found"))</f>
        <v/>
      </c>
      <c r="N259" s="11" t="str">
        <f>IF($M259="","",IFERROR(IF(INDEX(Service_Providers!$C$2:$C$104,MATCH($M259,Service_Providers!$A$2:$A$104,0))="","",INDEX(Service_Providers!$C$2:$C$104,MATCH($M259,Service_Providers!$A$2:$A$104,0)))&amp;IF(AND(INDEX(Service_Providers!$C$2:$C$104,MATCH($M259,Service_Providers!$A$2:$A$104,0))&lt;&gt;"",INDEX(Service_Providers!$D$2:$D$104,MATCH($M259,Service_Providers!$A$2:$A$104,0))&lt;&gt;""),CHAR(10),"")&amp;IF(INDEX(Service_Providers!$D$2:$D$104,MATCH($M259,Service_Providers!$A$2:$A$104,0))="","",INDEX(Service_Providers!$D$2:$D$104,MATCH($M259,Service_Providers!$A$2:$A$104,0))),"Provider not found"))</f>
        <v/>
      </c>
    </row>
    <row r="260" spans="12:14" x14ac:dyDescent="0.25">
      <c r="L260" s="11" t="str">
        <f>IF($K260="","",IFERROR(IF(INDEX(Service_Providers!$C$2:$C$104,MATCH($K260,Service_Providers!$A$2:$A$104,0))="","",INDEX(Service_Providers!$C$2:$C$104,MATCH($K260,Service_Providers!$A$2:$A$104,0)))&amp;IF(AND(INDEX(Service_Providers!$C$2:$C$104,MATCH($K260,Service_Providers!$A$2:$A$104,0))&lt;&gt;"",INDEX(Service_Providers!$D$2:$D$104,MATCH($K260,Service_Providers!$A$2:$A$104,0))&lt;&gt;""),CHAR(10),"")&amp;IF(INDEX(Service_Providers!$D$2:$D$104,MATCH($K260,Service_Providers!$A$2:$A$104,0))="","",INDEX(Service_Providers!$D$2:$D$104,MATCH($K260,Service_Providers!$A$2:$A$104,0))),"Provider not found"))</f>
        <v/>
      </c>
      <c r="N260" s="11" t="str">
        <f>IF($M260="","",IFERROR(IF(INDEX(Service_Providers!$C$2:$C$104,MATCH($M260,Service_Providers!$A$2:$A$104,0))="","",INDEX(Service_Providers!$C$2:$C$104,MATCH($M260,Service_Providers!$A$2:$A$104,0)))&amp;IF(AND(INDEX(Service_Providers!$C$2:$C$104,MATCH($M260,Service_Providers!$A$2:$A$104,0))&lt;&gt;"",INDEX(Service_Providers!$D$2:$D$104,MATCH($M260,Service_Providers!$A$2:$A$104,0))&lt;&gt;""),CHAR(10),"")&amp;IF(INDEX(Service_Providers!$D$2:$D$104,MATCH($M260,Service_Providers!$A$2:$A$104,0))="","",INDEX(Service_Providers!$D$2:$D$104,MATCH($M260,Service_Providers!$A$2:$A$104,0))),"Provider not found"))</f>
        <v/>
      </c>
    </row>
    <row r="261" spans="12:14" x14ac:dyDescent="0.25">
      <c r="L261" s="11" t="str">
        <f>IF($K261="","",IFERROR(IF(INDEX(Service_Providers!$C$2:$C$104,MATCH($K261,Service_Providers!$A$2:$A$104,0))="","",INDEX(Service_Providers!$C$2:$C$104,MATCH($K261,Service_Providers!$A$2:$A$104,0)))&amp;IF(AND(INDEX(Service_Providers!$C$2:$C$104,MATCH($K261,Service_Providers!$A$2:$A$104,0))&lt;&gt;"",INDEX(Service_Providers!$D$2:$D$104,MATCH($K261,Service_Providers!$A$2:$A$104,0))&lt;&gt;""),CHAR(10),"")&amp;IF(INDEX(Service_Providers!$D$2:$D$104,MATCH($K261,Service_Providers!$A$2:$A$104,0))="","",INDEX(Service_Providers!$D$2:$D$104,MATCH($K261,Service_Providers!$A$2:$A$104,0))),"Provider not found"))</f>
        <v/>
      </c>
      <c r="N261" s="11" t="str">
        <f>IF($M261="","",IFERROR(IF(INDEX(Service_Providers!$C$2:$C$104,MATCH($M261,Service_Providers!$A$2:$A$104,0))="","",INDEX(Service_Providers!$C$2:$C$104,MATCH($M261,Service_Providers!$A$2:$A$104,0)))&amp;IF(AND(INDEX(Service_Providers!$C$2:$C$104,MATCH($M261,Service_Providers!$A$2:$A$104,0))&lt;&gt;"",INDEX(Service_Providers!$D$2:$D$104,MATCH($M261,Service_Providers!$A$2:$A$104,0))&lt;&gt;""),CHAR(10),"")&amp;IF(INDEX(Service_Providers!$D$2:$D$104,MATCH($M261,Service_Providers!$A$2:$A$104,0))="","",INDEX(Service_Providers!$D$2:$D$104,MATCH($M261,Service_Providers!$A$2:$A$104,0))),"Provider not found"))</f>
        <v/>
      </c>
    </row>
    <row r="262" spans="12:14" x14ac:dyDescent="0.25">
      <c r="L262" s="11" t="str">
        <f>IF($K262="","",IFERROR(IF(INDEX(Service_Providers!$C$2:$C$104,MATCH($K262,Service_Providers!$A$2:$A$104,0))="","",INDEX(Service_Providers!$C$2:$C$104,MATCH($K262,Service_Providers!$A$2:$A$104,0)))&amp;IF(AND(INDEX(Service_Providers!$C$2:$C$104,MATCH($K262,Service_Providers!$A$2:$A$104,0))&lt;&gt;"",INDEX(Service_Providers!$D$2:$D$104,MATCH($K262,Service_Providers!$A$2:$A$104,0))&lt;&gt;""),CHAR(10),"")&amp;IF(INDEX(Service_Providers!$D$2:$D$104,MATCH($K262,Service_Providers!$A$2:$A$104,0))="","",INDEX(Service_Providers!$D$2:$D$104,MATCH($K262,Service_Providers!$A$2:$A$104,0))),"Provider not found"))</f>
        <v/>
      </c>
      <c r="N262" s="11" t="str">
        <f>IF($M262="","",IFERROR(IF(INDEX(Service_Providers!$C$2:$C$104,MATCH($M262,Service_Providers!$A$2:$A$104,0))="","",INDEX(Service_Providers!$C$2:$C$104,MATCH($M262,Service_Providers!$A$2:$A$104,0)))&amp;IF(AND(INDEX(Service_Providers!$C$2:$C$104,MATCH($M262,Service_Providers!$A$2:$A$104,0))&lt;&gt;"",INDEX(Service_Providers!$D$2:$D$104,MATCH($M262,Service_Providers!$A$2:$A$104,0))&lt;&gt;""),CHAR(10),"")&amp;IF(INDEX(Service_Providers!$D$2:$D$104,MATCH($M262,Service_Providers!$A$2:$A$104,0))="","",INDEX(Service_Providers!$D$2:$D$104,MATCH($M262,Service_Providers!$A$2:$A$104,0))),"Provider not found"))</f>
        <v/>
      </c>
    </row>
    <row r="263" spans="12:14" x14ac:dyDescent="0.25">
      <c r="L263" s="11" t="str">
        <f>IF($K263="","",IFERROR(IF(INDEX(Service_Providers!$C$2:$C$104,MATCH($K263,Service_Providers!$A$2:$A$104,0))="","",INDEX(Service_Providers!$C$2:$C$104,MATCH($K263,Service_Providers!$A$2:$A$104,0)))&amp;IF(AND(INDEX(Service_Providers!$C$2:$C$104,MATCH($K263,Service_Providers!$A$2:$A$104,0))&lt;&gt;"",INDEX(Service_Providers!$D$2:$D$104,MATCH($K263,Service_Providers!$A$2:$A$104,0))&lt;&gt;""),CHAR(10),"")&amp;IF(INDEX(Service_Providers!$D$2:$D$104,MATCH($K263,Service_Providers!$A$2:$A$104,0))="","",INDEX(Service_Providers!$D$2:$D$104,MATCH($K263,Service_Providers!$A$2:$A$104,0))),"Provider not found"))</f>
        <v/>
      </c>
      <c r="N263" s="11" t="str">
        <f>IF($M263="","",IFERROR(IF(INDEX(Service_Providers!$C$2:$C$104,MATCH($M263,Service_Providers!$A$2:$A$104,0))="","",INDEX(Service_Providers!$C$2:$C$104,MATCH($M263,Service_Providers!$A$2:$A$104,0)))&amp;IF(AND(INDEX(Service_Providers!$C$2:$C$104,MATCH($M263,Service_Providers!$A$2:$A$104,0))&lt;&gt;"",INDEX(Service_Providers!$D$2:$D$104,MATCH($M263,Service_Providers!$A$2:$A$104,0))&lt;&gt;""),CHAR(10),"")&amp;IF(INDEX(Service_Providers!$D$2:$D$104,MATCH($M263,Service_Providers!$A$2:$A$104,0))="","",INDEX(Service_Providers!$D$2:$D$104,MATCH($M263,Service_Providers!$A$2:$A$104,0))),"Provider not found"))</f>
        <v/>
      </c>
    </row>
    <row r="264" spans="12:14" x14ac:dyDescent="0.25">
      <c r="L264" s="11" t="str">
        <f>IF($K264="","",IFERROR(IF(INDEX(Service_Providers!$C$2:$C$104,MATCH($K264,Service_Providers!$A$2:$A$104,0))="","",INDEX(Service_Providers!$C$2:$C$104,MATCH($K264,Service_Providers!$A$2:$A$104,0)))&amp;IF(AND(INDEX(Service_Providers!$C$2:$C$104,MATCH($K264,Service_Providers!$A$2:$A$104,0))&lt;&gt;"",INDEX(Service_Providers!$D$2:$D$104,MATCH($K264,Service_Providers!$A$2:$A$104,0))&lt;&gt;""),CHAR(10),"")&amp;IF(INDEX(Service_Providers!$D$2:$D$104,MATCH($K264,Service_Providers!$A$2:$A$104,0))="","",INDEX(Service_Providers!$D$2:$D$104,MATCH($K264,Service_Providers!$A$2:$A$104,0))),"Provider not found"))</f>
        <v/>
      </c>
      <c r="N264" s="11" t="str">
        <f>IF($M264="","",IFERROR(IF(INDEX(Service_Providers!$C$2:$C$104,MATCH($M264,Service_Providers!$A$2:$A$104,0))="","",INDEX(Service_Providers!$C$2:$C$104,MATCH($M264,Service_Providers!$A$2:$A$104,0)))&amp;IF(AND(INDEX(Service_Providers!$C$2:$C$104,MATCH($M264,Service_Providers!$A$2:$A$104,0))&lt;&gt;"",INDEX(Service_Providers!$D$2:$D$104,MATCH($M264,Service_Providers!$A$2:$A$104,0))&lt;&gt;""),CHAR(10),"")&amp;IF(INDEX(Service_Providers!$D$2:$D$104,MATCH($M264,Service_Providers!$A$2:$A$104,0))="","",INDEX(Service_Providers!$D$2:$D$104,MATCH($M264,Service_Providers!$A$2:$A$104,0))),"Provider not found"))</f>
        <v/>
      </c>
    </row>
    <row r="265" spans="12:14" x14ac:dyDescent="0.25">
      <c r="L265" s="11" t="str">
        <f>IF($K265="","",IFERROR(IF(INDEX(Service_Providers!$C$2:$C$104,MATCH($K265,Service_Providers!$A$2:$A$104,0))="","",INDEX(Service_Providers!$C$2:$C$104,MATCH($K265,Service_Providers!$A$2:$A$104,0)))&amp;IF(AND(INDEX(Service_Providers!$C$2:$C$104,MATCH($K265,Service_Providers!$A$2:$A$104,0))&lt;&gt;"",INDEX(Service_Providers!$D$2:$D$104,MATCH($K265,Service_Providers!$A$2:$A$104,0))&lt;&gt;""),CHAR(10),"")&amp;IF(INDEX(Service_Providers!$D$2:$D$104,MATCH($K265,Service_Providers!$A$2:$A$104,0))="","",INDEX(Service_Providers!$D$2:$D$104,MATCH($K265,Service_Providers!$A$2:$A$104,0))),"Provider not found"))</f>
        <v/>
      </c>
      <c r="N265" s="11" t="str">
        <f>IF($M265="","",IFERROR(IF(INDEX(Service_Providers!$C$2:$C$104,MATCH($M265,Service_Providers!$A$2:$A$104,0))="","",INDEX(Service_Providers!$C$2:$C$104,MATCH($M265,Service_Providers!$A$2:$A$104,0)))&amp;IF(AND(INDEX(Service_Providers!$C$2:$C$104,MATCH($M265,Service_Providers!$A$2:$A$104,0))&lt;&gt;"",INDEX(Service_Providers!$D$2:$D$104,MATCH($M265,Service_Providers!$A$2:$A$104,0))&lt;&gt;""),CHAR(10),"")&amp;IF(INDEX(Service_Providers!$D$2:$D$104,MATCH($M265,Service_Providers!$A$2:$A$104,0))="","",INDEX(Service_Providers!$D$2:$D$104,MATCH($M265,Service_Providers!$A$2:$A$104,0))),"Provider not found"))</f>
        <v/>
      </c>
    </row>
    <row r="266" spans="12:14" x14ac:dyDescent="0.25">
      <c r="L266" s="11" t="str">
        <f>IF($K266="","",IFERROR(IF(INDEX(Service_Providers!$C$2:$C$104,MATCH($K266,Service_Providers!$A$2:$A$104,0))="","",INDEX(Service_Providers!$C$2:$C$104,MATCH($K266,Service_Providers!$A$2:$A$104,0)))&amp;IF(AND(INDEX(Service_Providers!$C$2:$C$104,MATCH($K266,Service_Providers!$A$2:$A$104,0))&lt;&gt;"",INDEX(Service_Providers!$D$2:$D$104,MATCH($K266,Service_Providers!$A$2:$A$104,0))&lt;&gt;""),CHAR(10),"")&amp;IF(INDEX(Service_Providers!$D$2:$D$104,MATCH($K266,Service_Providers!$A$2:$A$104,0))="","",INDEX(Service_Providers!$D$2:$D$104,MATCH($K266,Service_Providers!$A$2:$A$104,0))),"Provider not found"))</f>
        <v/>
      </c>
      <c r="N266" s="11" t="str">
        <f>IF($M266="","",IFERROR(IF(INDEX(Service_Providers!$C$2:$C$104,MATCH($M266,Service_Providers!$A$2:$A$104,0))="","",INDEX(Service_Providers!$C$2:$C$104,MATCH($M266,Service_Providers!$A$2:$A$104,0)))&amp;IF(AND(INDEX(Service_Providers!$C$2:$C$104,MATCH($M266,Service_Providers!$A$2:$A$104,0))&lt;&gt;"",INDEX(Service_Providers!$D$2:$D$104,MATCH($M266,Service_Providers!$A$2:$A$104,0))&lt;&gt;""),CHAR(10),"")&amp;IF(INDEX(Service_Providers!$D$2:$D$104,MATCH($M266,Service_Providers!$A$2:$A$104,0))="","",INDEX(Service_Providers!$D$2:$D$104,MATCH($M266,Service_Providers!$A$2:$A$104,0))),"Provider not found"))</f>
        <v/>
      </c>
    </row>
    <row r="267" spans="12:14" x14ac:dyDescent="0.25">
      <c r="L267" s="11" t="str">
        <f>IF($K267="","",IFERROR(IF(INDEX(Service_Providers!$C$2:$C$104,MATCH($K267,Service_Providers!$A$2:$A$104,0))="","",INDEX(Service_Providers!$C$2:$C$104,MATCH($K267,Service_Providers!$A$2:$A$104,0)))&amp;IF(AND(INDEX(Service_Providers!$C$2:$C$104,MATCH($K267,Service_Providers!$A$2:$A$104,0))&lt;&gt;"",INDEX(Service_Providers!$D$2:$D$104,MATCH($K267,Service_Providers!$A$2:$A$104,0))&lt;&gt;""),CHAR(10),"")&amp;IF(INDEX(Service_Providers!$D$2:$D$104,MATCH($K267,Service_Providers!$A$2:$A$104,0))="","",INDEX(Service_Providers!$D$2:$D$104,MATCH($K267,Service_Providers!$A$2:$A$104,0))),"Provider not found"))</f>
        <v/>
      </c>
      <c r="N267" s="11" t="str">
        <f>IF($M267="","",IFERROR(IF(INDEX(Service_Providers!$C$2:$C$104,MATCH($M267,Service_Providers!$A$2:$A$104,0))="","",INDEX(Service_Providers!$C$2:$C$104,MATCH($M267,Service_Providers!$A$2:$A$104,0)))&amp;IF(AND(INDEX(Service_Providers!$C$2:$C$104,MATCH($M267,Service_Providers!$A$2:$A$104,0))&lt;&gt;"",INDEX(Service_Providers!$D$2:$D$104,MATCH($M267,Service_Providers!$A$2:$A$104,0))&lt;&gt;""),CHAR(10),"")&amp;IF(INDEX(Service_Providers!$D$2:$D$104,MATCH($M267,Service_Providers!$A$2:$A$104,0))="","",INDEX(Service_Providers!$D$2:$D$104,MATCH($M267,Service_Providers!$A$2:$A$104,0))),"Provider not found"))</f>
        <v/>
      </c>
    </row>
    <row r="268" spans="12:14" x14ac:dyDescent="0.25">
      <c r="L268" s="11" t="str">
        <f>IF($K268="","",IFERROR(IF(INDEX(Service_Providers!$C$2:$C$104,MATCH($K268,Service_Providers!$A$2:$A$104,0))="","",INDEX(Service_Providers!$C$2:$C$104,MATCH($K268,Service_Providers!$A$2:$A$104,0)))&amp;IF(AND(INDEX(Service_Providers!$C$2:$C$104,MATCH($K268,Service_Providers!$A$2:$A$104,0))&lt;&gt;"",INDEX(Service_Providers!$D$2:$D$104,MATCH($K268,Service_Providers!$A$2:$A$104,0))&lt;&gt;""),CHAR(10),"")&amp;IF(INDEX(Service_Providers!$D$2:$D$104,MATCH($K268,Service_Providers!$A$2:$A$104,0))="","",INDEX(Service_Providers!$D$2:$D$104,MATCH($K268,Service_Providers!$A$2:$A$104,0))),"Provider not found"))</f>
        <v/>
      </c>
      <c r="N268" s="11" t="str">
        <f>IF($M268="","",IFERROR(IF(INDEX(Service_Providers!$C$2:$C$104,MATCH($M268,Service_Providers!$A$2:$A$104,0))="","",INDEX(Service_Providers!$C$2:$C$104,MATCH($M268,Service_Providers!$A$2:$A$104,0)))&amp;IF(AND(INDEX(Service_Providers!$C$2:$C$104,MATCH($M268,Service_Providers!$A$2:$A$104,0))&lt;&gt;"",INDEX(Service_Providers!$D$2:$D$104,MATCH($M268,Service_Providers!$A$2:$A$104,0))&lt;&gt;""),CHAR(10),"")&amp;IF(INDEX(Service_Providers!$D$2:$D$104,MATCH($M268,Service_Providers!$A$2:$A$104,0))="","",INDEX(Service_Providers!$D$2:$D$104,MATCH($M268,Service_Providers!$A$2:$A$104,0))),"Provider not found"))</f>
        <v/>
      </c>
    </row>
    <row r="269" spans="12:14" x14ac:dyDescent="0.25">
      <c r="L269" s="11" t="str">
        <f>IF($K269="","",IFERROR(IF(INDEX(Service_Providers!$C$2:$C$104,MATCH($K269,Service_Providers!$A$2:$A$104,0))="","",INDEX(Service_Providers!$C$2:$C$104,MATCH($K269,Service_Providers!$A$2:$A$104,0)))&amp;IF(AND(INDEX(Service_Providers!$C$2:$C$104,MATCH($K269,Service_Providers!$A$2:$A$104,0))&lt;&gt;"",INDEX(Service_Providers!$D$2:$D$104,MATCH($K269,Service_Providers!$A$2:$A$104,0))&lt;&gt;""),CHAR(10),"")&amp;IF(INDEX(Service_Providers!$D$2:$D$104,MATCH($K269,Service_Providers!$A$2:$A$104,0))="","",INDEX(Service_Providers!$D$2:$D$104,MATCH($K269,Service_Providers!$A$2:$A$104,0))),"Provider not found"))</f>
        <v/>
      </c>
      <c r="N269" s="11" t="str">
        <f>IF($M269="","",IFERROR(IF(INDEX(Service_Providers!$C$2:$C$104,MATCH($M269,Service_Providers!$A$2:$A$104,0))="","",INDEX(Service_Providers!$C$2:$C$104,MATCH($M269,Service_Providers!$A$2:$A$104,0)))&amp;IF(AND(INDEX(Service_Providers!$C$2:$C$104,MATCH($M269,Service_Providers!$A$2:$A$104,0))&lt;&gt;"",INDEX(Service_Providers!$D$2:$D$104,MATCH($M269,Service_Providers!$A$2:$A$104,0))&lt;&gt;""),CHAR(10),"")&amp;IF(INDEX(Service_Providers!$D$2:$D$104,MATCH($M269,Service_Providers!$A$2:$A$104,0))="","",INDEX(Service_Providers!$D$2:$D$104,MATCH($M269,Service_Providers!$A$2:$A$104,0))),"Provider not found"))</f>
        <v/>
      </c>
    </row>
    <row r="270" spans="12:14" x14ac:dyDescent="0.25">
      <c r="L270" s="11" t="str">
        <f>IF($K270="","",IFERROR(IF(INDEX(Service_Providers!$C$2:$C$104,MATCH($K270,Service_Providers!$A$2:$A$104,0))="","",INDEX(Service_Providers!$C$2:$C$104,MATCH($K270,Service_Providers!$A$2:$A$104,0)))&amp;IF(AND(INDEX(Service_Providers!$C$2:$C$104,MATCH($K270,Service_Providers!$A$2:$A$104,0))&lt;&gt;"",INDEX(Service_Providers!$D$2:$D$104,MATCH($K270,Service_Providers!$A$2:$A$104,0))&lt;&gt;""),CHAR(10),"")&amp;IF(INDEX(Service_Providers!$D$2:$D$104,MATCH($K270,Service_Providers!$A$2:$A$104,0))="","",INDEX(Service_Providers!$D$2:$D$104,MATCH($K270,Service_Providers!$A$2:$A$104,0))),"Provider not found"))</f>
        <v/>
      </c>
      <c r="N270" s="11" t="str">
        <f>IF($M270="","",IFERROR(IF(INDEX(Service_Providers!$C$2:$C$104,MATCH($M270,Service_Providers!$A$2:$A$104,0))="","",INDEX(Service_Providers!$C$2:$C$104,MATCH($M270,Service_Providers!$A$2:$A$104,0)))&amp;IF(AND(INDEX(Service_Providers!$C$2:$C$104,MATCH($M270,Service_Providers!$A$2:$A$104,0))&lt;&gt;"",INDEX(Service_Providers!$D$2:$D$104,MATCH($M270,Service_Providers!$A$2:$A$104,0))&lt;&gt;""),CHAR(10),"")&amp;IF(INDEX(Service_Providers!$D$2:$D$104,MATCH($M270,Service_Providers!$A$2:$A$104,0))="","",INDEX(Service_Providers!$D$2:$D$104,MATCH($M270,Service_Providers!$A$2:$A$104,0))),"Provider not found"))</f>
        <v/>
      </c>
    </row>
    <row r="271" spans="12:14" x14ac:dyDescent="0.25">
      <c r="L271" s="11" t="str">
        <f>IF($K271="","",IFERROR(IF(INDEX(Service_Providers!$C$2:$C$104,MATCH($K271,Service_Providers!$A$2:$A$104,0))="","",INDEX(Service_Providers!$C$2:$C$104,MATCH($K271,Service_Providers!$A$2:$A$104,0)))&amp;IF(AND(INDEX(Service_Providers!$C$2:$C$104,MATCH($K271,Service_Providers!$A$2:$A$104,0))&lt;&gt;"",INDEX(Service_Providers!$D$2:$D$104,MATCH($K271,Service_Providers!$A$2:$A$104,0))&lt;&gt;""),CHAR(10),"")&amp;IF(INDEX(Service_Providers!$D$2:$D$104,MATCH($K271,Service_Providers!$A$2:$A$104,0))="","",INDEX(Service_Providers!$D$2:$D$104,MATCH($K271,Service_Providers!$A$2:$A$104,0))),"Provider not found"))</f>
        <v/>
      </c>
      <c r="N271" s="11" t="str">
        <f>IF($M271="","",IFERROR(IF(INDEX(Service_Providers!$C$2:$C$104,MATCH($M271,Service_Providers!$A$2:$A$104,0))="","",INDEX(Service_Providers!$C$2:$C$104,MATCH($M271,Service_Providers!$A$2:$A$104,0)))&amp;IF(AND(INDEX(Service_Providers!$C$2:$C$104,MATCH($M271,Service_Providers!$A$2:$A$104,0))&lt;&gt;"",INDEX(Service_Providers!$D$2:$D$104,MATCH($M271,Service_Providers!$A$2:$A$104,0))&lt;&gt;""),CHAR(10),"")&amp;IF(INDEX(Service_Providers!$D$2:$D$104,MATCH($M271,Service_Providers!$A$2:$A$104,0))="","",INDEX(Service_Providers!$D$2:$D$104,MATCH($M271,Service_Providers!$A$2:$A$104,0))),"Provider not found"))</f>
        <v/>
      </c>
    </row>
    <row r="272" spans="12:14" x14ac:dyDescent="0.25">
      <c r="L272" s="11" t="str">
        <f>IF($K272="","",IFERROR(IF(INDEX(Service_Providers!$C$2:$C$104,MATCH($K272,Service_Providers!$A$2:$A$104,0))="","",INDEX(Service_Providers!$C$2:$C$104,MATCH($K272,Service_Providers!$A$2:$A$104,0)))&amp;IF(AND(INDEX(Service_Providers!$C$2:$C$104,MATCH($K272,Service_Providers!$A$2:$A$104,0))&lt;&gt;"",INDEX(Service_Providers!$D$2:$D$104,MATCH($K272,Service_Providers!$A$2:$A$104,0))&lt;&gt;""),CHAR(10),"")&amp;IF(INDEX(Service_Providers!$D$2:$D$104,MATCH($K272,Service_Providers!$A$2:$A$104,0))="","",INDEX(Service_Providers!$D$2:$D$104,MATCH($K272,Service_Providers!$A$2:$A$104,0))),"Provider not found"))</f>
        <v/>
      </c>
      <c r="N272" s="11" t="str">
        <f>IF($M272="","",IFERROR(IF(INDEX(Service_Providers!$C$2:$C$104,MATCH($M272,Service_Providers!$A$2:$A$104,0))="","",INDEX(Service_Providers!$C$2:$C$104,MATCH($M272,Service_Providers!$A$2:$A$104,0)))&amp;IF(AND(INDEX(Service_Providers!$C$2:$C$104,MATCH($M272,Service_Providers!$A$2:$A$104,0))&lt;&gt;"",INDEX(Service_Providers!$D$2:$D$104,MATCH($M272,Service_Providers!$A$2:$A$104,0))&lt;&gt;""),CHAR(10),"")&amp;IF(INDEX(Service_Providers!$D$2:$D$104,MATCH($M272,Service_Providers!$A$2:$A$104,0))="","",INDEX(Service_Providers!$D$2:$D$104,MATCH($M272,Service_Providers!$A$2:$A$104,0))),"Provider not found"))</f>
        <v/>
      </c>
    </row>
    <row r="273" spans="12:14" x14ac:dyDescent="0.25">
      <c r="L273" s="11" t="str">
        <f>IF($K273="","",IFERROR(IF(INDEX(Service_Providers!$C$2:$C$104,MATCH($K273,Service_Providers!$A$2:$A$104,0))="","",INDEX(Service_Providers!$C$2:$C$104,MATCH($K273,Service_Providers!$A$2:$A$104,0)))&amp;IF(AND(INDEX(Service_Providers!$C$2:$C$104,MATCH($K273,Service_Providers!$A$2:$A$104,0))&lt;&gt;"",INDEX(Service_Providers!$D$2:$D$104,MATCH($K273,Service_Providers!$A$2:$A$104,0))&lt;&gt;""),CHAR(10),"")&amp;IF(INDEX(Service_Providers!$D$2:$D$104,MATCH($K273,Service_Providers!$A$2:$A$104,0))="","",INDEX(Service_Providers!$D$2:$D$104,MATCH($K273,Service_Providers!$A$2:$A$104,0))),"Provider not found"))</f>
        <v/>
      </c>
      <c r="N273" s="11" t="str">
        <f>IF($M273="","",IFERROR(IF(INDEX(Service_Providers!$C$2:$C$104,MATCH($M273,Service_Providers!$A$2:$A$104,0))="","",INDEX(Service_Providers!$C$2:$C$104,MATCH($M273,Service_Providers!$A$2:$A$104,0)))&amp;IF(AND(INDEX(Service_Providers!$C$2:$C$104,MATCH($M273,Service_Providers!$A$2:$A$104,0))&lt;&gt;"",INDEX(Service_Providers!$D$2:$D$104,MATCH($M273,Service_Providers!$A$2:$A$104,0))&lt;&gt;""),CHAR(10),"")&amp;IF(INDEX(Service_Providers!$D$2:$D$104,MATCH($M273,Service_Providers!$A$2:$A$104,0))="","",INDEX(Service_Providers!$D$2:$D$104,MATCH($M273,Service_Providers!$A$2:$A$104,0))),"Provider not found"))</f>
        <v/>
      </c>
    </row>
    <row r="274" spans="12:14" x14ac:dyDescent="0.25">
      <c r="L274" s="11" t="str">
        <f>IF($K274="","",IFERROR(IF(INDEX(Service_Providers!$C$2:$C$104,MATCH($K274,Service_Providers!$A$2:$A$104,0))="","",INDEX(Service_Providers!$C$2:$C$104,MATCH($K274,Service_Providers!$A$2:$A$104,0)))&amp;IF(AND(INDEX(Service_Providers!$C$2:$C$104,MATCH($K274,Service_Providers!$A$2:$A$104,0))&lt;&gt;"",INDEX(Service_Providers!$D$2:$D$104,MATCH($K274,Service_Providers!$A$2:$A$104,0))&lt;&gt;""),CHAR(10),"")&amp;IF(INDEX(Service_Providers!$D$2:$D$104,MATCH($K274,Service_Providers!$A$2:$A$104,0))="","",INDEX(Service_Providers!$D$2:$D$104,MATCH($K274,Service_Providers!$A$2:$A$104,0))),"Provider not found"))</f>
        <v/>
      </c>
      <c r="N274" s="11" t="str">
        <f>IF($M274="","",IFERROR(IF(INDEX(Service_Providers!$C$2:$C$104,MATCH($M274,Service_Providers!$A$2:$A$104,0))="","",INDEX(Service_Providers!$C$2:$C$104,MATCH($M274,Service_Providers!$A$2:$A$104,0)))&amp;IF(AND(INDEX(Service_Providers!$C$2:$C$104,MATCH($M274,Service_Providers!$A$2:$A$104,0))&lt;&gt;"",INDEX(Service_Providers!$D$2:$D$104,MATCH($M274,Service_Providers!$A$2:$A$104,0))&lt;&gt;""),CHAR(10),"")&amp;IF(INDEX(Service_Providers!$D$2:$D$104,MATCH($M274,Service_Providers!$A$2:$A$104,0))="","",INDEX(Service_Providers!$D$2:$D$104,MATCH($M274,Service_Providers!$A$2:$A$104,0))),"Provider not found"))</f>
        <v/>
      </c>
    </row>
    <row r="275" spans="12:14" x14ac:dyDescent="0.25">
      <c r="L275" s="11" t="str">
        <f>IF($K275="","",IFERROR(IF(INDEX(Service_Providers!$C$2:$C$104,MATCH($K275,Service_Providers!$A$2:$A$104,0))="","",INDEX(Service_Providers!$C$2:$C$104,MATCH($K275,Service_Providers!$A$2:$A$104,0)))&amp;IF(AND(INDEX(Service_Providers!$C$2:$C$104,MATCH($K275,Service_Providers!$A$2:$A$104,0))&lt;&gt;"",INDEX(Service_Providers!$D$2:$D$104,MATCH($K275,Service_Providers!$A$2:$A$104,0))&lt;&gt;""),CHAR(10),"")&amp;IF(INDEX(Service_Providers!$D$2:$D$104,MATCH($K275,Service_Providers!$A$2:$A$104,0))="","",INDEX(Service_Providers!$D$2:$D$104,MATCH($K275,Service_Providers!$A$2:$A$104,0))),"Provider not found"))</f>
        <v/>
      </c>
      <c r="N275" s="11" t="str">
        <f>IF($M275="","",IFERROR(IF(INDEX(Service_Providers!$C$2:$C$104,MATCH($M275,Service_Providers!$A$2:$A$104,0))="","",INDEX(Service_Providers!$C$2:$C$104,MATCH($M275,Service_Providers!$A$2:$A$104,0)))&amp;IF(AND(INDEX(Service_Providers!$C$2:$C$104,MATCH($M275,Service_Providers!$A$2:$A$104,0))&lt;&gt;"",INDEX(Service_Providers!$D$2:$D$104,MATCH($M275,Service_Providers!$A$2:$A$104,0))&lt;&gt;""),CHAR(10),"")&amp;IF(INDEX(Service_Providers!$D$2:$D$104,MATCH($M275,Service_Providers!$A$2:$A$104,0))="","",INDEX(Service_Providers!$D$2:$D$104,MATCH($M275,Service_Providers!$A$2:$A$104,0))),"Provider not found"))</f>
        <v/>
      </c>
    </row>
    <row r="276" spans="12:14" x14ac:dyDescent="0.25">
      <c r="L276" s="11" t="str">
        <f>IF($K276="","",IFERROR(IF(INDEX(Service_Providers!$C$2:$C$104,MATCH($K276,Service_Providers!$A$2:$A$104,0))="","",INDEX(Service_Providers!$C$2:$C$104,MATCH($K276,Service_Providers!$A$2:$A$104,0)))&amp;IF(AND(INDEX(Service_Providers!$C$2:$C$104,MATCH($K276,Service_Providers!$A$2:$A$104,0))&lt;&gt;"",INDEX(Service_Providers!$D$2:$D$104,MATCH($K276,Service_Providers!$A$2:$A$104,0))&lt;&gt;""),CHAR(10),"")&amp;IF(INDEX(Service_Providers!$D$2:$D$104,MATCH($K276,Service_Providers!$A$2:$A$104,0))="","",INDEX(Service_Providers!$D$2:$D$104,MATCH($K276,Service_Providers!$A$2:$A$104,0))),"Provider not found"))</f>
        <v/>
      </c>
      <c r="N276" s="11" t="str">
        <f>IF($M276="","",IFERROR(IF(INDEX(Service_Providers!$C$2:$C$104,MATCH($M276,Service_Providers!$A$2:$A$104,0))="","",INDEX(Service_Providers!$C$2:$C$104,MATCH($M276,Service_Providers!$A$2:$A$104,0)))&amp;IF(AND(INDEX(Service_Providers!$C$2:$C$104,MATCH($M276,Service_Providers!$A$2:$A$104,0))&lt;&gt;"",INDEX(Service_Providers!$D$2:$D$104,MATCH($M276,Service_Providers!$A$2:$A$104,0))&lt;&gt;""),CHAR(10),"")&amp;IF(INDEX(Service_Providers!$D$2:$D$104,MATCH($M276,Service_Providers!$A$2:$A$104,0))="","",INDEX(Service_Providers!$D$2:$D$104,MATCH($M276,Service_Providers!$A$2:$A$104,0))),"Provider not found"))</f>
        <v/>
      </c>
    </row>
    <row r="277" spans="12:14" x14ac:dyDescent="0.25">
      <c r="L277" s="11" t="str">
        <f>IF($K277="","",IFERROR(IF(INDEX(Service_Providers!$C$2:$C$104,MATCH($K277,Service_Providers!$A$2:$A$104,0))="","",INDEX(Service_Providers!$C$2:$C$104,MATCH($K277,Service_Providers!$A$2:$A$104,0)))&amp;IF(AND(INDEX(Service_Providers!$C$2:$C$104,MATCH($K277,Service_Providers!$A$2:$A$104,0))&lt;&gt;"",INDEX(Service_Providers!$D$2:$D$104,MATCH($K277,Service_Providers!$A$2:$A$104,0))&lt;&gt;""),CHAR(10),"")&amp;IF(INDEX(Service_Providers!$D$2:$D$104,MATCH($K277,Service_Providers!$A$2:$A$104,0))="","",INDEX(Service_Providers!$D$2:$D$104,MATCH($K277,Service_Providers!$A$2:$A$104,0))),"Provider not found"))</f>
        <v/>
      </c>
      <c r="N277" s="11" t="str">
        <f>IF($M277="","",IFERROR(IF(INDEX(Service_Providers!$C$2:$C$104,MATCH($M277,Service_Providers!$A$2:$A$104,0))="","",INDEX(Service_Providers!$C$2:$C$104,MATCH($M277,Service_Providers!$A$2:$A$104,0)))&amp;IF(AND(INDEX(Service_Providers!$C$2:$C$104,MATCH($M277,Service_Providers!$A$2:$A$104,0))&lt;&gt;"",INDEX(Service_Providers!$D$2:$D$104,MATCH($M277,Service_Providers!$A$2:$A$104,0))&lt;&gt;""),CHAR(10),"")&amp;IF(INDEX(Service_Providers!$D$2:$D$104,MATCH($M277,Service_Providers!$A$2:$A$104,0))="","",INDEX(Service_Providers!$D$2:$D$104,MATCH($M277,Service_Providers!$A$2:$A$104,0))),"Provider not found"))</f>
        <v/>
      </c>
    </row>
    <row r="278" spans="12:14" x14ac:dyDescent="0.25">
      <c r="L278" s="11" t="str">
        <f>IF($K278="","",IFERROR(IF(INDEX(Service_Providers!$C$2:$C$104,MATCH($K278,Service_Providers!$A$2:$A$104,0))="","",INDEX(Service_Providers!$C$2:$C$104,MATCH($K278,Service_Providers!$A$2:$A$104,0)))&amp;IF(AND(INDEX(Service_Providers!$C$2:$C$104,MATCH($K278,Service_Providers!$A$2:$A$104,0))&lt;&gt;"",INDEX(Service_Providers!$D$2:$D$104,MATCH($K278,Service_Providers!$A$2:$A$104,0))&lt;&gt;""),CHAR(10),"")&amp;IF(INDEX(Service_Providers!$D$2:$D$104,MATCH($K278,Service_Providers!$A$2:$A$104,0))="","",INDEX(Service_Providers!$D$2:$D$104,MATCH($K278,Service_Providers!$A$2:$A$104,0))),"Provider not found"))</f>
        <v/>
      </c>
      <c r="N278" s="11" t="str">
        <f>IF($M278="","",IFERROR(IF(INDEX(Service_Providers!$C$2:$C$104,MATCH($M278,Service_Providers!$A$2:$A$104,0))="","",INDEX(Service_Providers!$C$2:$C$104,MATCH($M278,Service_Providers!$A$2:$A$104,0)))&amp;IF(AND(INDEX(Service_Providers!$C$2:$C$104,MATCH($M278,Service_Providers!$A$2:$A$104,0))&lt;&gt;"",INDEX(Service_Providers!$D$2:$D$104,MATCH($M278,Service_Providers!$A$2:$A$104,0))&lt;&gt;""),CHAR(10),"")&amp;IF(INDEX(Service_Providers!$D$2:$D$104,MATCH($M278,Service_Providers!$A$2:$A$104,0))="","",INDEX(Service_Providers!$D$2:$D$104,MATCH($M278,Service_Providers!$A$2:$A$104,0))),"Provider not found"))</f>
        <v/>
      </c>
    </row>
    <row r="279" spans="12:14" x14ac:dyDescent="0.25">
      <c r="L279" s="11" t="str">
        <f>IF($K279="","",IFERROR(IF(INDEX(Service_Providers!$C$2:$C$104,MATCH($K279,Service_Providers!$A$2:$A$104,0))="","",INDEX(Service_Providers!$C$2:$C$104,MATCH($K279,Service_Providers!$A$2:$A$104,0)))&amp;IF(AND(INDEX(Service_Providers!$C$2:$C$104,MATCH($K279,Service_Providers!$A$2:$A$104,0))&lt;&gt;"",INDEX(Service_Providers!$D$2:$D$104,MATCH($K279,Service_Providers!$A$2:$A$104,0))&lt;&gt;""),CHAR(10),"")&amp;IF(INDEX(Service_Providers!$D$2:$D$104,MATCH($K279,Service_Providers!$A$2:$A$104,0))="","",INDEX(Service_Providers!$D$2:$D$104,MATCH($K279,Service_Providers!$A$2:$A$104,0))),"Provider not found"))</f>
        <v/>
      </c>
      <c r="N279" s="11" t="str">
        <f>IF($M279="","",IFERROR(IF(INDEX(Service_Providers!$C$2:$C$104,MATCH($M279,Service_Providers!$A$2:$A$104,0))="","",INDEX(Service_Providers!$C$2:$C$104,MATCH($M279,Service_Providers!$A$2:$A$104,0)))&amp;IF(AND(INDEX(Service_Providers!$C$2:$C$104,MATCH($M279,Service_Providers!$A$2:$A$104,0))&lt;&gt;"",INDEX(Service_Providers!$D$2:$D$104,MATCH($M279,Service_Providers!$A$2:$A$104,0))&lt;&gt;""),CHAR(10),"")&amp;IF(INDEX(Service_Providers!$D$2:$D$104,MATCH($M279,Service_Providers!$A$2:$A$104,0))="","",INDEX(Service_Providers!$D$2:$D$104,MATCH($M279,Service_Providers!$A$2:$A$104,0))),"Provider not found"))</f>
        <v/>
      </c>
    </row>
    <row r="280" spans="12:14" x14ac:dyDescent="0.25">
      <c r="L280" s="11" t="str">
        <f>IF($K280="","",IFERROR(IF(INDEX(Service_Providers!$C$2:$C$104,MATCH($K280,Service_Providers!$A$2:$A$104,0))="","",INDEX(Service_Providers!$C$2:$C$104,MATCH($K280,Service_Providers!$A$2:$A$104,0)))&amp;IF(AND(INDEX(Service_Providers!$C$2:$C$104,MATCH($K280,Service_Providers!$A$2:$A$104,0))&lt;&gt;"",INDEX(Service_Providers!$D$2:$D$104,MATCH($K280,Service_Providers!$A$2:$A$104,0))&lt;&gt;""),CHAR(10),"")&amp;IF(INDEX(Service_Providers!$D$2:$D$104,MATCH($K280,Service_Providers!$A$2:$A$104,0))="","",INDEX(Service_Providers!$D$2:$D$104,MATCH($K280,Service_Providers!$A$2:$A$104,0))),"Provider not found"))</f>
        <v/>
      </c>
      <c r="N280" s="11" t="str">
        <f>IF($M280="","",IFERROR(IF(INDEX(Service_Providers!$C$2:$C$104,MATCH($M280,Service_Providers!$A$2:$A$104,0))="","",INDEX(Service_Providers!$C$2:$C$104,MATCH($M280,Service_Providers!$A$2:$A$104,0)))&amp;IF(AND(INDEX(Service_Providers!$C$2:$C$104,MATCH($M280,Service_Providers!$A$2:$A$104,0))&lt;&gt;"",INDEX(Service_Providers!$D$2:$D$104,MATCH($M280,Service_Providers!$A$2:$A$104,0))&lt;&gt;""),CHAR(10),"")&amp;IF(INDEX(Service_Providers!$D$2:$D$104,MATCH($M280,Service_Providers!$A$2:$A$104,0))="","",INDEX(Service_Providers!$D$2:$D$104,MATCH($M280,Service_Providers!$A$2:$A$104,0))),"Provider not found"))</f>
        <v/>
      </c>
    </row>
    <row r="281" spans="12:14" x14ac:dyDescent="0.25">
      <c r="L281" s="11" t="str">
        <f>IF($K281="","",IFERROR(IF(INDEX(Service_Providers!$C$2:$C$104,MATCH($K281,Service_Providers!$A$2:$A$104,0))="","",INDEX(Service_Providers!$C$2:$C$104,MATCH($K281,Service_Providers!$A$2:$A$104,0)))&amp;IF(AND(INDEX(Service_Providers!$C$2:$C$104,MATCH($K281,Service_Providers!$A$2:$A$104,0))&lt;&gt;"",INDEX(Service_Providers!$D$2:$D$104,MATCH($K281,Service_Providers!$A$2:$A$104,0))&lt;&gt;""),CHAR(10),"")&amp;IF(INDEX(Service_Providers!$D$2:$D$104,MATCH($K281,Service_Providers!$A$2:$A$104,0))="","",INDEX(Service_Providers!$D$2:$D$104,MATCH($K281,Service_Providers!$A$2:$A$104,0))),"Provider not found"))</f>
        <v/>
      </c>
      <c r="N281" s="11" t="str">
        <f>IF($M281="","",IFERROR(IF(INDEX(Service_Providers!$C$2:$C$104,MATCH($M281,Service_Providers!$A$2:$A$104,0))="","",INDEX(Service_Providers!$C$2:$C$104,MATCH($M281,Service_Providers!$A$2:$A$104,0)))&amp;IF(AND(INDEX(Service_Providers!$C$2:$C$104,MATCH($M281,Service_Providers!$A$2:$A$104,0))&lt;&gt;"",INDEX(Service_Providers!$D$2:$D$104,MATCH($M281,Service_Providers!$A$2:$A$104,0))&lt;&gt;""),CHAR(10),"")&amp;IF(INDEX(Service_Providers!$D$2:$D$104,MATCH($M281,Service_Providers!$A$2:$A$104,0))="","",INDEX(Service_Providers!$D$2:$D$104,MATCH($M281,Service_Providers!$A$2:$A$104,0))),"Provider not found"))</f>
        <v/>
      </c>
    </row>
    <row r="282" spans="12:14" x14ac:dyDescent="0.25">
      <c r="L282" s="11" t="str">
        <f>IF($K282="","",IFERROR(IF(INDEX(Service_Providers!$C$2:$C$104,MATCH($K282,Service_Providers!$A$2:$A$104,0))="","",INDEX(Service_Providers!$C$2:$C$104,MATCH($K282,Service_Providers!$A$2:$A$104,0)))&amp;IF(AND(INDEX(Service_Providers!$C$2:$C$104,MATCH($K282,Service_Providers!$A$2:$A$104,0))&lt;&gt;"",INDEX(Service_Providers!$D$2:$D$104,MATCH($K282,Service_Providers!$A$2:$A$104,0))&lt;&gt;""),CHAR(10),"")&amp;IF(INDEX(Service_Providers!$D$2:$D$104,MATCH($K282,Service_Providers!$A$2:$A$104,0))="","",INDEX(Service_Providers!$D$2:$D$104,MATCH($K282,Service_Providers!$A$2:$A$104,0))),"Provider not found"))</f>
        <v/>
      </c>
      <c r="N282" s="11" t="str">
        <f>IF($M282="","",IFERROR(IF(INDEX(Service_Providers!$C$2:$C$104,MATCH($M282,Service_Providers!$A$2:$A$104,0))="","",INDEX(Service_Providers!$C$2:$C$104,MATCH($M282,Service_Providers!$A$2:$A$104,0)))&amp;IF(AND(INDEX(Service_Providers!$C$2:$C$104,MATCH($M282,Service_Providers!$A$2:$A$104,0))&lt;&gt;"",INDEX(Service_Providers!$D$2:$D$104,MATCH($M282,Service_Providers!$A$2:$A$104,0))&lt;&gt;""),CHAR(10),"")&amp;IF(INDEX(Service_Providers!$D$2:$D$104,MATCH($M282,Service_Providers!$A$2:$A$104,0))="","",INDEX(Service_Providers!$D$2:$D$104,MATCH($M282,Service_Providers!$A$2:$A$104,0))),"Provider not found"))</f>
        <v/>
      </c>
    </row>
    <row r="283" spans="12:14" x14ac:dyDescent="0.25">
      <c r="L283" s="11" t="str">
        <f>IF($K283="","",IFERROR(IF(INDEX(Service_Providers!$C$2:$C$104,MATCH($K283,Service_Providers!$A$2:$A$104,0))="","",INDEX(Service_Providers!$C$2:$C$104,MATCH($K283,Service_Providers!$A$2:$A$104,0)))&amp;IF(AND(INDEX(Service_Providers!$C$2:$C$104,MATCH($K283,Service_Providers!$A$2:$A$104,0))&lt;&gt;"",INDEX(Service_Providers!$D$2:$D$104,MATCH($K283,Service_Providers!$A$2:$A$104,0))&lt;&gt;""),CHAR(10),"")&amp;IF(INDEX(Service_Providers!$D$2:$D$104,MATCH($K283,Service_Providers!$A$2:$A$104,0))="","",INDEX(Service_Providers!$D$2:$D$104,MATCH($K283,Service_Providers!$A$2:$A$104,0))),"Provider not found"))</f>
        <v/>
      </c>
      <c r="N283" s="11" t="str">
        <f>IF($M283="","",IFERROR(IF(INDEX(Service_Providers!$C$2:$C$104,MATCH($M283,Service_Providers!$A$2:$A$104,0))="","",INDEX(Service_Providers!$C$2:$C$104,MATCH($M283,Service_Providers!$A$2:$A$104,0)))&amp;IF(AND(INDEX(Service_Providers!$C$2:$C$104,MATCH($M283,Service_Providers!$A$2:$A$104,0))&lt;&gt;"",INDEX(Service_Providers!$D$2:$D$104,MATCH($M283,Service_Providers!$A$2:$A$104,0))&lt;&gt;""),CHAR(10),"")&amp;IF(INDEX(Service_Providers!$D$2:$D$104,MATCH($M283,Service_Providers!$A$2:$A$104,0))="","",INDEX(Service_Providers!$D$2:$D$104,MATCH($M283,Service_Providers!$A$2:$A$104,0))),"Provider not found"))</f>
        <v/>
      </c>
    </row>
    <row r="284" spans="12:14" x14ac:dyDescent="0.25">
      <c r="L284" s="11" t="str">
        <f>IF($K284="","",IFERROR(IF(INDEX(Service_Providers!$C$2:$C$104,MATCH($K284,Service_Providers!$A$2:$A$104,0))="","",INDEX(Service_Providers!$C$2:$C$104,MATCH($K284,Service_Providers!$A$2:$A$104,0)))&amp;IF(AND(INDEX(Service_Providers!$C$2:$C$104,MATCH($K284,Service_Providers!$A$2:$A$104,0))&lt;&gt;"",INDEX(Service_Providers!$D$2:$D$104,MATCH($K284,Service_Providers!$A$2:$A$104,0))&lt;&gt;""),CHAR(10),"")&amp;IF(INDEX(Service_Providers!$D$2:$D$104,MATCH($K284,Service_Providers!$A$2:$A$104,0))="","",INDEX(Service_Providers!$D$2:$D$104,MATCH($K284,Service_Providers!$A$2:$A$104,0))),"Provider not found"))</f>
        <v/>
      </c>
      <c r="N284" s="11" t="str">
        <f>IF($M284="","",IFERROR(IF(INDEX(Service_Providers!$C$2:$C$104,MATCH($M284,Service_Providers!$A$2:$A$104,0))="","",INDEX(Service_Providers!$C$2:$C$104,MATCH($M284,Service_Providers!$A$2:$A$104,0)))&amp;IF(AND(INDEX(Service_Providers!$C$2:$C$104,MATCH($M284,Service_Providers!$A$2:$A$104,0))&lt;&gt;"",INDEX(Service_Providers!$D$2:$D$104,MATCH($M284,Service_Providers!$A$2:$A$104,0))&lt;&gt;""),CHAR(10),"")&amp;IF(INDEX(Service_Providers!$D$2:$D$104,MATCH($M284,Service_Providers!$A$2:$A$104,0))="","",INDEX(Service_Providers!$D$2:$D$104,MATCH($M284,Service_Providers!$A$2:$A$104,0))),"Provider not found"))</f>
        <v/>
      </c>
    </row>
    <row r="285" spans="12:14" x14ac:dyDescent="0.25">
      <c r="L285" s="11" t="str">
        <f>IF($K285="","",IFERROR(IF(INDEX(Service_Providers!$C$2:$C$104,MATCH($K285,Service_Providers!$A$2:$A$104,0))="","",INDEX(Service_Providers!$C$2:$C$104,MATCH($K285,Service_Providers!$A$2:$A$104,0)))&amp;IF(AND(INDEX(Service_Providers!$C$2:$C$104,MATCH($K285,Service_Providers!$A$2:$A$104,0))&lt;&gt;"",INDEX(Service_Providers!$D$2:$D$104,MATCH($K285,Service_Providers!$A$2:$A$104,0))&lt;&gt;""),CHAR(10),"")&amp;IF(INDEX(Service_Providers!$D$2:$D$104,MATCH($K285,Service_Providers!$A$2:$A$104,0))="","",INDEX(Service_Providers!$D$2:$D$104,MATCH($K285,Service_Providers!$A$2:$A$104,0))),"Provider not found"))</f>
        <v/>
      </c>
      <c r="N285" s="11" t="str">
        <f>IF($M285="","",IFERROR(IF(INDEX(Service_Providers!$C$2:$C$104,MATCH($M285,Service_Providers!$A$2:$A$104,0))="","",INDEX(Service_Providers!$C$2:$C$104,MATCH($M285,Service_Providers!$A$2:$A$104,0)))&amp;IF(AND(INDEX(Service_Providers!$C$2:$C$104,MATCH($M285,Service_Providers!$A$2:$A$104,0))&lt;&gt;"",INDEX(Service_Providers!$D$2:$D$104,MATCH($M285,Service_Providers!$A$2:$A$104,0))&lt;&gt;""),CHAR(10),"")&amp;IF(INDEX(Service_Providers!$D$2:$D$104,MATCH($M285,Service_Providers!$A$2:$A$104,0))="","",INDEX(Service_Providers!$D$2:$D$104,MATCH($M285,Service_Providers!$A$2:$A$104,0))),"Provider not found"))</f>
        <v/>
      </c>
    </row>
    <row r="286" spans="12:14" x14ac:dyDescent="0.25">
      <c r="L286" s="11" t="str">
        <f>IF($K286="","",IFERROR(IF(INDEX(Service_Providers!$C$2:$C$104,MATCH($K286,Service_Providers!$A$2:$A$104,0))="","",INDEX(Service_Providers!$C$2:$C$104,MATCH($K286,Service_Providers!$A$2:$A$104,0)))&amp;IF(AND(INDEX(Service_Providers!$C$2:$C$104,MATCH($K286,Service_Providers!$A$2:$A$104,0))&lt;&gt;"",INDEX(Service_Providers!$D$2:$D$104,MATCH($K286,Service_Providers!$A$2:$A$104,0))&lt;&gt;""),CHAR(10),"")&amp;IF(INDEX(Service_Providers!$D$2:$D$104,MATCH($K286,Service_Providers!$A$2:$A$104,0))="","",INDEX(Service_Providers!$D$2:$D$104,MATCH($K286,Service_Providers!$A$2:$A$104,0))),"Provider not found"))</f>
        <v/>
      </c>
      <c r="N286" s="11" t="str">
        <f>IF($M286="","",IFERROR(IF(INDEX(Service_Providers!$C$2:$C$104,MATCH($M286,Service_Providers!$A$2:$A$104,0))="","",INDEX(Service_Providers!$C$2:$C$104,MATCH($M286,Service_Providers!$A$2:$A$104,0)))&amp;IF(AND(INDEX(Service_Providers!$C$2:$C$104,MATCH($M286,Service_Providers!$A$2:$A$104,0))&lt;&gt;"",INDEX(Service_Providers!$D$2:$D$104,MATCH($M286,Service_Providers!$A$2:$A$104,0))&lt;&gt;""),CHAR(10),"")&amp;IF(INDEX(Service_Providers!$D$2:$D$104,MATCH($M286,Service_Providers!$A$2:$A$104,0))="","",INDEX(Service_Providers!$D$2:$D$104,MATCH($M286,Service_Providers!$A$2:$A$104,0))),"Provider not found"))</f>
        <v/>
      </c>
    </row>
    <row r="287" spans="12:14" x14ac:dyDescent="0.25">
      <c r="L287" s="11" t="str">
        <f>IF($K287="","",IFERROR(IF(INDEX(Service_Providers!$C$2:$C$104,MATCH($K287,Service_Providers!$A$2:$A$104,0))="","",INDEX(Service_Providers!$C$2:$C$104,MATCH($K287,Service_Providers!$A$2:$A$104,0)))&amp;IF(AND(INDEX(Service_Providers!$C$2:$C$104,MATCH($K287,Service_Providers!$A$2:$A$104,0))&lt;&gt;"",INDEX(Service_Providers!$D$2:$D$104,MATCH($K287,Service_Providers!$A$2:$A$104,0))&lt;&gt;""),CHAR(10),"")&amp;IF(INDEX(Service_Providers!$D$2:$D$104,MATCH($K287,Service_Providers!$A$2:$A$104,0))="","",INDEX(Service_Providers!$D$2:$D$104,MATCH($K287,Service_Providers!$A$2:$A$104,0))),"Provider not found"))</f>
        <v/>
      </c>
      <c r="N287" s="11" t="str">
        <f>IF($M287="","",IFERROR(IF(INDEX(Service_Providers!$C$2:$C$104,MATCH($M287,Service_Providers!$A$2:$A$104,0))="","",INDEX(Service_Providers!$C$2:$C$104,MATCH($M287,Service_Providers!$A$2:$A$104,0)))&amp;IF(AND(INDEX(Service_Providers!$C$2:$C$104,MATCH($M287,Service_Providers!$A$2:$A$104,0))&lt;&gt;"",INDEX(Service_Providers!$D$2:$D$104,MATCH($M287,Service_Providers!$A$2:$A$104,0))&lt;&gt;""),CHAR(10),"")&amp;IF(INDEX(Service_Providers!$D$2:$D$104,MATCH($M287,Service_Providers!$A$2:$A$104,0))="","",INDEX(Service_Providers!$D$2:$D$104,MATCH($M287,Service_Providers!$A$2:$A$104,0))),"Provider not found"))</f>
        <v/>
      </c>
    </row>
    <row r="288" spans="12:14" x14ac:dyDescent="0.25">
      <c r="L288" s="11" t="str">
        <f>IF($K288="","",IFERROR(IF(INDEX(Service_Providers!$C$2:$C$104,MATCH($K288,Service_Providers!$A$2:$A$104,0))="","",INDEX(Service_Providers!$C$2:$C$104,MATCH($K288,Service_Providers!$A$2:$A$104,0)))&amp;IF(AND(INDEX(Service_Providers!$C$2:$C$104,MATCH($K288,Service_Providers!$A$2:$A$104,0))&lt;&gt;"",INDEX(Service_Providers!$D$2:$D$104,MATCH($K288,Service_Providers!$A$2:$A$104,0))&lt;&gt;""),CHAR(10),"")&amp;IF(INDEX(Service_Providers!$D$2:$D$104,MATCH($K288,Service_Providers!$A$2:$A$104,0))="","",INDEX(Service_Providers!$D$2:$D$104,MATCH($K288,Service_Providers!$A$2:$A$104,0))),"Provider not found"))</f>
        <v/>
      </c>
      <c r="N288" s="11" t="str">
        <f>IF($M288="","",IFERROR(IF(INDEX(Service_Providers!$C$2:$C$104,MATCH($M288,Service_Providers!$A$2:$A$104,0))="","",INDEX(Service_Providers!$C$2:$C$104,MATCH($M288,Service_Providers!$A$2:$A$104,0)))&amp;IF(AND(INDEX(Service_Providers!$C$2:$C$104,MATCH($M288,Service_Providers!$A$2:$A$104,0))&lt;&gt;"",INDEX(Service_Providers!$D$2:$D$104,MATCH($M288,Service_Providers!$A$2:$A$104,0))&lt;&gt;""),CHAR(10),"")&amp;IF(INDEX(Service_Providers!$D$2:$D$104,MATCH($M288,Service_Providers!$A$2:$A$104,0))="","",INDEX(Service_Providers!$D$2:$D$104,MATCH($M288,Service_Providers!$A$2:$A$104,0))),"Provider not found"))</f>
        <v/>
      </c>
    </row>
    <row r="289" spans="12:14" x14ac:dyDescent="0.25">
      <c r="L289" s="11" t="str">
        <f>IF($K289="","",IFERROR(IF(INDEX(Service_Providers!$C$2:$C$104,MATCH($K289,Service_Providers!$A$2:$A$104,0))="","",INDEX(Service_Providers!$C$2:$C$104,MATCH($K289,Service_Providers!$A$2:$A$104,0)))&amp;IF(AND(INDEX(Service_Providers!$C$2:$C$104,MATCH($K289,Service_Providers!$A$2:$A$104,0))&lt;&gt;"",INDEX(Service_Providers!$D$2:$D$104,MATCH($K289,Service_Providers!$A$2:$A$104,0))&lt;&gt;""),CHAR(10),"")&amp;IF(INDEX(Service_Providers!$D$2:$D$104,MATCH($K289,Service_Providers!$A$2:$A$104,0))="","",INDEX(Service_Providers!$D$2:$D$104,MATCH($K289,Service_Providers!$A$2:$A$104,0))),"Provider not found"))</f>
        <v/>
      </c>
      <c r="N289" s="11" t="str">
        <f>IF($M289="","",IFERROR(IF(INDEX(Service_Providers!$C$2:$C$104,MATCH($M289,Service_Providers!$A$2:$A$104,0))="","",INDEX(Service_Providers!$C$2:$C$104,MATCH($M289,Service_Providers!$A$2:$A$104,0)))&amp;IF(AND(INDEX(Service_Providers!$C$2:$C$104,MATCH($M289,Service_Providers!$A$2:$A$104,0))&lt;&gt;"",INDEX(Service_Providers!$D$2:$D$104,MATCH($M289,Service_Providers!$A$2:$A$104,0))&lt;&gt;""),CHAR(10),"")&amp;IF(INDEX(Service_Providers!$D$2:$D$104,MATCH($M289,Service_Providers!$A$2:$A$104,0))="","",INDEX(Service_Providers!$D$2:$D$104,MATCH($M289,Service_Providers!$A$2:$A$104,0))),"Provider not found"))</f>
        <v/>
      </c>
    </row>
    <row r="290" spans="12:14" x14ac:dyDescent="0.25">
      <c r="L290" s="11" t="str">
        <f>IF($K290="","",IFERROR(IF(INDEX(Service_Providers!$C$2:$C$104,MATCH($K290,Service_Providers!$A$2:$A$104,0))="","",INDEX(Service_Providers!$C$2:$C$104,MATCH($K290,Service_Providers!$A$2:$A$104,0)))&amp;IF(AND(INDEX(Service_Providers!$C$2:$C$104,MATCH($K290,Service_Providers!$A$2:$A$104,0))&lt;&gt;"",INDEX(Service_Providers!$D$2:$D$104,MATCH($K290,Service_Providers!$A$2:$A$104,0))&lt;&gt;""),CHAR(10),"")&amp;IF(INDEX(Service_Providers!$D$2:$D$104,MATCH($K290,Service_Providers!$A$2:$A$104,0))="","",INDEX(Service_Providers!$D$2:$D$104,MATCH($K290,Service_Providers!$A$2:$A$104,0))),"Provider not found"))</f>
        <v/>
      </c>
      <c r="N290" s="11" t="str">
        <f>IF($M290="","",IFERROR(IF(INDEX(Service_Providers!$C$2:$C$104,MATCH($M290,Service_Providers!$A$2:$A$104,0))="","",INDEX(Service_Providers!$C$2:$C$104,MATCH($M290,Service_Providers!$A$2:$A$104,0)))&amp;IF(AND(INDEX(Service_Providers!$C$2:$C$104,MATCH($M290,Service_Providers!$A$2:$A$104,0))&lt;&gt;"",INDEX(Service_Providers!$D$2:$D$104,MATCH($M290,Service_Providers!$A$2:$A$104,0))&lt;&gt;""),CHAR(10),"")&amp;IF(INDEX(Service_Providers!$D$2:$D$104,MATCH($M290,Service_Providers!$A$2:$A$104,0))="","",INDEX(Service_Providers!$D$2:$D$104,MATCH($M290,Service_Providers!$A$2:$A$104,0))),"Provider not found"))</f>
        <v/>
      </c>
    </row>
    <row r="291" spans="12:14" x14ac:dyDescent="0.25">
      <c r="L291" s="11" t="str">
        <f>IF($K291="","",IFERROR(IF(INDEX(Service_Providers!$C$2:$C$104,MATCH($K291,Service_Providers!$A$2:$A$104,0))="","",INDEX(Service_Providers!$C$2:$C$104,MATCH($K291,Service_Providers!$A$2:$A$104,0)))&amp;IF(AND(INDEX(Service_Providers!$C$2:$C$104,MATCH($K291,Service_Providers!$A$2:$A$104,0))&lt;&gt;"",INDEX(Service_Providers!$D$2:$D$104,MATCH($K291,Service_Providers!$A$2:$A$104,0))&lt;&gt;""),CHAR(10),"")&amp;IF(INDEX(Service_Providers!$D$2:$D$104,MATCH($K291,Service_Providers!$A$2:$A$104,0))="","",INDEX(Service_Providers!$D$2:$D$104,MATCH($K291,Service_Providers!$A$2:$A$104,0))),"Provider not found"))</f>
        <v/>
      </c>
      <c r="N291" s="11" t="str">
        <f>IF($M291="","",IFERROR(IF(INDEX(Service_Providers!$C$2:$C$104,MATCH($M291,Service_Providers!$A$2:$A$104,0))="","",INDEX(Service_Providers!$C$2:$C$104,MATCH($M291,Service_Providers!$A$2:$A$104,0)))&amp;IF(AND(INDEX(Service_Providers!$C$2:$C$104,MATCH($M291,Service_Providers!$A$2:$A$104,0))&lt;&gt;"",INDEX(Service_Providers!$D$2:$D$104,MATCH($M291,Service_Providers!$A$2:$A$104,0))&lt;&gt;""),CHAR(10),"")&amp;IF(INDEX(Service_Providers!$D$2:$D$104,MATCH($M291,Service_Providers!$A$2:$A$104,0))="","",INDEX(Service_Providers!$D$2:$D$104,MATCH($M291,Service_Providers!$A$2:$A$104,0))),"Provider not found"))</f>
        <v/>
      </c>
    </row>
    <row r="292" spans="12:14" x14ac:dyDescent="0.25">
      <c r="L292" s="11" t="str">
        <f>IF($K292="","",IFERROR(IF(INDEX(Service_Providers!$C$2:$C$104,MATCH($K292,Service_Providers!$A$2:$A$104,0))="","",INDEX(Service_Providers!$C$2:$C$104,MATCH($K292,Service_Providers!$A$2:$A$104,0)))&amp;IF(AND(INDEX(Service_Providers!$C$2:$C$104,MATCH($K292,Service_Providers!$A$2:$A$104,0))&lt;&gt;"",INDEX(Service_Providers!$D$2:$D$104,MATCH($K292,Service_Providers!$A$2:$A$104,0))&lt;&gt;""),CHAR(10),"")&amp;IF(INDEX(Service_Providers!$D$2:$D$104,MATCH($K292,Service_Providers!$A$2:$A$104,0))="","",INDEX(Service_Providers!$D$2:$D$104,MATCH($K292,Service_Providers!$A$2:$A$104,0))),"Provider not found"))</f>
        <v/>
      </c>
      <c r="N292" s="11" t="str">
        <f>IF($M292="","",IFERROR(IF(INDEX(Service_Providers!$C$2:$C$104,MATCH($M292,Service_Providers!$A$2:$A$104,0))="","",INDEX(Service_Providers!$C$2:$C$104,MATCH($M292,Service_Providers!$A$2:$A$104,0)))&amp;IF(AND(INDEX(Service_Providers!$C$2:$C$104,MATCH($M292,Service_Providers!$A$2:$A$104,0))&lt;&gt;"",INDEX(Service_Providers!$D$2:$D$104,MATCH($M292,Service_Providers!$A$2:$A$104,0))&lt;&gt;""),CHAR(10),"")&amp;IF(INDEX(Service_Providers!$D$2:$D$104,MATCH($M292,Service_Providers!$A$2:$A$104,0))="","",INDEX(Service_Providers!$D$2:$D$104,MATCH($M292,Service_Providers!$A$2:$A$104,0))),"Provider not found"))</f>
        <v/>
      </c>
    </row>
    <row r="293" spans="12:14" x14ac:dyDescent="0.25">
      <c r="L293" s="11" t="str">
        <f>IF($K293="","",IFERROR(IF(INDEX(Service_Providers!$C$2:$C$104,MATCH($K293,Service_Providers!$A$2:$A$104,0))="","",INDEX(Service_Providers!$C$2:$C$104,MATCH($K293,Service_Providers!$A$2:$A$104,0)))&amp;IF(AND(INDEX(Service_Providers!$C$2:$C$104,MATCH($K293,Service_Providers!$A$2:$A$104,0))&lt;&gt;"",INDEX(Service_Providers!$D$2:$D$104,MATCH($K293,Service_Providers!$A$2:$A$104,0))&lt;&gt;""),CHAR(10),"")&amp;IF(INDEX(Service_Providers!$D$2:$D$104,MATCH($K293,Service_Providers!$A$2:$A$104,0))="","",INDEX(Service_Providers!$D$2:$D$104,MATCH($K293,Service_Providers!$A$2:$A$104,0))),"Provider not found"))</f>
        <v/>
      </c>
      <c r="N293" s="11" t="str">
        <f>IF($M293="","",IFERROR(IF(INDEX(Service_Providers!$C$2:$C$104,MATCH($M293,Service_Providers!$A$2:$A$104,0))="","",INDEX(Service_Providers!$C$2:$C$104,MATCH($M293,Service_Providers!$A$2:$A$104,0)))&amp;IF(AND(INDEX(Service_Providers!$C$2:$C$104,MATCH($M293,Service_Providers!$A$2:$A$104,0))&lt;&gt;"",INDEX(Service_Providers!$D$2:$D$104,MATCH($M293,Service_Providers!$A$2:$A$104,0))&lt;&gt;""),CHAR(10),"")&amp;IF(INDEX(Service_Providers!$D$2:$D$104,MATCH($M293,Service_Providers!$A$2:$A$104,0))="","",INDEX(Service_Providers!$D$2:$D$104,MATCH($M293,Service_Providers!$A$2:$A$104,0))),"Provider not found"))</f>
        <v/>
      </c>
    </row>
    <row r="294" spans="12:14" x14ac:dyDescent="0.25">
      <c r="L294" s="11" t="str">
        <f>IF($K294="","",IFERROR(IF(INDEX(Service_Providers!$C$2:$C$104,MATCH($K294,Service_Providers!$A$2:$A$104,0))="","",INDEX(Service_Providers!$C$2:$C$104,MATCH($K294,Service_Providers!$A$2:$A$104,0)))&amp;IF(AND(INDEX(Service_Providers!$C$2:$C$104,MATCH($K294,Service_Providers!$A$2:$A$104,0))&lt;&gt;"",INDEX(Service_Providers!$D$2:$D$104,MATCH($K294,Service_Providers!$A$2:$A$104,0))&lt;&gt;""),CHAR(10),"")&amp;IF(INDEX(Service_Providers!$D$2:$D$104,MATCH($K294,Service_Providers!$A$2:$A$104,0))="","",INDEX(Service_Providers!$D$2:$D$104,MATCH($K294,Service_Providers!$A$2:$A$104,0))),"Provider not found"))</f>
        <v/>
      </c>
      <c r="N294" s="11" t="str">
        <f>IF($M294="","",IFERROR(IF(INDEX(Service_Providers!$C$2:$C$104,MATCH($M294,Service_Providers!$A$2:$A$104,0))="","",INDEX(Service_Providers!$C$2:$C$104,MATCH($M294,Service_Providers!$A$2:$A$104,0)))&amp;IF(AND(INDEX(Service_Providers!$C$2:$C$104,MATCH($M294,Service_Providers!$A$2:$A$104,0))&lt;&gt;"",INDEX(Service_Providers!$D$2:$D$104,MATCH($M294,Service_Providers!$A$2:$A$104,0))&lt;&gt;""),CHAR(10),"")&amp;IF(INDEX(Service_Providers!$D$2:$D$104,MATCH($M294,Service_Providers!$A$2:$A$104,0))="","",INDEX(Service_Providers!$D$2:$D$104,MATCH($M294,Service_Providers!$A$2:$A$104,0))),"Provider not found"))</f>
        <v/>
      </c>
    </row>
    <row r="295" spans="12:14" x14ac:dyDescent="0.25">
      <c r="L295" s="11" t="str">
        <f>IF($K295="","",IFERROR(IF(INDEX(Service_Providers!$C$2:$C$104,MATCH($K295,Service_Providers!$A$2:$A$104,0))="","",INDEX(Service_Providers!$C$2:$C$104,MATCH($K295,Service_Providers!$A$2:$A$104,0)))&amp;IF(AND(INDEX(Service_Providers!$C$2:$C$104,MATCH($K295,Service_Providers!$A$2:$A$104,0))&lt;&gt;"",INDEX(Service_Providers!$D$2:$D$104,MATCH($K295,Service_Providers!$A$2:$A$104,0))&lt;&gt;""),CHAR(10),"")&amp;IF(INDEX(Service_Providers!$D$2:$D$104,MATCH($K295,Service_Providers!$A$2:$A$104,0))="","",INDEX(Service_Providers!$D$2:$D$104,MATCH($K295,Service_Providers!$A$2:$A$104,0))),"Provider not found"))</f>
        <v/>
      </c>
      <c r="N295" s="11" t="str">
        <f>IF($M295="","",IFERROR(IF(INDEX(Service_Providers!$C$2:$C$104,MATCH($M295,Service_Providers!$A$2:$A$104,0))="","",INDEX(Service_Providers!$C$2:$C$104,MATCH($M295,Service_Providers!$A$2:$A$104,0)))&amp;IF(AND(INDEX(Service_Providers!$C$2:$C$104,MATCH($M295,Service_Providers!$A$2:$A$104,0))&lt;&gt;"",INDEX(Service_Providers!$D$2:$D$104,MATCH($M295,Service_Providers!$A$2:$A$104,0))&lt;&gt;""),CHAR(10),"")&amp;IF(INDEX(Service_Providers!$D$2:$D$104,MATCH($M295,Service_Providers!$A$2:$A$104,0))="","",INDEX(Service_Providers!$D$2:$D$104,MATCH($M295,Service_Providers!$A$2:$A$104,0))),"Provider not found"))</f>
        <v/>
      </c>
    </row>
    <row r="296" spans="12:14" x14ac:dyDescent="0.25">
      <c r="L296" s="11" t="str">
        <f>IF($K296="","",IFERROR(IF(INDEX(Service_Providers!$C$2:$C$104,MATCH($K296,Service_Providers!$A$2:$A$104,0))="","",INDEX(Service_Providers!$C$2:$C$104,MATCH($K296,Service_Providers!$A$2:$A$104,0)))&amp;IF(AND(INDEX(Service_Providers!$C$2:$C$104,MATCH($K296,Service_Providers!$A$2:$A$104,0))&lt;&gt;"",INDEX(Service_Providers!$D$2:$D$104,MATCH($K296,Service_Providers!$A$2:$A$104,0))&lt;&gt;""),CHAR(10),"")&amp;IF(INDEX(Service_Providers!$D$2:$D$104,MATCH($K296,Service_Providers!$A$2:$A$104,0))="","",INDEX(Service_Providers!$D$2:$D$104,MATCH($K296,Service_Providers!$A$2:$A$104,0))),"Provider not found"))</f>
        <v/>
      </c>
      <c r="N296" s="11" t="str">
        <f>IF($M296="","",IFERROR(IF(INDEX(Service_Providers!$C$2:$C$104,MATCH($M296,Service_Providers!$A$2:$A$104,0))="","",INDEX(Service_Providers!$C$2:$C$104,MATCH($M296,Service_Providers!$A$2:$A$104,0)))&amp;IF(AND(INDEX(Service_Providers!$C$2:$C$104,MATCH($M296,Service_Providers!$A$2:$A$104,0))&lt;&gt;"",INDEX(Service_Providers!$D$2:$D$104,MATCH($M296,Service_Providers!$A$2:$A$104,0))&lt;&gt;""),CHAR(10),"")&amp;IF(INDEX(Service_Providers!$D$2:$D$104,MATCH($M296,Service_Providers!$A$2:$A$104,0))="","",INDEX(Service_Providers!$D$2:$D$104,MATCH($M296,Service_Providers!$A$2:$A$104,0))),"Provider not found"))</f>
        <v/>
      </c>
    </row>
    <row r="297" spans="12:14" x14ac:dyDescent="0.25">
      <c r="L297" s="11" t="str">
        <f>IF($K297="","",IFERROR(IF(INDEX(Service_Providers!$C$2:$C$104,MATCH($K297,Service_Providers!$A$2:$A$104,0))="","",INDEX(Service_Providers!$C$2:$C$104,MATCH($K297,Service_Providers!$A$2:$A$104,0)))&amp;IF(AND(INDEX(Service_Providers!$C$2:$C$104,MATCH($K297,Service_Providers!$A$2:$A$104,0))&lt;&gt;"",INDEX(Service_Providers!$D$2:$D$104,MATCH($K297,Service_Providers!$A$2:$A$104,0))&lt;&gt;""),CHAR(10),"")&amp;IF(INDEX(Service_Providers!$D$2:$D$104,MATCH($K297,Service_Providers!$A$2:$A$104,0))="","",INDEX(Service_Providers!$D$2:$D$104,MATCH($K297,Service_Providers!$A$2:$A$104,0))),"Provider not found"))</f>
        <v/>
      </c>
      <c r="N297" s="11" t="str">
        <f>IF($M297="","",IFERROR(IF(INDEX(Service_Providers!$C$2:$C$104,MATCH($M297,Service_Providers!$A$2:$A$104,0))="","",INDEX(Service_Providers!$C$2:$C$104,MATCH($M297,Service_Providers!$A$2:$A$104,0)))&amp;IF(AND(INDEX(Service_Providers!$C$2:$C$104,MATCH($M297,Service_Providers!$A$2:$A$104,0))&lt;&gt;"",INDEX(Service_Providers!$D$2:$D$104,MATCH($M297,Service_Providers!$A$2:$A$104,0))&lt;&gt;""),CHAR(10),"")&amp;IF(INDEX(Service_Providers!$D$2:$D$104,MATCH($M297,Service_Providers!$A$2:$A$104,0))="","",INDEX(Service_Providers!$D$2:$D$104,MATCH($M297,Service_Providers!$A$2:$A$104,0))),"Provider not found"))</f>
        <v/>
      </c>
    </row>
    <row r="298" spans="12:14" x14ac:dyDescent="0.25">
      <c r="L298" s="11" t="str">
        <f>IF($K298="","",IFERROR(IF(INDEX(Service_Providers!$C$2:$C$104,MATCH($K298,Service_Providers!$A$2:$A$104,0))="","",INDEX(Service_Providers!$C$2:$C$104,MATCH($K298,Service_Providers!$A$2:$A$104,0)))&amp;IF(AND(INDEX(Service_Providers!$C$2:$C$104,MATCH($K298,Service_Providers!$A$2:$A$104,0))&lt;&gt;"",INDEX(Service_Providers!$D$2:$D$104,MATCH($K298,Service_Providers!$A$2:$A$104,0))&lt;&gt;""),CHAR(10),"")&amp;IF(INDEX(Service_Providers!$D$2:$D$104,MATCH($K298,Service_Providers!$A$2:$A$104,0))="","",INDEX(Service_Providers!$D$2:$D$104,MATCH($K298,Service_Providers!$A$2:$A$104,0))),"Provider not found"))</f>
        <v/>
      </c>
      <c r="N298" s="11" t="str">
        <f>IF($M298="","",IFERROR(IF(INDEX(Service_Providers!$C$2:$C$104,MATCH($M298,Service_Providers!$A$2:$A$104,0))="","",INDEX(Service_Providers!$C$2:$C$104,MATCH($M298,Service_Providers!$A$2:$A$104,0)))&amp;IF(AND(INDEX(Service_Providers!$C$2:$C$104,MATCH($M298,Service_Providers!$A$2:$A$104,0))&lt;&gt;"",INDEX(Service_Providers!$D$2:$D$104,MATCH($M298,Service_Providers!$A$2:$A$104,0))&lt;&gt;""),CHAR(10),"")&amp;IF(INDEX(Service_Providers!$D$2:$D$104,MATCH($M298,Service_Providers!$A$2:$A$104,0))="","",INDEX(Service_Providers!$D$2:$D$104,MATCH($M298,Service_Providers!$A$2:$A$104,0))),"Provider not found"))</f>
        <v/>
      </c>
    </row>
    <row r="299" spans="12:14" x14ac:dyDescent="0.25">
      <c r="L299" s="11" t="str">
        <f>IF($K299="","",IFERROR(IF(INDEX(Service_Providers!$C$2:$C$104,MATCH($K299,Service_Providers!$A$2:$A$104,0))="","",INDEX(Service_Providers!$C$2:$C$104,MATCH($K299,Service_Providers!$A$2:$A$104,0)))&amp;IF(AND(INDEX(Service_Providers!$C$2:$C$104,MATCH($K299,Service_Providers!$A$2:$A$104,0))&lt;&gt;"",INDEX(Service_Providers!$D$2:$D$104,MATCH($K299,Service_Providers!$A$2:$A$104,0))&lt;&gt;""),CHAR(10),"")&amp;IF(INDEX(Service_Providers!$D$2:$D$104,MATCH($K299,Service_Providers!$A$2:$A$104,0))="","",INDEX(Service_Providers!$D$2:$D$104,MATCH($K299,Service_Providers!$A$2:$A$104,0))),"Provider not found"))</f>
        <v/>
      </c>
      <c r="N299" s="11" t="str">
        <f>IF($M299="","",IFERROR(IF(INDEX(Service_Providers!$C$2:$C$104,MATCH($M299,Service_Providers!$A$2:$A$104,0))="","",INDEX(Service_Providers!$C$2:$C$104,MATCH($M299,Service_Providers!$A$2:$A$104,0)))&amp;IF(AND(INDEX(Service_Providers!$C$2:$C$104,MATCH($M299,Service_Providers!$A$2:$A$104,0))&lt;&gt;"",INDEX(Service_Providers!$D$2:$D$104,MATCH($M299,Service_Providers!$A$2:$A$104,0))&lt;&gt;""),CHAR(10),"")&amp;IF(INDEX(Service_Providers!$D$2:$D$104,MATCH($M299,Service_Providers!$A$2:$A$104,0))="","",INDEX(Service_Providers!$D$2:$D$104,MATCH($M299,Service_Providers!$A$2:$A$104,0))),"Provider not found"))</f>
        <v/>
      </c>
    </row>
  </sheetData>
  <autoFilter ref="A1:P299" xr:uid="{00000000-0009-0000-0000-000002000000}"/>
  <conditionalFormatting sqref="K2:K299">
    <cfRule type="expression" dxfId="0" priority="2">
      <formula>AND($A2&lt;&gt;"",$K2="")</formula>
    </cfRule>
  </conditionalFormatting>
  <dataValidations count="1">
    <dataValidation type="list" allowBlank="1" sqref="M2:M299 K2:K299" xr:uid="{00000000-0002-0000-0200-000000000000}">
      <formula1>ProviderList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808080"/>
  </sheetPr>
  <dimension ref="A1:A32"/>
  <sheetViews>
    <sheetView zoomScaleNormal="100" workbookViewId="0"/>
  </sheetViews>
  <sheetFormatPr defaultColWidth="8.7109375" defaultRowHeight="15" x14ac:dyDescent="0.25"/>
  <cols>
    <col min="1" max="1" width="115" customWidth="1"/>
  </cols>
  <sheetData>
    <row r="1" spans="1:1" ht="16.5" x14ac:dyDescent="0.25">
      <c r="A1" s="16" t="s">
        <v>811</v>
      </c>
    </row>
    <row r="2" spans="1:1" x14ac:dyDescent="0.25">
      <c r="A2" s="17"/>
    </row>
    <row r="3" spans="1:1" x14ac:dyDescent="0.25">
      <c r="A3" s="18" t="s">
        <v>812</v>
      </c>
    </row>
    <row r="4" spans="1:1" ht="25.5" x14ac:dyDescent="0.25">
      <c r="A4" s="17" t="s">
        <v>813</v>
      </c>
    </row>
    <row r="5" spans="1:1" ht="25.5" x14ac:dyDescent="0.25">
      <c r="A5" s="17" t="s">
        <v>814</v>
      </c>
    </row>
    <row r="6" spans="1:1" ht="25.5" x14ac:dyDescent="0.25">
      <c r="A6" s="17" t="s">
        <v>815</v>
      </c>
    </row>
    <row r="7" spans="1:1" x14ac:dyDescent="0.25">
      <c r="A7" s="17"/>
    </row>
    <row r="8" spans="1:1" x14ac:dyDescent="0.25">
      <c r="A8" s="18" t="s">
        <v>816</v>
      </c>
    </row>
    <row r="9" spans="1:1" ht="38.25" x14ac:dyDescent="0.25">
      <c r="A9" s="17" t="s">
        <v>817</v>
      </c>
    </row>
    <row r="10" spans="1:1" x14ac:dyDescent="0.25">
      <c r="A10" s="17" t="s">
        <v>818</v>
      </c>
    </row>
    <row r="11" spans="1:1" x14ac:dyDescent="0.25">
      <c r="A11" s="17" t="s">
        <v>819</v>
      </c>
    </row>
    <row r="12" spans="1:1" x14ac:dyDescent="0.25">
      <c r="A12" s="17"/>
    </row>
    <row r="13" spans="1:1" x14ac:dyDescent="0.25">
      <c r="A13" s="18" t="s">
        <v>820</v>
      </c>
    </row>
    <row r="14" spans="1:1" ht="38.25" x14ac:dyDescent="0.25">
      <c r="A14" s="17" t="s">
        <v>821</v>
      </c>
    </row>
    <row r="15" spans="1:1" x14ac:dyDescent="0.25">
      <c r="A15" s="17" t="s">
        <v>822</v>
      </c>
    </row>
    <row r="16" spans="1:1" ht="25.5" x14ac:dyDescent="0.25">
      <c r="A16" s="17" t="s">
        <v>823</v>
      </c>
    </row>
    <row r="17" spans="1:1" ht="25.5" x14ac:dyDescent="0.25">
      <c r="A17" s="17" t="s">
        <v>824</v>
      </c>
    </row>
    <row r="18" spans="1:1" x14ac:dyDescent="0.25">
      <c r="A18" s="17" t="s">
        <v>825</v>
      </c>
    </row>
    <row r="19" spans="1:1" x14ac:dyDescent="0.25">
      <c r="A19" s="17"/>
    </row>
    <row r="20" spans="1:1" x14ac:dyDescent="0.25">
      <c r="A20" s="18" t="s">
        <v>826</v>
      </c>
    </row>
    <row r="21" spans="1:1" x14ac:dyDescent="0.25">
      <c r="A21" s="17" t="s">
        <v>827</v>
      </c>
    </row>
    <row r="22" spans="1:1" ht="25.5" x14ac:dyDescent="0.25">
      <c r="A22" s="17" t="s">
        <v>828</v>
      </c>
    </row>
    <row r="23" spans="1:1" x14ac:dyDescent="0.25">
      <c r="A23" s="17" t="s">
        <v>829</v>
      </c>
    </row>
    <row r="24" spans="1:1" ht="25.5" x14ac:dyDescent="0.25">
      <c r="A24" s="17" t="s">
        <v>830</v>
      </c>
    </row>
    <row r="25" spans="1:1" x14ac:dyDescent="0.25">
      <c r="A25" s="17" t="s">
        <v>831</v>
      </c>
    </row>
    <row r="26" spans="1:1" x14ac:dyDescent="0.25">
      <c r="A26" s="17" t="s">
        <v>832</v>
      </c>
    </row>
    <row r="27" spans="1:1" x14ac:dyDescent="0.25">
      <c r="A27" s="17"/>
    </row>
    <row r="28" spans="1:1" x14ac:dyDescent="0.25">
      <c r="A28" s="18" t="s">
        <v>833</v>
      </c>
    </row>
    <row r="29" spans="1:1" x14ac:dyDescent="0.25">
      <c r="A29" s="17" t="s">
        <v>834</v>
      </c>
    </row>
    <row r="30" spans="1:1" x14ac:dyDescent="0.25">
      <c r="A30" s="17" t="s">
        <v>835</v>
      </c>
    </row>
    <row r="31" spans="1:1" x14ac:dyDescent="0.25">
      <c r="A31" s="17" t="s">
        <v>836</v>
      </c>
    </row>
    <row r="32" spans="1:1" x14ac:dyDescent="0.25">
      <c r="A32" s="17" t="s">
        <v>837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Service_Providers</vt:lpstr>
      <vt:lpstr>Accounts</vt:lpstr>
      <vt:lpstr>How_To_Update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Jesus - Katz Coffee</cp:lastModifiedBy>
  <cp:revision>0</cp:revision>
  <dcterms:created xsi:type="dcterms:W3CDTF">2026-07-15T18:11:50Z</dcterms:created>
  <dcterms:modified xsi:type="dcterms:W3CDTF">2026-08-25T13:37:07Z</dcterms:modified>
  <dc:language>en-US</dc:language>
</cp:coreProperties>
</file>